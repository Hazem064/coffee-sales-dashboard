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مشاريع اكسيل\datasets\"/>
    </mc:Choice>
  </mc:AlternateContent>
  <xr:revisionPtr revIDLastSave="0" documentId="13_ncr:1_{AEDD8B99-91C4-46F4-8ADE-86DCC24EF314}" xr6:coauthVersionLast="47" xr6:coauthVersionMax="47" xr10:uidLastSave="{00000000-0000-0000-0000-000000000000}"/>
  <bookViews>
    <workbookView xWindow="-120" yWindow="-120" windowWidth="20730" windowHeight="11760" xr2:uid="{00000000-000D-0000-FFFF-FFFF00000000}"/>
  </bookViews>
  <sheets>
    <sheet name="DASHBOARD" sheetId="23" r:id="rId1"/>
    <sheet name="TotalSales" sheetId="18" r:id="rId2"/>
    <sheet name="CountryBarChart" sheetId="20" r:id="rId3"/>
    <sheet name="Top5Customers"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be_Name">#N/A</definedName>
    <definedName name="Slicer_Size">#N/A</definedName>
  </definedNames>
  <calcPr calcId="191029"/>
  <pivotCaches>
    <pivotCache cacheId="21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 r="Q2" i="17"/>
  <c r="Q3" i="17"/>
  <c r="Q4" i="17"/>
  <c r="Q5" i="17"/>
  <c r="Q6" i="17"/>
  <c r="Q7" i="17"/>
  <c r="Q8" i="17"/>
  <c r="Q9" i="17"/>
  <c r="Q10" i="17"/>
  <c r="Q11" i="17"/>
  <c r="Q12" i="17"/>
  <c r="Q13" i="17"/>
  <c r="Q14" i="17"/>
  <c r="Q15" i="17"/>
  <c r="Q16" i="17"/>
  <c r="Q17" i="17"/>
  <c r="Q18" i="17"/>
  <c r="Q19" i="17"/>
  <c r="Q20" i="17"/>
  <c r="Q21" i="17"/>
  <c r="Q22" i="17"/>
  <c r="Q23" i="17"/>
  <c r="Q24" i="17"/>
  <c r="Q25" i="17"/>
  <c r="Q26" i="17"/>
  <c r="Q27" i="17"/>
  <c r="Q28" i="17"/>
  <c r="Q29" i="17"/>
  <c r="Q30" i="17"/>
  <c r="Q31" i="17"/>
  <c r="Q32" i="17"/>
  <c r="Q33" i="17"/>
  <c r="Q34" i="17"/>
  <c r="Q35" i="17"/>
  <c r="Q36" i="17"/>
  <c r="Q37" i="17"/>
  <c r="Q38" i="17"/>
  <c r="Q39" i="17"/>
  <c r="Q40" i="17"/>
  <c r="Q41" i="17"/>
  <c r="Q42" i="17"/>
  <c r="Q43" i="17"/>
  <c r="Q44" i="17"/>
  <c r="Q45" i="17"/>
  <c r="Q46" i="17"/>
  <c r="Q47" i="17"/>
  <c r="Q48" i="17"/>
  <c r="Q49" i="17"/>
  <c r="Q50" i="17"/>
  <c r="Q51" i="17"/>
  <c r="Q52" i="17"/>
  <c r="Q53" i="17"/>
  <c r="Q54" i="17"/>
  <c r="Q55" i="17"/>
  <c r="Q56" i="17"/>
  <c r="Q57" i="17"/>
  <c r="Q58" i="17"/>
  <c r="Q59" i="17"/>
  <c r="Q60" i="17"/>
  <c r="Q61" i="17"/>
  <c r="Q62" i="17"/>
  <c r="Q63" i="17"/>
  <c r="Q64" i="17"/>
  <c r="Q65" i="17"/>
  <c r="Q66" i="17"/>
  <c r="Q67" i="17"/>
  <c r="Q68" i="17"/>
  <c r="Q69" i="17"/>
  <c r="Q70" i="17"/>
  <c r="Q71" i="17"/>
  <c r="Q72" i="17"/>
  <c r="Q73" i="17"/>
  <c r="Q74" i="17"/>
  <c r="Q75" i="17"/>
  <c r="Q76" i="17"/>
  <c r="Q77" i="17"/>
  <c r="Q78" i="17"/>
  <c r="Q79" i="17"/>
  <c r="Q80" i="17"/>
  <c r="Q81" i="17"/>
  <c r="Q82" i="17"/>
  <c r="Q83" i="17"/>
  <c r="Q84" i="17"/>
  <c r="Q85" i="17"/>
  <c r="Q86" i="17"/>
  <c r="Q87" i="17"/>
  <c r="Q88" i="17"/>
  <c r="Q89" i="17"/>
  <c r="Q90" i="17"/>
  <c r="Q91" i="17"/>
  <c r="Q92" i="17"/>
  <c r="Q93" i="17"/>
  <c r="Q94" i="17"/>
  <c r="Q95" i="17"/>
  <c r="Q96" i="17"/>
  <c r="Q97" i="17"/>
  <c r="Q98" i="17"/>
  <c r="Q99" i="17"/>
  <c r="Q100" i="17"/>
  <c r="Q101" i="17"/>
  <c r="Q102" i="17"/>
  <c r="Q103" i="17"/>
  <c r="Q104" i="17"/>
  <c r="Q105" i="17"/>
  <c r="Q106" i="17"/>
  <c r="Q107" i="17"/>
  <c r="Q108" i="17"/>
  <c r="Q109" i="17"/>
  <c r="Q110" i="17"/>
  <c r="Q111" i="17"/>
  <c r="Q112" i="17"/>
  <c r="Q113" i="17"/>
  <c r="Q114" i="17"/>
  <c r="Q115" i="17"/>
  <c r="Q116" i="17"/>
  <c r="Q117" i="17"/>
  <c r="Q118" i="17"/>
  <c r="Q119" i="17"/>
  <c r="Q120" i="17"/>
  <c r="Q121" i="17"/>
  <c r="Q122" i="17"/>
  <c r="Q123" i="17"/>
  <c r="Q124" i="17"/>
  <c r="Q125" i="17"/>
  <c r="Q126" i="17"/>
  <c r="Q127" i="17"/>
  <c r="Q128" i="17"/>
  <c r="Q129" i="17"/>
  <c r="Q130" i="17"/>
  <c r="Q131" i="17"/>
  <c r="Q132" i="17"/>
  <c r="Q133" i="17"/>
  <c r="Q134" i="17"/>
  <c r="Q135" i="17"/>
  <c r="Q136" i="17"/>
  <c r="Q137" i="17"/>
  <c r="Q138" i="17"/>
  <c r="Q139" i="17"/>
  <c r="Q140" i="17"/>
  <c r="Q141" i="17"/>
  <c r="Q142" i="17"/>
  <c r="Q143" i="17"/>
  <c r="Q144" i="17"/>
  <c r="Q145" i="17"/>
  <c r="Q146" i="17"/>
  <c r="Q147" i="17"/>
  <c r="Q148" i="17"/>
  <c r="Q149" i="17"/>
  <c r="Q150" i="17"/>
  <c r="Q151" i="17"/>
  <c r="Q152" i="17"/>
  <c r="Q153" i="17"/>
  <c r="Q154" i="17"/>
  <c r="Q155" i="17"/>
  <c r="Q156" i="17"/>
  <c r="Q157" i="17"/>
  <c r="Q158" i="17"/>
  <c r="Q159" i="17"/>
  <c r="Q160" i="17"/>
  <c r="Q161" i="17"/>
  <c r="Q162" i="17"/>
  <c r="Q163" i="17"/>
  <c r="Q164" i="17"/>
  <c r="Q165" i="17"/>
  <c r="Q166" i="17"/>
  <c r="Q167" i="17"/>
  <c r="Q168" i="17"/>
  <c r="Q169" i="17"/>
  <c r="Q170" i="17"/>
  <c r="Q171" i="17"/>
  <c r="Q172" i="17"/>
  <c r="Q173" i="17"/>
  <c r="Q174" i="17"/>
  <c r="Q175" i="17"/>
  <c r="Q176" i="17"/>
  <c r="Q177" i="17"/>
  <c r="Q178" i="17"/>
  <c r="Q179" i="17"/>
  <c r="Q180" i="17"/>
  <c r="Q181" i="17"/>
  <c r="Q182" i="17"/>
  <c r="Q183" i="17"/>
  <c r="Q184" i="17"/>
  <c r="Q185" i="17"/>
  <c r="Q186" i="17"/>
  <c r="Q187" i="17"/>
  <c r="Q188" i="17"/>
  <c r="Q189" i="17"/>
  <c r="Q190" i="17"/>
  <c r="Q191" i="17"/>
  <c r="Q192" i="17"/>
  <c r="Q193" i="17"/>
  <c r="Q194" i="17"/>
  <c r="Q195" i="17"/>
  <c r="Q196" i="17"/>
  <c r="Q197" i="17"/>
  <c r="Q198" i="17"/>
  <c r="Q199" i="17"/>
  <c r="Q200" i="17"/>
  <c r="Q201" i="17"/>
  <c r="Q202" i="17"/>
  <c r="Q203" i="17"/>
  <c r="Q204" i="17"/>
  <c r="Q205" i="17"/>
  <c r="Q206" i="17"/>
  <c r="Q207" i="17"/>
  <c r="Q208" i="17"/>
  <c r="Q209" i="17"/>
  <c r="Q210" i="17"/>
  <c r="Q211" i="17"/>
  <c r="Q212" i="17"/>
  <c r="Q213" i="17"/>
  <c r="Q214" i="17"/>
  <c r="Q215" i="17"/>
  <c r="Q216" i="17"/>
  <c r="Q217" i="17"/>
  <c r="Q218" i="17"/>
  <c r="Q219" i="17"/>
  <c r="Q220" i="17"/>
  <c r="Q221" i="17"/>
  <c r="Q222" i="17"/>
  <c r="Q223" i="17"/>
  <c r="Q224" i="17"/>
  <c r="Q225" i="17"/>
  <c r="Q226" i="17"/>
  <c r="Q227" i="17"/>
  <c r="Q228" i="17"/>
  <c r="Q229" i="17"/>
  <c r="Q230" i="17"/>
  <c r="Q231" i="17"/>
  <c r="Q232" i="17"/>
  <c r="Q233" i="17"/>
  <c r="Q234" i="17"/>
  <c r="Q235" i="17"/>
  <c r="Q236" i="17"/>
  <c r="Q237" i="17"/>
  <c r="Q238" i="17"/>
  <c r="Q239" i="17"/>
  <c r="Q240" i="17"/>
  <c r="Q241" i="17"/>
  <c r="Q242" i="17"/>
  <c r="Q243" i="17"/>
  <c r="Q244" i="17"/>
  <c r="Q245" i="17"/>
  <c r="Q246" i="17"/>
  <c r="Q247" i="17"/>
  <c r="Q248" i="17"/>
  <c r="Q249" i="17"/>
  <c r="Q250" i="17"/>
  <c r="Q251" i="17"/>
  <c r="Q252" i="17"/>
  <c r="Q253" i="17"/>
  <c r="Q254" i="17"/>
  <c r="Q255" i="17"/>
  <c r="Q256" i="17"/>
  <c r="Q257" i="17"/>
  <c r="Q258" i="17"/>
  <c r="Q259" i="17"/>
  <c r="Q260" i="17"/>
  <c r="Q261" i="17"/>
  <c r="Q262" i="17"/>
  <c r="Q263" i="17"/>
  <c r="Q264" i="17"/>
  <c r="Q265" i="17"/>
  <c r="Q266" i="17"/>
  <c r="Q267" i="17"/>
  <c r="Q268" i="17"/>
  <c r="Q269" i="17"/>
  <c r="Q270" i="17"/>
  <c r="Q271" i="17"/>
  <c r="Q272" i="17"/>
  <c r="Q273" i="17"/>
  <c r="Q274" i="17"/>
  <c r="Q275" i="17"/>
  <c r="Q276" i="17"/>
  <c r="Q277" i="17"/>
  <c r="Q278" i="17"/>
  <c r="Q279" i="17"/>
  <c r="Q280" i="17"/>
  <c r="Q281" i="17"/>
  <c r="Q282" i="17"/>
  <c r="Q283" i="17"/>
  <c r="Q284" i="17"/>
  <c r="Q285" i="17"/>
  <c r="Q286" i="17"/>
  <c r="Q287" i="17"/>
  <c r="Q288" i="17"/>
  <c r="Q289" i="17"/>
  <c r="Q290" i="17"/>
  <c r="Q291" i="17"/>
  <c r="Q292" i="17"/>
  <c r="Q293" i="17"/>
  <c r="Q294" i="17"/>
  <c r="Q295" i="17"/>
  <c r="Q296" i="17"/>
  <c r="Q297" i="17"/>
  <c r="Q298" i="17"/>
  <c r="Q299" i="17"/>
  <c r="Q300" i="17"/>
  <c r="Q301" i="17"/>
  <c r="Q302" i="17"/>
  <c r="Q303" i="17"/>
  <c r="Q304" i="17"/>
  <c r="Q305" i="17"/>
  <c r="Q306" i="17"/>
  <c r="Q307" i="17"/>
  <c r="Q308" i="17"/>
  <c r="Q309" i="17"/>
  <c r="Q310" i="17"/>
  <c r="Q311" i="17"/>
  <c r="Q312" i="17"/>
  <c r="Q313" i="17"/>
  <c r="Q314" i="17"/>
  <c r="Q315" i="17"/>
  <c r="Q316" i="17"/>
  <c r="Q317" i="17"/>
  <c r="Q318" i="17"/>
  <c r="Q319" i="17"/>
  <c r="Q320" i="17"/>
  <c r="Q321" i="17"/>
  <c r="Q322" i="17"/>
  <c r="Q323" i="17"/>
  <c r="Q324" i="17"/>
  <c r="Q325" i="17"/>
  <c r="Q326" i="17"/>
  <c r="Q327" i="17"/>
  <c r="Q328" i="17"/>
  <c r="Q329" i="17"/>
  <c r="Q330" i="17"/>
  <c r="Q331" i="17"/>
  <c r="Q332" i="17"/>
  <c r="Q333" i="17"/>
  <c r="Q334" i="17"/>
  <c r="Q335" i="17"/>
  <c r="Q336" i="17"/>
  <c r="Q337" i="17"/>
  <c r="Q338" i="17"/>
  <c r="Q339" i="17"/>
  <c r="Q340" i="17"/>
  <c r="Q341" i="17"/>
  <c r="Q342" i="17"/>
  <c r="Q343" i="17"/>
  <c r="Q344" i="17"/>
  <c r="Q345" i="17"/>
  <c r="Q346" i="17"/>
  <c r="Q347" i="17"/>
  <c r="Q348" i="17"/>
  <c r="Q349" i="17"/>
  <c r="Q350" i="17"/>
  <c r="Q351" i="17"/>
  <c r="Q352" i="17"/>
  <c r="Q353" i="17"/>
  <c r="Q354" i="17"/>
  <c r="Q355" i="17"/>
  <c r="Q356" i="17"/>
  <c r="Q357" i="17"/>
  <c r="Q358" i="17"/>
  <c r="Q359" i="17"/>
  <c r="Q360" i="17"/>
  <c r="Q361" i="17"/>
  <c r="Q362" i="17"/>
  <c r="Q363" i="17"/>
  <c r="Q364" i="17"/>
  <c r="Q365" i="17"/>
  <c r="Q366" i="17"/>
  <c r="Q367" i="17"/>
  <c r="Q368" i="17"/>
  <c r="Q369" i="17"/>
  <c r="Q370" i="17"/>
  <c r="Q371" i="17"/>
  <c r="Q372" i="17"/>
  <c r="Q373" i="17"/>
  <c r="Q374" i="17"/>
  <c r="Q375" i="17"/>
  <c r="Q376" i="17"/>
  <c r="Q377" i="17"/>
  <c r="Q378" i="17"/>
  <c r="Q379" i="17"/>
  <c r="Q380" i="17"/>
  <c r="Q381" i="17"/>
  <c r="Q382" i="17"/>
  <c r="Q383" i="17"/>
  <c r="Q384" i="17"/>
  <c r="Q385" i="17"/>
  <c r="Q386" i="17"/>
  <c r="Q387" i="17"/>
  <c r="Q388" i="17"/>
  <c r="Q389" i="17"/>
  <c r="Q390" i="17"/>
  <c r="Q391" i="17"/>
  <c r="Q392" i="17"/>
  <c r="Q393" i="17"/>
  <c r="Q394" i="17"/>
  <c r="Q395" i="17"/>
  <c r="Q396" i="17"/>
  <c r="Q397" i="17"/>
  <c r="Q398" i="17"/>
  <c r="Q399" i="17"/>
  <c r="Q400" i="17"/>
  <c r="Q401" i="17"/>
  <c r="Q402" i="17"/>
  <c r="Q403" i="17"/>
  <c r="Q404" i="17"/>
  <c r="Q405" i="17"/>
  <c r="Q406" i="17"/>
  <c r="Q407" i="17"/>
  <c r="Q408" i="17"/>
  <c r="Q409" i="17"/>
  <c r="Q410" i="17"/>
  <c r="Q411" i="17"/>
  <c r="Q412" i="17"/>
  <c r="Q413" i="17"/>
  <c r="Q414" i="17"/>
  <c r="Q415" i="17"/>
  <c r="Q416" i="17"/>
  <c r="Q417" i="17"/>
  <c r="Q418" i="17"/>
  <c r="Q419" i="17"/>
  <c r="Q420" i="17"/>
  <c r="Q421" i="17"/>
  <c r="Q422" i="17"/>
  <c r="Q423" i="17"/>
  <c r="Q424" i="17"/>
  <c r="Q425" i="17"/>
  <c r="Q426" i="17"/>
  <c r="Q427" i="17"/>
  <c r="Q428" i="17"/>
  <c r="Q429" i="17"/>
  <c r="Q430" i="17"/>
  <c r="Q431" i="17"/>
  <c r="Q432" i="17"/>
  <c r="Q433" i="17"/>
  <c r="Q434" i="17"/>
  <c r="Q435" i="17"/>
  <c r="Q436" i="17"/>
  <c r="Q437" i="17"/>
  <c r="Q438" i="17"/>
  <c r="Q439" i="17"/>
  <c r="Q440" i="17"/>
  <c r="Q441" i="17"/>
  <c r="Q442" i="17"/>
  <c r="Q443" i="17"/>
  <c r="Q444" i="17"/>
  <c r="Q445" i="17"/>
  <c r="Q446" i="17"/>
  <c r="Q447" i="17"/>
  <c r="Q448" i="17"/>
  <c r="Q449" i="17"/>
  <c r="Q450" i="17"/>
  <c r="Q451" i="17"/>
  <c r="Q452" i="17"/>
  <c r="Q453" i="17"/>
  <c r="Q454" i="17"/>
  <c r="Q455" i="17"/>
  <c r="Q456" i="17"/>
  <c r="Q457" i="17"/>
  <c r="Q458" i="17"/>
  <c r="Q459" i="17"/>
  <c r="Q460" i="17"/>
  <c r="Q461" i="17"/>
  <c r="Q462" i="17"/>
  <c r="Q463" i="17"/>
  <c r="Q464" i="17"/>
  <c r="Q465" i="17"/>
  <c r="Q466" i="17"/>
  <c r="Q467" i="17"/>
  <c r="Q468" i="17"/>
  <c r="Q469" i="17"/>
  <c r="Q470" i="17"/>
  <c r="Q471" i="17"/>
  <c r="Q472" i="17"/>
  <c r="Q473" i="17"/>
  <c r="Q474" i="17"/>
  <c r="Q475" i="17"/>
  <c r="Q476" i="17"/>
  <c r="Q477" i="17"/>
  <c r="Q478" i="17"/>
  <c r="Q479" i="17"/>
  <c r="Q480" i="17"/>
  <c r="Q481" i="17"/>
  <c r="Q482" i="17"/>
  <c r="Q483" i="17"/>
  <c r="Q484" i="17"/>
  <c r="Q485" i="17"/>
  <c r="Q486" i="17"/>
  <c r="Q487" i="17"/>
  <c r="Q488" i="17"/>
  <c r="Q489" i="17"/>
  <c r="Q490" i="17"/>
  <c r="Q491" i="17"/>
  <c r="Q492" i="17"/>
  <c r="Q493" i="17"/>
  <c r="Q494" i="17"/>
  <c r="Q495" i="17"/>
  <c r="Q496" i="17"/>
  <c r="Q497" i="17"/>
  <c r="Q498" i="17"/>
  <c r="Q499" i="17"/>
  <c r="Q500" i="17"/>
  <c r="Q501" i="17"/>
  <c r="Q502" i="17"/>
  <c r="Q503" i="17"/>
  <c r="Q504" i="17"/>
  <c r="Q505" i="17"/>
  <c r="Q506" i="17"/>
  <c r="Q507" i="17"/>
  <c r="Q508" i="17"/>
  <c r="Q509" i="17"/>
  <c r="Q510" i="17"/>
  <c r="Q511" i="17"/>
  <c r="Q512" i="17"/>
  <c r="Q513" i="17"/>
  <c r="Q514" i="17"/>
  <c r="Q515" i="17"/>
  <c r="Q516" i="17"/>
  <c r="Q517" i="17"/>
  <c r="Q518" i="17"/>
  <c r="Q519" i="17"/>
  <c r="Q520" i="17"/>
  <c r="Q521" i="17"/>
  <c r="Q522" i="17"/>
  <c r="Q523" i="17"/>
  <c r="Q524" i="17"/>
  <c r="Q525" i="17"/>
  <c r="Q526" i="17"/>
  <c r="Q527" i="17"/>
  <c r="Q528" i="17"/>
  <c r="Q529" i="17"/>
  <c r="Q530" i="17"/>
  <c r="Q531" i="17"/>
  <c r="Q532" i="17"/>
  <c r="Q533" i="17"/>
  <c r="Q534" i="17"/>
  <c r="Q535" i="17"/>
  <c r="Q536" i="17"/>
  <c r="Q537" i="17"/>
  <c r="Q538" i="17"/>
  <c r="Q539" i="17"/>
  <c r="Q540" i="17"/>
  <c r="Q541" i="17"/>
  <c r="Q542" i="17"/>
  <c r="Q543" i="17"/>
  <c r="Q544" i="17"/>
  <c r="Q545" i="17"/>
  <c r="Q546" i="17"/>
  <c r="Q547" i="17"/>
  <c r="Q548" i="17"/>
  <c r="Q549" i="17"/>
  <c r="Q550" i="17"/>
  <c r="Q551" i="17"/>
  <c r="Q552" i="17"/>
  <c r="Q553" i="17"/>
  <c r="Q554" i="17"/>
  <c r="Q555" i="17"/>
  <c r="Q556" i="17"/>
  <c r="Q557" i="17"/>
  <c r="Q558" i="17"/>
  <c r="Q559" i="17"/>
  <c r="Q560" i="17"/>
  <c r="Q561" i="17"/>
  <c r="Q562" i="17"/>
  <c r="Q563" i="17"/>
  <c r="Q564" i="17"/>
  <c r="Q565" i="17"/>
  <c r="Q566" i="17"/>
  <c r="Q567" i="17"/>
  <c r="Q568" i="17"/>
  <c r="Q569" i="17"/>
  <c r="Q570" i="17"/>
  <c r="Q571" i="17"/>
  <c r="Q572" i="17"/>
  <c r="Q573" i="17"/>
  <c r="Q574" i="17"/>
  <c r="Q575" i="17"/>
  <c r="Q576" i="17"/>
  <c r="Q577" i="17"/>
  <c r="Q578" i="17"/>
  <c r="Q579" i="17"/>
  <c r="Q580" i="17"/>
  <c r="Q581" i="17"/>
  <c r="Q582" i="17"/>
  <c r="Q583" i="17"/>
  <c r="Q584" i="17"/>
  <c r="Q585" i="17"/>
  <c r="Q586" i="17"/>
  <c r="Q587" i="17"/>
  <c r="Q588" i="17"/>
  <c r="Q589" i="17"/>
  <c r="Q590" i="17"/>
  <c r="Q591" i="17"/>
  <c r="Q592" i="17"/>
  <c r="Q593" i="17"/>
  <c r="Q594" i="17"/>
  <c r="Q595" i="17"/>
  <c r="Q596" i="17"/>
  <c r="Q597" i="17"/>
  <c r="Q598" i="17"/>
  <c r="Q599" i="17"/>
  <c r="Q600" i="17"/>
  <c r="Q601" i="17"/>
  <c r="Q602" i="17"/>
  <c r="Q603" i="17"/>
  <c r="Q604" i="17"/>
  <c r="Q605" i="17"/>
  <c r="Q606" i="17"/>
  <c r="Q607" i="17"/>
  <c r="Q608" i="17"/>
  <c r="Q609" i="17"/>
  <c r="Q610" i="17"/>
  <c r="Q611" i="17"/>
  <c r="Q612" i="17"/>
  <c r="Q613" i="17"/>
  <c r="Q614" i="17"/>
  <c r="Q615" i="17"/>
  <c r="Q616" i="17"/>
  <c r="Q617" i="17"/>
  <c r="Q618" i="17"/>
  <c r="Q619" i="17"/>
  <c r="Q620" i="17"/>
  <c r="Q621" i="17"/>
  <c r="Q622" i="17"/>
  <c r="Q623" i="17"/>
  <c r="Q624" i="17"/>
  <c r="Q625" i="17"/>
  <c r="Q626" i="17"/>
  <c r="Q627" i="17"/>
  <c r="Q628" i="17"/>
  <c r="Q629" i="17"/>
  <c r="Q630" i="17"/>
  <c r="Q631" i="17"/>
  <c r="Q632" i="17"/>
  <c r="Q633" i="17"/>
  <c r="Q634" i="17"/>
  <c r="Q635" i="17"/>
  <c r="Q636" i="17"/>
  <c r="Q637" i="17"/>
  <c r="Q638" i="17"/>
  <c r="Q639" i="17"/>
  <c r="Q640" i="17"/>
  <c r="Q641" i="17"/>
  <c r="Q642" i="17"/>
  <c r="Q643" i="17"/>
  <c r="Q644" i="17"/>
  <c r="Q645" i="17"/>
  <c r="Q646" i="17"/>
  <c r="Q647" i="17"/>
  <c r="Q648" i="17"/>
  <c r="Q649" i="17"/>
  <c r="Q650" i="17"/>
  <c r="Q651" i="17"/>
  <c r="Q652" i="17"/>
  <c r="Q653" i="17"/>
  <c r="Q654" i="17"/>
  <c r="Q655" i="17"/>
  <c r="Q656" i="17"/>
  <c r="Q657" i="17"/>
  <c r="Q658" i="17"/>
  <c r="Q659" i="17"/>
  <c r="Q660" i="17"/>
  <c r="Q661" i="17"/>
  <c r="Q662" i="17"/>
  <c r="Q663" i="17"/>
  <c r="Q664" i="17"/>
  <c r="Q665" i="17"/>
  <c r="Q666" i="17"/>
  <c r="Q667" i="17"/>
  <c r="Q668" i="17"/>
  <c r="Q669" i="17"/>
  <c r="Q670" i="17"/>
  <c r="Q671" i="17"/>
  <c r="Q672" i="17"/>
  <c r="Q673" i="17"/>
  <c r="Q674" i="17"/>
  <c r="Q675" i="17"/>
  <c r="Q676" i="17"/>
  <c r="Q677" i="17"/>
  <c r="Q678" i="17"/>
  <c r="Q679" i="17"/>
  <c r="Q680" i="17"/>
  <c r="Q681" i="17"/>
  <c r="Q682" i="17"/>
  <c r="Q683" i="17"/>
  <c r="Q684" i="17"/>
  <c r="Q685" i="17"/>
  <c r="Q686" i="17"/>
  <c r="Q687" i="17"/>
  <c r="Q688" i="17"/>
  <c r="Q689" i="17"/>
  <c r="Q690" i="17"/>
  <c r="Q691" i="17"/>
  <c r="Q692" i="17"/>
  <c r="Q693" i="17"/>
  <c r="Q694" i="17"/>
  <c r="Q695" i="17"/>
  <c r="Q696" i="17"/>
  <c r="Q697" i="17"/>
  <c r="Q698" i="17"/>
  <c r="Q699" i="17"/>
  <c r="Q700" i="17"/>
  <c r="Q701" i="17"/>
  <c r="Q702" i="17"/>
  <c r="Q703" i="17"/>
  <c r="Q704" i="17"/>
  <c r="Q705" i="17"/>
  <c r="Q706" i="17"/>
  <c r="Q707" i="17"/>
  <c r="Q708" i="17"/>
  <c r="Q709" i="17"/>
  <c r="Q710" i="17"/>
  <c r="Q711" i="17"/>
  <c r="Q712" i="17"/>
  <c r="Q713" i="17"/>
  <c r="Q714" i="17"/>
  <c r="Q715" i="17"/>
  <c r="Q716" i="17"/>
  <c r="Q717" i="17"/>
  <c r="Q718" i="17"/>
  <c r="Q719" i="17"/>
  <c r="Q720" i="17"/>
  <c r="Q721" i="17"/>
  <c r="Q722" i="17"/>
  <c r="Q723" i="17"/>
  <c r="Q724" i="17"/>
  <c r="Q725" i="17"/>
  <c r="Q726" i="17"/>
  <c r="Q727" i="17"/>
  <c r="Q728" i="17"/>
  <c r="Q729" i="17"/>
  <c r="Q730" i="17"/>
  <c r="Q731" i="17"/>
  <c r="Q732" i="17"/>
  <c r="Q733" i="17"/>
  <c r="Q734" i="17"/>
  <c r="Q735" i="17"/>
  <c r="Q736" i="17"/>
  <c r="Q737" i="17"/>
  <c r="Q738" i="17"/>
  <c r="Q739" i="17"/>
  <c r="Q740" i="17"/>
  <c r="Q741" i="17"/>
  <c r="Q742" i="17"/>
  <c r="Q743" i="17"/>
  <c r="Q744" i="17"/>
  <c r="Q745" i="17"/>
  <c r="Q746" i="17"/>
  <c r="Q747" i="17"/>
  <c r="Q748" i="17"/>
  <c r="Q749" i="17"/>
  <c r="Q750" i="17"/>
  <c r="Q751" i="17"/>
  <c r="Q752" i="17"/>
  <c r="Q753" i="17"/>
  <c r="Q754" i="17"/>
  <c r="Q755" i="17"/>
  <c r="Q756" i="17"/>
  <c r="Q757" i="17"/>
  <c r="Q758" i="17"/>
  <c r="Q759" i="17"/>
  <c r="Q760" i="17"/>
  <c r="Q761" i="17"/>
  <c r="Q762" i="17"/>
  <c r="Q763" i="17"/>
  <c r="Q764" i="17"/>
  <c r="Q765" i="17"/>
  <c r="Q766" i="17"/>
  <c r="Q767" i="17"/>
  <c r="Q768" i="17"/>
  <c r="Q769" i="17"/>
  <c r="Q770" i="17"/>
  <c r="Q771" i="17"/>
  <c r="Q772" i="17"/>
  <c r="Q773" i="17"/>
  <c r="Q774" i="17"/>
  <c r="Q775" i="17"/>
  <c r="Q776" i="17"/>
  <c r="Q777" i="17"/>
  <c r="Q778" i="17"/>
  <c r="Q779" i="17"/>
  <c r="Q780" i="17"/>
  <c r="Q781" i="17"/>
  <c r="Q782" i="17"/>
  <c r="Q783" i="17"/>
  <c r="Q784" i="17"/>
  <c r="Q785" i="17"/>
  <c r="Q786" i="17"/>
  <c r="Q787" i="17"/>
  <c r="Q788" i="17"/>
  <c r="Q789" i="17"/>
  <c r="Q790" i="17"/>
  <c r="Q791" i="17"/>
  <c r="Q792" i="17"/>
  <c r="Q793" i="17"/>
  <c r="Q794" i="17"/>
  <c r="Q795" i="17"/>
  <c r="Q796" i="17"/>
  <c r="Q797" i="17"/>
  <c r="Q798" i="17"/>
  <c r="Q799" i="17"/>
  <c r="Q800" i="17"/>
  <c r="Q801" i="17"/>
  <c r="Q802" i="17"/>
  <c r="Q803" i="17"/>
  <c r="Q804" i="17"/>
  <c r="Q805" i="17"/>
  <c r="Q806" i="17"/>
  <c r="Q807" i="17"/>
  <c r="Q808" i="17"/>
  <c r="Q809" i="17"/>
  <c r="Q810" i="17"/>
  <c r="Q811" i="17"/>
  <c r="Q812" i="17"/>
  <c r="Q813" i="17"/>
  <c r="Q814" i="17"/>
  <c r="Q815" i="17"/>
  <c r="Q816" i="17"/>
  <c r="Q817" i="17"/>
  <c r="Q818" i="17"/>
  <c r="Q819" i="17"/>
  <c r="Q820" i="17"/>
  <c r="Q821" i="17"/>
  <c r="Q822" i="17"/>
  <c r="Q823" i="17"/>
  <c r="Q824" i="17"/>
  <c r="Q825" i="17"/>
  <c r="Q826" i="17"/>
  <c r="Q827" i="17"/>
  <c r="Q828" i="17"/>
  <c r="Q829" i="17"/>
  <c r="Q830" i="17"/>
  <c r="Q831" i="17"/>
  <c r="Q832" i="17"/>
  <c r="Q833" i="17"/>
  <c r="Q834" i="17"/>
  <c r="Q835" i="17"/>
  <c r="Q836" i="17"/>
  <c r="Q837" i="17"/>
  <c r="Q838" i="17"/>
  <c r="Q839" i="17"/>
  <c r="Q840" i="17"/>
  <c r="Q841" i="17"/>
  <c r="Q842" i="17"/>
  <c r="Q843" i="17"/>
  <c r="Q844" i="17"/>
  <c r="Q845" i="17"/>
  <c r="Q846" i="17"/>
  <c r="Q847" i="17"/>
  <c r="Q848" i="17"/>
  <c r="Q849" i="17"/>
  <c r="Q850" i="17"/>
  <c r="Q851" i="17"/>
  <c r="Q852" i="17"/>
  <c r="Q853" i="17"/>
  <c r="Q854" i="17"/>
  <c r="Q855" i="17"/>
  <c r="Q856" i="17"/>
  <c r="Q857" i="17"/>
  <c r="Q858" i="17"/>
  <c r="Q859" i="17"/>
  <c r="Q860" i="17"/>
  <c r="Q861" i="17"/>
  <c r="Q862" i="17"/>
  <c r="Q863" i="17"/>
  <c r="Q864" i="17"/>
  <c r="Q865" i="17"/>
  <c r="Q866" i="17"/>
  <c r="Q867" i="17"/>
  <c r="Q868" i="17"/>
  <c r="Q869" i="17"/>
  <c r="Q870" i="17"/>
  <c r="Q871" i="17"/>
  <c r="Q872" i="17"/>
  <c r="Q873" i="17"/>
  <c r="Q874" i="17"/>
  <c r="Q875" i="17"/>
  <c r="Q876" i="17"/>
  <c r="Q877" i="17"/>
  <c r="Q878" i="17"/>
  <c r="Q879" i="17"/>
  <c r="Q880" i="17"/>
  <c r="Q881" i="17"/>
  <c r="Q882" i="17"/>
  <c r="Q883" i="17"/>
  <c r="Q884" i="17"/>
  <c r="Q885" i="17"/>
  <c r="Q886" i="17"/>
  <c r="Q887" i="17"/>
  <c r="Q888" i="17"/>
  <c r="Q889" i="17"/>
  <c r="Q890" i="17"/>
  <c r="Q891" i="17"/>
  <c r="Q892" i="17"/>
  <c r="Q893" i="17"/>
  <c r="Q894" i="17"/>
  <c r="Q895" i="17"/>
  <c r="Q896" i="17"/>
  <c r="Q897" i="17"/>
  <c r="Q898" i="17"/>
  <c r="Q899" i="17"/>
  <c r="Q900" i="17"/>
  <c r="Q901" i="17"/>
  <c r="Q902" i="17"/>
  <c r="Q903" i="17"/>
  <c r="Q904" i="17"/>
  <c r="Q905" i="17"/>
  <c r="Q906" i="17"/>
  <c r="Q907" i="17"/>
  <c r="Q908" i="17"/>
  <c r="Q909" i="17"/>
  <c r="Q910" i="17"/>
  <c r="Q911" i="17"/>
  <c r="Q912" i="17"/>
  <c r="Q913" i="17"/>
  <c r="Q914" i="17"/>
  <c r="Q915" i="17"/>
  <c r="Q916" i="17"/>
  <c r="Q917" i="17"/>
  <c r="Q918" i="17"/>
  <c r="Q919" i="17"/>
  <c r="Q920" i="17"/>
  <c r="Q921" i="17"/>
  <c r="Q922" i="17"/>
  <c r="Q923" i="17"/>
  <c r="Q924" i="17"/>
  <c r="Q925" i="17"/>
  <c r="Q926" i="17"/>
  <c r="Q927" i="17"/>
  <c r="Q928" i="17"/>
  <c r="Q929" i="17"/>
  <c r="Q930" i="17"/>
  <c r="Q931" i="17"/>
  <c r="Q932" i="17"/>
  <c r="Q933" i="17"/>
  <c r="Q934" i="17"/>
  <c r="Q935" i="17"/>
  <c r="Q936" i="17"/>
  <c r="Q937" i="17"/>
  <c r="Q938" i="17"/>
  <c r="Q939" i="17"/>
  <c r="Q940" i="17"/>
  <c r="Q941" i="17"/>
  <c r="Q942" i="17"/>
  <c r="Q943" i="17"/>
  <c r="Q944" i="17"/>
  <c r="Q945" i="17"/>
  <c r="Q946" i="17"/>
  <c r="Q947" i="17"/>
  <c r="Q948" i="17"/>
  <c r="Q949" i="17"/>
  <c r="Q950" i="17"/>
  <c r="Q951" i="17"/>
  <c r="Q952" i="17"/>
  <c r="Q953" i="17"/>
  <c r="Q954" i="17"/>
  <c r="Q955" i="17"/>
  <c r="Q956" i="17"/>
  <c r="Q957" i="17"/>
  <c r="Q958" i="17"/>
  <c r="Q959" i="17"/>
  <c r="Q960" i="17"/>
  <c r="Q961" i="17"/>
  <c r="Q962" i="17"/>
  <c r="Q963" i="17"/>
  <c r="Q964" i="17"/>
  <c r="Q965" i="17"/>
  <c r="Q966" i="17"/>
  <c r="Q967" i="17"/>
  <c r="Q968" i="17"/>
  <c r="Q969" i="17"/>
  <c r="Q970" i="17"/>
  <c r="Q971" i="17"/>
  <c r="Q972" i="17"/>
  <c r="Q973" i="17"/>
  <c r="Q974" i="17"/>
  <c r="Q975" i="17"/>
  <c r="Q976" i="17"/>
  <c r="Q977" i="17"/>
  <c r="Q978" i="17"/>
  <c r="Q979" i="17"/>
  <c r="Q980" i="17"/>
  <c r="Q981" i="17"/>
  <c r="Q982" i="17"/>
  <c r="Q983" i="17"/>
  <c r="Q984" i="17"/>
  <c r="Q985" i="17"/>
  <c r="Q986" i="17"/>
  <c r="Q987" i="17"/>
  <c r="Q988" i="17"/>
  <c r="Q989" i="17"/>
  <c r="Q990" i="17"/>
  <c r="Q991" i="17"/>
  <c r="Q992" i="17"/>
  <c r="Q993" i="17"/>
  <c r="Q994" i="17"/>
  <c r="Q995" i="17"/>
  <c r="Q996" i="17"/>
  <c r="Q997" i="17"/>
  <c r="Q998" i="17"/>
  <c r="Q999" i="17"/>
  <c r="Q1000" i="17"/>
  <c r="Q1001" i="17"/>
  <c r="H2" i="17" a="1"/>
  <c r="H2" i="17" s="1"/>
  <c r="H3" i="17" a="1"/>
  <c r="H3" i="17" s="1"/>
  <c r="H4" i="17" a="1"/>
  <c r="H4" i="17" s="1"/>
  <c r="H5" i="17" a="1"/>
  <c r="H5" i="17" s="1"/>
  <c r="H6" i="17" a="1"/>
  <c r="H6" i="17" s="1"/>
  <c r="H7" i="17" a="1"/>
  <c r="H7" i="17" s="1"/>
  <c r="H8" i="17" a="1"/>
  <c r="H8" i="17" s="1"/>
  <c r="H9" i="17" a="1"/>
  <c r="H9" i="17" s="1"/>
  <c r="H10" i="17" a="1"/>
  <c r="H10" i="17" s="1"/>
  <c r="H11" i="17" a="1"/>
  <c r="H11" i="17" s="1"/>
  <c r="H12" i="17" a="1"/>
  <c r="H12" i="17" s="1"/>
  <c r="H13" i="17" a="1"/>
  <c r="H13" i="17"/>
  <c r="H14" i="17" a="1"/>
  <c r="H14" i="17" s="1"/>
  <c r="H15" i="17" a="1"/>
  <c r="H15" i="17" s="1"/>
  <c r="H16" i="17" a="1"/>
  <c r="H16" i="17" s="1"/>
  <c r="H17" i="17" a="1"/>
  <c r="H17" i="17" s="1"/>
  <c r="H18" i="17" a="1"/>
  <c r="H18" i="17" s="1"/>
  <c r="H19" i="17" a="1"/>
  <c r="H19" i="17" s="1"/>
  <c r="H20" i="17" a="1"/>
  <c r="H20" i="17" s="1"/>
  <c r="H21" i="17" a="1"/>
  <c r="H21" i="17" s="1"/>
  <c r="H22" i="17" a="1"/>
  <c r="H22" i="17" s="1"/>
  <c r="H23" i="17" a="1"/>
  <c r="H23" i="17" s="1"/>
  <c r="H24" i="17" a="1"/>
  <c r="H24" i="17" s="1"/>
  <c r="H25" i="17" a="1"/>
  <c r="H25" i="17" s="1"/>
  <c r="H26" i="17" a="1"/>
  <c r="H26" i="17" s="1"/>
  <c r="H27" i="17" a="1"/>
  <c r="H27" i="17" s="1"/>
  <c r="H28" i="17" a="1"/>
  <c r="H28" i="17" s="1"/>
  <c r="H29" i="17" a="1"/>
  <c r="H29" i="17" s="1"/>
  <c r="H30" i="17" a="1"/>
  <c r="H30" i="17" s="1"/>
  <c r="H31" i="17" a="1"/>
  <c r="H31" i="17" s="1"/>
  <c r="H32" i="17" a="1"/>
  <c r="H32" i="17" s="1"/>
  <c r="H33" i="17" a="1"/>
  <c r="H33" i="17" s="1"/>
  <c r="H34" i="17" a="1"/>
  <c r="H34" i="17" s="1"/>
  <c r="H35" i="17" a="1"/>
  <c r="H35" i="17" s="1"/>
  <c r="H36" i="17" a="1"/>
  <c r="H36" i="17" s="1"/>
  <c r="H37" i="17" a="1"/>
  <c r="H37" i="17" s="1"/>
  <c r="H38" i="17" a="1"/>
  <c r="H38" i="17" s="1"/>
  <c r="H39" i="17" a="1"/>
  <c r="H39" i="17" s="1"/>
  <c r="H40" i="17" a="1"/>
  <c r="H40" i="17" s="1"/>
  <c r="H41" i="17" a="1"/>
  <c r="H41" i="17" s="1"/>
  <c r="H42" i="17" a="1"/>
  <c r="H42" i="17" s="1"/>
  <c r="H43" i="17" a="1"/>
  <c r="H43" i="17" s="1"/>
  <c r="H44" i="17" a="1"/>
  <c r="H44" i="17" s="1"/>
  <c r="H45" i="17" a="1"/>
  <c r="H45" i="17" s="1"/>
  <c r="H46" i="17" a="1"/>
  <c r="H46" i="17" s="1"/>
  <c r="H47" i="17" a="1"/>
  <c r="H47" i="17" s="1"/>
  <c r="H48" i="17" a="1"/>
  <c r="H48" i="17" s="1"/>
  <c r="H49" i="17" a="1"/>
  <c r="H49" i="17" s="1"/>
  <c r="H50" i="17" a="1"/>
  <c r="H50" i="17" s="1"/>
  <c r="H51" i="17" a="1"/>
  <c r="H51" i="17" s="1"/>
  <c r="H52" i="17" a="1"/>
  <c r="H52" i="17" s="1"/>
  <c r="H53" i="17" a="1"/>
  <c r="H53" i="17" s="1"/>
  <c r="H54" i="17" a="1"/>
  <c r="H54" i="17" s="1"/>
  <c r="H55" i="17" a="1"/>
  <c r="H55" i="17"/>
  <c r="H56" i="17" a="1"/>
  <c r="H56" i="17" s="1"/>
  <c r="H57" i="17" a="1"/>
  <c r="H57" i="17" s="1"/>
  <c r="H58" i="17" a="1"/>
  <c r="H58" i="17" s="1"/>
  <c r="H59" i="17" a="1"/>
  <c r="H59" i="17"/>
  <c r="H60" i="17" a="1"/>
  <c r="H60" i="17" s="1"/>
  <c r="H61" i="17" a="1"/>
  <c r="H61" i="17" s="1"/>
  <c r="H62" i="17" a="1"/>
  <c r="H62" i="17" s="1"/>
  <c r="H63" i="17" a="1"/>
  <c r="H63" i="17" s="1"/>
  <c r="H64" i="17" a="1"/>
  <c r="H64" i="17" s="1"/>
  <c r="H65" i="17" a="1"/>
  <c r="H65" i="17" s="1"/>
  <c r="H66" i="17" a="1"/>
  <c r="H66" i="17" s="1"/>
  <c r="H67" i="17" a="1"/>
  <c r="H67" i="17" s="1"/>
  <c r="H68" i="17" a="1"/>
  <c r="H68" i="17" s="1"/>
  <c r="H69" i="17" a="1"/>
  <c r="H69" i="17" s="1"/>
  <c r="H70" i="17" a="1"/>
  <c r="H70" i="17" s="1"/>
  <c r="H71" i="17" a="1"/>
  <c r="H71" i="17"/>
  <c r="H72" i="17" a="1"/>
  <c r="H72" i="17" s="1"/>
  <c r="H73" i="17" a="1"/>
  <c r="H73" i="17" s="1"/>
  <c r="H74" i="17" a="1"/>
  <c r="H74" i="17" s="1"/>
  <c r="H75" i="17" a="1"/>
  <c r="H75" i="17" s="1"/>
  <c r="H76" i="17" a="1"/>
  <c r="H76" i="17" s="1"/>
  <c r="H77" i="17" a="1"/>
  <c r="H77" i="17" s="1"/>
  <c r="H78" i="17" a="1"/>
  <c r="H78" i="17" s="1"/>
  <c r="H79" i="17" a="1"/>
  <c r="H79" i="17"/>
  <c r="H80" i="17" a="1"/>
  <c r="H80" i="17" s="1"/>
  <c r="H81" i="17" a="1"/>
  <c r="H81" i="17" s="1"/>
  <c r="H82" i="17" a="1"/>
  <c r="H82" i="17" s="1"/>
  <c r="H83" i="17" a="1"/>
  <c r="H83" i="17" s="1"/>
  <c r="H84" i="17" a="1"/>
  <c r="H84" i="17" s="1"/>
  <c r="H85" i="17" a="1"/>
  <c r="H85" i="17" s="1"/>
  <c r="H86" i="17" a="1"/>
  <c r="H86" i="17" s="1"/>
  <c r="H87" i="17" a="1"/>
  <c r="H87" i="17" s="1"/>
  <c r="H88" i="17" a="1"/>
  <c r="H88" i="17" s="1"/>
  <c r="H89" i="17" a="1"/>
  <c r="H89" i="17" s="1"/>
  <c r="H90" i="17" a="1"/>
  <c r="H90" i="17" s="1"/>
  <c r="H91" i="17" a="1"/>
  <c r="H91" i="17" s="1"/>
  <c r="H92" i="17" a="1"/>
  <c r="H92" i="17" s="1"/>
  <c r="H93" i="17" a="1"/>
  <c r="H93" i="17" s="1"/>
  <c r="H94" i="17" a="1"/>
  <c r="H94" i="17" s="1"/>
  <c r="H95" i="17" a="1"/>
  <c r="H95" i="17"/>
  <c r="H96" i="17" a="1"/>
  <c r="H96" i="17" s="1"/>
  <c r="H97" i="17" a="1"/>
  <c r="H97" i="17" s="1"/>
  <c r="H98" i="17" a="1"/>
  <c r="H98" i="17" s="1"/>
  <c r="H99" i="17" a="1"/>
  <c r="H99" i="17" s="1"/>
  <c r="H100" i="17" a="1"/>
  <c r="H100" i="17" s="1"/>
  <c r="H101" i="17" a="1"/>
  <c r="H101" i="17" s="1"/>
  <c r="H102" i="17" a="1"/>
  <c r="H102" i="17" s="1"/>
  <c r="H103" i="17" a="1"/>
  <c r="H103" i="17"/>
  <c r="H104" i="17" a="1"/>
  <c r="H104" i="17" s="1"/>
  <c r="H105" i="17" a="1"/>
  <c r="H105" i="17" s="1"/>
  <c r="H106" i="17" a="1"/>
  <c r="H106" i="17" s="1"/>
  <c r="H107" i="17" a="1"/>
  <c r="H107" i="17" s="1"/>
  <c r="H108" i="17" a="1"/>
  <c r="H108" i="17" s="1"/>
  <c r="H109" i="17" a="1"/>
  <c r="H109" i="17" s="1"/>
  <c r="H110" i="17" a="1"/>
  <c r="H110" i="17" s="1"/>
  <c r="H111" i="17" a="1"/>
  <c r="H111" i="17" s="1"/>
  <c r="H112" i="17" a="1"/>
  <c r="H112" i="17" s="1"/>
  <c r="H113" i="17" a="1"/>
  <c r="H113" i="17" s="1"/>
  <c r="H114" i="17" a="1"/>
  <c r="H114" i="17" s="1"/>
  <c r="H115" i="17" a="1"/>
  <c r="H115" i="17" s="1"/>
  <c r="H116" i="17" a="1"/>
  <c r="H116" i="17" s="1"/>
  <c r="H117" i="17" a="1"/>
  <c r="H117" i="17" s="1"/>
  <c r="H118" i="17" a="1"/>
  <c r="H118" i="17" s="1"/>
  <c r="H119" i="17" a="1"/>
  <c r="H119" i="17" s="1"/>
  <c r="H120" i="17" a="1"/>
  <c r="H120" i="17" s="1"/>
  <c r="H121" i="17" a="1"/>
  <c r="H121" i="17" s="1"/>
  <c r="H122" i="17" a="1"/>
  <c r="H122" i="17" s="1"/>
  <c r="H123" i="17" a="1"/>
  <c r="H123" i="17" s="1"/>
  <c r="H124" i="17" a="1"/>
  <c r="H124" i="17" s="1"/>
  <c r="H125" i="17" a="1"/>
  <c r="H125" i="17" s="1"/>
  <c r="H126" i="17" a="1"/>
  <c r="H126" i="17" s="1"/>
  <c r="H127" i="17" a="1"/>
  <c r="H127" i="17"/>
  <c r="H128" i="17" a="1"/>
  <c r="H128" i="17" s="1"/>
  <c r="H129" i="17" a="1"/>
  <c r="H129" i="17" s="1"/>
  <c r="H130" i="17" a="1"/>
  <c r="H130" i="17" s="1"/>
  <c r="H131" i="17" a="1"/>
  <c r="H131" i="17" s="1"/>
  <c r="H132" i="17" a="1"/>
  <c r="H132" i="17" s="1"/>
  <c r="H133" i="17" a="1"/>
  <c r="H133" i="17"/>
  <c r="H134" i="17" a="1"/>
  <c r="H134" i="17" s="1"/>
  <c r="H135" i="17" a="1"/>
  <c r="H135" i="17" s="1"/>
  <c r="H136" i="17" a="1"/>
  <c r="H136" i="17" s="1"/>
  <c r="H137" i="17" a="1"/>
  <c r="H137" i="17" s="1"/>
  <c r="H138" i="17" a="1"/>
  <c r="H138" i="17" s="1"/>
  <c r="H139" i="17" a="1"/>
  <c r="H139" i="17" s="1"/>
  <c r="H140" i="17" a="1"/>
  <c r="H140" i="17" s="1"/>
  <c r="H141" i="17" a="1"/>
  <c r="H141" i="17" s="1"/>
  <c r="H142" i="17" a="1"/>
  <c r="H142" i="17" s="1"/>
  <c r="H143" i="17" a="1"/>
  <c r="H143" i="17"/>
  <c r="H144" i="17" a="1"/>
  <c r="H144" i="17" s="1"/>
  <c r="H145" i="17" a="1"/>
  <c r="H145" i="17" s="1"/>
  <c r="H146" i="17" a="1"/>
  <c r="H146" i="17" s="1"/>
  <c r="H147" i="17" a="1"/>
  <c r="H147" i="17" s="1"/>
  <c r="H148" i="17" a="1"/>
  <c r="H148" i="17" s="1"/>
  <c r="H149" i="17" a="1"/>
  <c r="H149" i="17"/>
  <c r="H150" i="17" a="1"/>
  <c r="H150" i="17" s="1"/>
  <c r="H151" i="17" a="1"/>
  <c r="H151" i="17" s="1"/>
  <c r="H152" i="17" a="1"/>
  <c r="H152" i="17" s="1"/>
  <c r="H153" i="17" a="1"/>
  <c r="H153" i="17" s="1"/>
  <c r="H154" i="17" a="1"/>
  <c r="H154" i="17" s="1"/>
  <c r="H155" i="17" a="1"/>
  <c r="H155" i="17" s="1"/>
  <c r="H156" i="17" a="1"/>
  <c r="H156" i="17" s="1"/>
  <c r="H157" i="17" a="1"/>
  <c r="H157" i="17" s="1"/>
  <c r="H158" i="17" a="1"/>
  <c r="H158" i="17" s="1"/>
  <c r="H159" i="17" a="1"/>
  <c r="H159" i="17"/>
  <c r="H160" i="17" a="1"/>
  <c r="H160" i="17" s="1"/>
  <c r="H161" i="17" a="1"/>
  <c r="H161" i="17" s="1"/>
  <c r="H162" i="17" a="1"/>
  <c r="H162" i="17" s="1"/>
  <c r="H163" i="17" a="1"/>
  <c r="H163" i="17" s="1"/>
  <c r="H164" i="17" a="1"/>
  <c r="H164" i="17" s="1"/>
  <c r="H165" i="17" a="1"/>
  <c r="H165" i="17"/>
  <c r="H166" i="17" a="1"/>
  <c r="H166" i="17" s="1"/>
  <c r="H167" i="17" a="1"/>
  <c r="H167" i="17" s="1"/>
  <c r="H168" i="17" a="1"/>
  <c r="H168" i="17" s="1"/>
  <c r="H169" i="17" a="1"/>
  <c r="H169" i="17" s="1"/>
  <c r="H170" i="17" a="1"/>
  <c r="H170" i="17" s="1"/>
  <c r="H171" i="17" a="1"/>
  <c r="H171" i="17" s="1"/>
  <c r="H172" i="17" a="1"/>
  <c r="H172" i="17"/>
  <c r="H173" i="17" a="1"/>
  <c r="H173" i="17" s="1"/>
  <c r="H174" i="17" a="1"/>
  <c r="H174" i="17"/>
  <c r="H175" i="17" a="1"/>
  <c r="H175" i="17" s="1"/>
  <c r="H176" i="17" a="1"/>
  <c r="H176" i="17" s="1"/>
  <c r="H177" i="17" a="1"/>
  <c r="H177" i="17" s="1"/>
  <c r="H178" i="17" a="1"/>
  <c r="H178" i="17" s="1"/>
  <c r="H179" i="17" a="1"/>
  <c r="H179" i="17" s="1"/>
  <c r="H180" i="17" a="1"/>
  <c r="H180" i="17"/>
  <c r="H181" i="17" a="1"/>
  <c r="H181" i="17" s="1"/>
  <c r="H182" i="17" a="1"/>
  <c r="H182" i="17"/>
  <c r="H183" i="17" a="1"/>
  <c r="H183" i="17" s="1"/>
  <c r="H184" i="17" a="1"/>
  <c r="H184" i="17" s="1"/>
  <c r="H185" i="17" a="1"/>
  <c r="H185" i="17" s="1"/>
  <c r="H186" i="17" a="1"/>
  <c r="H186" i="17" s="1"/>
  <c r="H187" i="17" a="1"/>
  <c r="H187" i="17" s="1"/>
  <c r="H188" i="17" a="1"/>
  <c r="H188" i="17"/>
  <c r="H189" i="17" a="1"/>
  <c r="H189" i="17" s="1"/>
  <c r="H190" i="17" a="1"/>
  <c r="H190" i="17"/>
  <c r="H191" i="17" a="1"/>
  <c r="H191" i="17" s="1"/>
  <c r="H192" i="17" a="1"/>
  <c r="H192" i="17" s="1"/>
  <c r="H193" i="17" a="1"/>
  <c r="H193" i="17" s="1"/>
  <c r="H194" i="17" a="1"/>
  <c r="H194" i="17" s="1"/>
  <c r="H195" i="17" a="1"/>
  <c r="H195" i="17" s="1"/>
  <c r="H196" i="17" a="1"/>
  <c r="H196" i="17"/>
  <c r="H197" i="17" a="1"/>
  <c r="H197" i="17" s="1"/>
  <c r="H198" i="17" a="1"/>
  <c r="H198" i="17"/>
  <c r="H199" i="17" a="1"/>
  <c r="H199" i="17" s="1"/>
  <c r="H200" i="17" a="1"/>
  <c r="H200" i="17" s="1"/>
  <c r="H201" i="17" a="1"/>
  <c r="H201" i="17" s="1"/>
  <c r="H202" i="17" a="1"/>
  <c r="H202" i="17" s="1"/>
  <c r="H203" i="17" a="1"/>
  <c r="H203" i="17" s="1"/>
  <c r="H204" i="17" a="1"/>
  <c r="H204" i="17" s="1"/>
  <c r="H205" i="17" a="1"/>
  <c r="H205" i="17"/>
  <c r="H206" i="17" a="1"/>
  <c r="H206" i="17" s="1"/>
  <c r="H207" i="17" a="1"/>
  <c r="H207" i="17" s="1"/>
  <c r="H208" i="17" a="1"/>
  <c r="H208" i="17" s="1"/>
  <c r="H209" i="17" a="1"/>
  <c r="H209" i="17" s="1"/>
  <c r="H210" i="17" a="1"/>
  <c r="H210" i="17" s="1"/>
  <c r="H211" i="17" a="1"/>
  <c r="H211" i="17"/>
  <c r="H212" i="17" a="1"/>
  <c r="H212" i="17" s="1"/>
  <c r="H213" i="17" a="1"/>
  <c r="H213" i="17" s="1"/>
  <c r="H214" i="17" a="1"/>
  <c r="H214" i="17" s="1"/>
  <c r="H215" i="17" a="1"/>
  <c r="H215" i="17" s="1"/>
  <c r="H216" i="17" a="1"/>
  <c r="H216" i="17" s="1"/>
  <c r="H217" i="17" a="1"/>
  <c r="H217" i="17" s="1"/>
  <c r="H218" i="17" a="1"/>
  <c r="H218" i="17" s="1"/>
  <c r="H219" i="17" a="1"/>
  <c r="H219" i="17" s="1"/>
  <c r="H220" i="17" a="1"/>
  <c r="H220" i="17" s="1"/>
  <c r="H221" i="17" a="1"/>
  <c r="H221" i="17"/>
  <c r="H222" i="17" a="1"/>
  <c r="H222" i="17" s="1"/>
  <c r="H223" i="17" a="1"/>
  <c r="H223" i="17" s="1"/>
  <c r="H224" i="17" a="1"/>
  <c r="H224" i="17" s="1"/>
  <c r="H225" i="17" a="1"/>
  <c r="H225" i="17" s="1"/>
  <c r="H226" i="17" a="1"/>
  <c r="H226" i="17" s="1"/>
  <c r="H227" i="17" a="1"/>
  <c r="H227" i="17"/>
  <c r="H228" i="17" a="1"/>
  <c r="H228" i="17" s="1"/>
  <c r="H229" i="17" a="1"/>
  <c r="H229" i="17" s="1"/>
  <c r="H230" i="17" a="1"/>
  <c r="H230" i="17" s="1"/>
  <c r="H231" i="17" a="1"/>
  <c r="H231" i="17" s="1"/>
  <c r="H232" i="17" a="1"/>
  <c r="H232" i="17" s="1"/>
  <c r="H233" i="17" a="1"/>
  <c r="H233" i="17" s="1"/>
  <c r="H234" i="17" a="1"/>
  <c r="H234" i="17" s="1"/>
  <c r="H235" i="17" a="1"/>
  <c r="H235" i="17"/>
  <c r="H236" i="17" a="1"/>
  <c r="H236" i="17" s="1"/>
  <c r="H237" i="17" a="1"/>
  <c r="H237" i="17" s="1"/>
  <c r="H238" i="17" a="1"/>
  <c r="H238" i="17" s="1"/>
  <c r="H239" i="17" a="1"/>
  <c r="H239" i="17" s="1"/>
  <c r="H240" i="17" a="1"/>
  <c r="H240" i="17" s="1"/>
  <c r="H241" i="17" a="1"/>
  <c r="H241" i="17" s="1"/>
  <c r="H242" i="17" a="1"/>
  <c r="H242" i="17" s="1"/>
  <c r="H243" i="17" a="1"/>
  <c r="H243" i="17" s="1"/>
  <c r="H244" i="17" a="1"/>
  <c r="H244" i="17" s="1"/>
  <c r="H245" i="17" a="1"/>
  <c r="H245" i="17" s="1"/>
  <c r="H246" i="17" a="1"/>
  <c r="H246" i="17" s="1"/>
  <c r="H247" i="17" a="1"/>
  <c r="H247" i="17" s="1"/>
  <c r="H248" i="17" a="1"/>
  <c r="H248" i="17" s="1"/>
  <c r="H249" i="17" a="1"/>
  <c r="H249" i="17" s="1"/>
  <c r="H250" i="17" a="1"/>
  <c r="H250" i="17" s="1"/>
  <c r="H251" i="17" a="1"/>
  <c r="H251" i="17" s="1"/>
  <c r="H252" i="17" a="1"/>
  <c r="H252" i="17" s="1"/>
  <c r="H253" i="17" a="1"/>
  <c r="H253" i="17" s="1"/>
  <c r="H254" i="17" a="1"/>
  <c r="H254" i="17" s="1"/>
  <c r="H255" i="17" a="1"/>
  <c r="H255" i="17" s="1"/>
  <c r="H256" i="17" a="1"/>
  <c r="H256" i="17" s="1"/>
  <c r="H257" i="17" a="1"/>
  <c r="H257" i="17" s="1"/>
  <c r="H258" i="17" a="1"/>
  <c r="H258" i="17" s="1"/>
  <c r="H259" i="17" a="1"/>
  <c r="H259" i="17"/>
  <c r="H260" i="17" a="1"/>
  <c r="H260" i="17" s="1"/>
  <c r="H261" i="17" a="1"/>
  <c r="H261" i="17" s="1"/>
  <c r="H262" i="17" a="1"/>
  <c r="H262" i="17" s="1"/>
  <c r="H263" i="17" a="1"/>
  <c r="H263" i="17" s="1"/>
  <c r="H264" i="17" a="1"/>
  <c r="H264" i="17" s="1"/>
  <c r="H265" i="17" a="1"/>
  <c r="H265" i="17" s="1"/>
  <c r="H266" i="17" a="1"/>
  <c r="H266" i="17" s="1"/>
  <c r="H267" i="17" a="1"/>
  <c r="H267" i="17"/>
  <c r="H268" i="17" a="1"/>
  <c r="H268" i="17" s="1"/>
  <c r="H269" i="17" a="1"/>
  <c r="H269" i="17" s="1"/>
  <c r="H270" i="17" a="1"/>
  <c r="H270" i="17" s="1"/>
  <c r="H271" i="17" a="1"/>
  <c r="H271" i="17" s="1"/>
  <c r="H272" i="17" a="1"/>
  <c r="H272" i="17" s="1"/>
  <c r="H273" i="17" a="1"/>
  <c r="H273" i="17" s="1"/>
  <c r="H274" i="17" a="1"/>
  <c r="H274" i="17" s="1"/>
  <c r="H275" i="17" a="1"/>
  <c r="H275" i="17" s="1"/>
  <c r="H276" i="17" a="1"/>
  <c r="H276" i="17" s="1"/>
  <c r="H277" i="17" a="1"/>
  <c r="H277" i="17" s="1"/>
  <c r="H278" i="17" a="1"/>
  <c r="H278" i="17" s="1"/>
  <c r="H279" i="17" a="1"/>
  <c r="H279" i="17" s="1"/>
  <c r="H280" i="17" a="1"/>
  <c r="H280" i="17" s="1"/>
  <c r="H281" i="17" a="1"/>
  <c r="H281" i="17" s="1"/>
  <c r="H282" i="17" a="1"/>
  <c r="H282" i="17" s="1"/>
  <c r="H283" i="17" a="1"/>
  <c r="H283" i="17" s="1"/>
  <c r="H284" i="17" a="1"/>
  <c r="H284" i="17" s="1"/>
  <c r="H285" i="17" a="1"/>
  <c r="H285" i="17" s="1"/>
  <c r="H286" i="17" a="1"/>
  <c r="H286" i="17" s="1"/>
  <c r="H287" i="17" a="1"/>
  <c r="H287" i="17" s="1"/>
  <c r="H288" i="17" a="1"/>
  <c r="H288" i="17" s="1"/>
  <c r="H289" i="17" a="1"/>
  <c r="H289" i="17" s="1"/>
  <c r="H290" i="17" a="1"/>
  <c r="H290" i="17" s="1"/>
  <c r="H291" i="17" a="1"/>
  <c r="H291" i="17"/>
  <c r="H292" i="17" a="1"/>
  <c r="H292" i="17" s="1"/>
  <c r="H293" i="17" a="1"/>
  <c r="H293" i="17" s="1"/>
  <c r="H294" i="17" a="1"/>
  <c r="H294" i="17" s="1"/>
  <c r="H295" i="17" a="1"/>
  <c r="H295" i="17" s="1"/>
  <c r="H296" i="17" a="1"/>
  <c r="H296" i="17" s="1"/>
  <c r="H297" i="17" a="1"/>
  <c r="H297" i="17" s="1"/>
  <c r="H298" i="17" a="1"/>
  <c r="H298" i="17" s="1"/>
  <c r="H299" i="17" a="1"/>
  <c r="H299" i="17"/>
  <c r="H300" i="17" a="1"/>
  <c r="H300" i="17" s="1"/>
  <c r="H301" i="17" a="1"/>
  <c r="H301" i="17" s="1"/>
  <c r="H302" i="17" a="1"/>
  <c r="H302" i="17" s="1"/>
  <c r="H303" i="17" a="1"/>
  <c r="H303" i="17" s="1"/>
  <c r="H304" i="17" a="1"/>
  <c r="H304" i="17" s="1"/>
  <c r="H305" i="17" a="1"/>
  <c r="H305" i="17" s="1"/>
  <c r="H306" i="17" a="1"/>
  <c r="H306" i="17" s="1"/>
  <c r="H307" i="17" a="1"/>
  <c r="H307" i="17" s="1"/>
  <c r="H308" i="17" a="1"/>
  <c r="H308" i="17" s="1"/>
  <c r="H309" i="17" a="1"/>
  <c r="H309" i="17" s="1"/>
  <c r="H310" i="17" a="1"/>
  <c r="H310" i="17" s="1"/>
  <c r="H311" i="17" a="1"/>
  <c r="H311" i="17" s="1"/>
  <c r="H312" i="17" a="1"/>
  <c r="H312" i="17" s="1"/>
  <c r="H313" i="17" a="1"/>
  <c r="H313" i="17" s="1"/>
  <c r="H314" i="17" a="1"/>
  <c r="H314" i="17" s="1"/>
  <c r="H315" i="17" a="1"/>
  <c r="H315" i="17" s="1"/>
  <c r="H316" i="17" a="1"/>
  <c r="H316" i="17" s="1"/>
  <c r="H317" i="17" a="1"/>
  <c r="H317" i="17" s="1"/>
  <c r="H318" i="17" a="1"/>
  <c r="H318" i="17" s="1"/>
  <c r="H319" i="17" a="1"/>
  <c r="H319" i="17" s="1"/>
  <c r="H320" i="17" a="1"/>
  <c r="H320" i="17" s="1"/>
  <c r="H321" i="17" a="1"/>
  <c r="H321" i="17" s="1"/>
  <c r="H322" i="17" a="1"/>
  <c r="H322" i="17" s="1"/>
  <c r="H323" i="17" a="1"/>
  <c r="H323" i="17"/>
  <c r="H324" i="17" a="1"/>
  <c r="H324" i="17" s="1"/>
  <c r="H325" i="17" a="1"/>
  <c r="H325" i="17" s="1"/>
  <c r="H326" i="17" a="1"/>
  <c r="H326" i="17" s="1"/>
  <c r="H327" i="17" a="1"/>
  <c r="H327" i="17" s="1"/>
  <c r="H328" i="17" a="1"/>
  <c r="H328" i="17" s="1"/>
  <c r="H329" i="17" a="1"/>
  <c r="H329" i="17" s="1"/>
  <c r="H330" i="17" a="1"/>
  <c r="H330" i="17" s="1"/>
  <c r="H331" i="17" a="1"/>
  <c r="H331" i="17"/>
  <c r="H332" i="17" a="1"/>
  <c r="H332" i="17" s="1"/>
  <c r="H333" i="17" a="1"/>
  <c r="H333" i="17" s="1"/>
  <c r="H334" i="17" a="1"/>
  <c r="H334" i="17" s="1"/>
  <c r="H335" i="17" a="1"/>
  <c r="H335" i="17" s="1"/>
  <c r="H336" i="17" a="1"/>
  <c r="H336" i="17" s="1"/>
  <c r="H337" i="17" a="1"/>
  <c r="H337" i="17" s="1"/>
  <c r="H338" i="17" a="1"/>
  <c r="H338" i="17" s="1"/>
  <c r="H339" i="17" a="1"/>
  <c r="H339" i="17" s="1"/>
  <c r="H340" i="17" a="1"/>
  <c r="H340" i="17" s="1"/>
  <c r="H341" i="17" a="1"/>
  <c r="H341" i="17"/>
  <c r="H342" i="17" a="1"/>
  <c r="H342" i="17" s="1"/>
  <c r="H343" i="17" a="1"/>
  <c r="H343" i="17" s="1"/>
  <c r="H344" i="17" a="1"/>
  <c r="H344" i="17" s="1"/>
  <c r="H345" i="17" a="1"/>
  <c r="H345" i="17" s="1"/>
  <c r="H346" i="17" a="1"/>
  <c r="H346" i="17" s="1"/>
  <c r="H347" i="17" a="1"/>
  <c r="H347" i="17"/>
  <c r="H348" i="17" a="1"/>
  <c r="H348" i="17" s="1"/>
  <c r="H349" i="17" a="1"/>
  <c r="H349" i="17"/>
  <c r="H350" i="17" a="1"/>
  <c r="H350" i="17" s="1"/>
  <c r="H351" i="17" a="1"/>
  <c r="H351" i="17" s="1"/>
  <c r="H352" i="17" a="1"/>
  <c r="H352" i="17" s="1"/>
  <c r="H353" i="17" a="1"/>
  <c r="H353" i="17"/>
  <c r="H354" i="17" a="1"/>
  <c r="H354" i="17" s="1"/>
  <c r="H355" i="17" a="1"/>
  <c r="H355" i="17"/>
  <c r="H356" i="17" a="1"/>
  <c r="H356" i="17" s="1"/>
  <c r="H357" i="17" a="1"/>
  <c r="H357" i="17" s="1"/>
  <c r="H358" i="17" a="1"/>
  <c r="H358" i="17" s="1"/>
  <c r="H359" i="17" a="1"/>
  <c r="H359" i="17" s="1"/>
  <c r="H360" i="17" a="1"/>
  <c r="H360" i="17" s="1"/>
  <c r="H361" i="17" a="1"/>
  <c r="H361" i="17" s="1"/>
  <c r="H362" i="17" a="1"/>
  <c r="H362" i="17"/>
  <c r="H363" i="17" a="1"/>
  <c r="H363" i="17" s="1"/>
  <c r="H364" i="17" a="1"/>
  <c r="H364" i="17" s="1"/>
  <c r="H365" i="17" a="1"/>
  <c r="H365" i="17" s="1"/>
  <c r="H366" i="17" a="1"/>
  <c r="H366" i="17" s="1"/>
  <c r="H367" i="17" a="1"/>
  <c r="H367" i="17" s="1"/>
  <c r="H368" i="17" a="1"/>
  <c r="H368" i="17" s="1"/>
  <c r="H369" i="17" a="1"/>
  <c r="H369" i="17" s="1"/>
  <c r="H370" i="17" a="1"/>
  <c r="H370" i="17" s="1"/>
  <c r="H371" i="17" a="1"/>
  <c r="H371" i="17" s="1"/>
  <c r="H372" i="17" a="1"/>
  <c r="H372" i="17" s="1"/>
  <c r="H373" i="17" a="1"/>
  <c r="H373" i="17" s="1"/>
  <c r="H374" i="17" a="1"/>
  <c r="H374" i="17" s="1"/>
  <c r="H375" i="17" a="1"/>
  <c r="H375" i="17"/>
  <c r="H376" i="17" a="1"/>
  <c r="H376" i="17" s="1"/>
  <c r="H377" i="17" a="1"/>
  <c r="H377" i="17"/>
  <c r="H378" i="17" a="1"/>
  <c r="H378" i="17" s="1"/>
  <c r="H379" i="17" a="1"/>
  <c r="H379" i="17" s="1"/>
  <c r="H380" i="17" a="1"/>
  <c r="H380" i="17" s="1"/>
  <c r="H381" i="17" a="1"/>
  <c r="H381" i="17" s="1"/>
  <c r="H382" i="17" a="1"/>
  <c r="H382" i="17" s="1"/>
  <c r="H383" i="17" a="1"/>
  <c r="H383" i="17" s="1"/>
  <c r="H384" i="17" a="1"/>
  <c r="H384" i="17" s="1"/>
  <c r="H385" i="17" a="1"/>
  <c r="H385" i="17" s="1"/>
  <c r="H386" i="17" a="1"/>
  <c r="H386" i="17" s="1"/>
  <c r="H387" i="17" a="1"/>
  <c r="H387" i="17" s="1"/>
  <c r="H388" i="17" a="1"/>
  <c r="H388" i="17" s="1"/>
  <c r="H389" i="17" a="1"/>
  <c r="H389" i="17" s="1"/>
  <c r="H390" i="17" a="1"/>
  <c r="H390" i="17" s="1"/>
  <c r="H391" i="17" a="1"/>
  <c r="H391" i="17"/>
  <c r="H392" i="17" a="1"/>
  <c r="H392" i="17" s="1"/>
  <c r="H393" i="17" a="1"/>
  <c r="H393" i="17" s="1"/>
  <c r="H394" i="17" a="1"/>
  <c r="H394" i="17" s="1"/>
  <c r="H395" i="17" a="1"/>
  <c r="H395" i="17" s="1"/>
  <c r="H396" i="17" a="1"/>
  <c r="H396" i="17" s="1"/>
  <c r="H397" i="17" a="1"/>
  <c r="H397" i="17" s="1"/>
  <c r="H398" i="17" a="1"/>
  <c r="H398" i="17" s="1"/>
  <c r="H399" i="17" a="1"/>
  <c r="H399" i="17"/>
  <c r="H400" i="17" a="1"/>
  <c r="H400" i="17" s="1"/>
  <c r="H401" i="17" a="1"/>
  <c r="H401" i="17" s="1"/>
  <c r="H402" i="17" a="1"/>
  <c r="H402" i="17" s="1"/>
  <c r="H403" i="17" a="1"/>
  <c r="H403" i="17" s="1"/>
  <c r="H404" i="17" a="1"/>
  <c r="H404" i="17" s="1"/>
  <c r="H405" i="17" a="1"/>
  <c r="H405" i="17" s="1"/>
  <c r="H406" i="17" a="1"/>
  <c r="H406" i="17" s="1"/>
  <c r="H407" i="17" a="1"/>
  <c r="H407" i="17" s="1"/>
  <c r="H408" i="17" a="1"/>
  <c r="H408" i="17" s="1"/>
  <c r="H409" i="17" a="1"/>
  <c r="H409" i="17" s="1"/>
  <c r="H410" i="17" a="1"/>
  <c r="H410" i="17" s="1"/>
  <c r="H411" i="17" a="1"/>
  <c r="H411" i="17" s="1"/>
  <c r="H412" i="17" a="1"/>
  <c r="H412" i="17" s="1"/>
  <c r="H413" i="17" a="1"/>
  <c r="H413" i="17" s="1"/>
  <c r="H414" i="17" a="1"/>
  <c r="H414" i="17" s="1"/>
  <c r="H415" i="17" a="1"/>
  <c r="H415" i="17" s="1"/>
  <c r="H416" i="17" a="1"/>
  <c r="H416" i="17" s="1"/>
  <c r="H417" i="17" a="1"/>
  <c r="H417" i="17" s="1"/>
  <c r="H418" i="17" a="1"/>
  <c r="H418" i="17" s="1"/>
  <c r="H419" i="17" a="1"/>
  <c r="H419" i="17" s="1"/>
  <c r="H420" i="17" a="1"/>
  <c r="H420" i="17" s="1"/>
  <c r="H421" i="17" a="1"/>
  <c r="H421" i="17" s="1"/>
  <c r="H422" i="17" a="1"/>
  <c r="H422" i="17" s="1"/>
  <c r="H423" i="17" a="1"/>
  <c r="H423" i="17"/>
  <c r="H424" i="17" a="1"/>
  <c r="H424" i="17" s="1"/>
  <c r="H425" i="17" a="1"/>
  <c r="H425" i="17" s="1"/>
  <c r="H426" i="17" a="1"/>
  <c r="H426" i="17" s="1"/>
  <c r="H427" i="17" a="1"/>
  <c r="H427" i="17"/>
  <c r="H428" i="17" a="1"/>
  <c r="H428" i="17" s="1"/>
  <c r="H429" i="17" a="1"/>
  <c r="H429" i="17" s="1"/>
  <c r="H430" i="17" a="1"/>
  <c r="H430" i="17" s="1"/>
  <c r="H431" i="17" a="1"/>
  <c r="H431" i="17" s="1"/>
  <c r="H432" i="17" a="1"/>
  <c r="H432" i="17" s="1"/>
  <c r="H433" i="17" a="1"/>
  <c r="H433" i="17"/>
  <c r="H434" i="17" a="1"/>
  <c r="H434" i="17" s="1"/>
  <c r="H435" i="17" a="1"/>
  <c r="H435" i="17"/>
  <c r="H436" i="17" a="1"/>
  <c r="H436" i="17" s="1"/>
  <c r="H437" i="17" a="1"/>
  <c r="H437" i="17" s="1"/>
  <c r="H438" i="17" a="1"/>
  <c r="H438" i="17" s="1"/>
  <c r="H439" i="17" a="1"/>
  <c r="H439" i="17" s="1"/>
  <c r="H440" i="17" a="1"/>
  <c r="H440" i="17" s="1"/>
  <c r="H441" i="17" a="1"/>
  <c r="H441" i="17" s="1"/>
  <c r="H442" i="17" a="1"/>
  <c r="H442" i="17" s="1"/>
  <c r="H443" i="17" a="1"/>
  <c r="H443" i="17" s="1"/>
  <c r="H444" i="17" a="1"/>
  <c r="H444" i="17" s="1"/>
  <c r="H445" i="17" a="1"/>
  <c r="H445" i="17" s="1"/>
  <c r="H446" i="17" a="1"/>
  <c r="H446" i="17" s="1"/>
  <c r="H447" i="17" a="1"/>
  <c r="H447" i="17" s="1"/>
  <c r="H448" i="17" a="1"/>
  <c r="H448" i="17" s="1"/>
  <c r="H449" i="17" a="1"/>
  <c r="H449" i="17"/>
  <c r="H450" i="17" a="1"/>
  <c r="H450" i="17" s="1"/>
  <c r="H451" i="17" a="1"/>
  <c r="H451" i="17"/>
  <c r="H452" i="17" a="1"/>
  <c r="H452" i="17" s="1"/>
  <c r="H453" i="17" a="1"/>
  <c r="H453" i="17" s="1"/>
  <c r="H454" i="17" a="1"/>
  <c r="H454" i="17" s="1"/>
  <c r="H455" i="17" a="1"/>
  <c r="H455" i="17"/>
  <c r="H456" i="17" a="1"/>
  <c r="H456" i="17" s="1"/>
  <c r="H457" i="17" a="1"/>
  <c r="H457" i="17"/>
  <c r="H458" i="17" a="1"/>
  <c r="H458" i="17" s="1"/>
  <c r="H459" i="17" a="1"/>
  <c r="H459" i="17" s="1"/>
  <c r="H460" i="17" a="1"/>
  <c r="H460" i="17" s="1"/>
  <c r="H461" i="17" a="1"/>
  <c r="H461" i="17" s="1"/>
  <c r="H462" i="17" a="1"/>
  <c r="H462" i="17" s="1"/>
  <c r="H463" i="17" a="1"/>
  <c r="H463" i="17"/>
  <c r="H464" i="17" a="1"/>
  <c r="H464" i="17" s="1"/>
  <c r="H465" i="17" a="1"/>
  <c r="H465" i="17" s="1"/>
  <c r="H466" i="17" a="1"/>
  <c r="H466" i="17" s="1"/>
  <c r="H467" i="17" a="1"/>
  <c r="H467" i="17" s="1"/>
  <c r="H468" i="17" a="1"/>
  <c r="H468" i="17" s="1"/>
  <c r="H469" i="17" a="1"/>
  <c r="H469" i="17" s="1"/>
  <c r="H470" i="17" a="1"/>
  <c r="H470" i="17" s="1"/>
  <c r="H471" i="17" a="1"/>
  <c r="H471" i="17" s="1"/>
  <c r="H472" i="17" a="1"/>
  <c r="H472" i="17" s="1"/>
  <c r="H473" i="17" a="1"/>
  <c r="H473" i="17"/>
  <c r="H474" i="17" a="1"/>
  <c r="H474" i="17" s="1"/>
  <c r="H475" i="17" a="1"/>
  <c r="H475" i="17"/>
  <c r="H476" i="17" a="1"/>
  <c r="H476" i="17" s="1"/>
  <c r="H477" i="17" a="1"/>
  <c r="H477" i="17" s="1"/>
  <c r="H478" i="17" a="1"/>
  <c r="H478" i="17" s="1"/>
  <c r="H479" i="17" a="1"/>
  <c r="H479" i="17" s="1"/>
  <c r="H480" i="17" a="1"/>
  <c r="H480" i="17" s="1"/>
  <c r="H481" i="17" a="1"/>
  <c r="H481" i="17" s="1"/>
  <c r="H482" i="17" a="1"/>
  <c r="H482" i="17" s="1"/>
  <c r="H483" i="17" a="1"/>
  <c r="H483" i="17" s="1"/>
  <c r="H484" i="17" a="1"/>
  <c r="H484" i="17" s="1"/>
  <c r="H485" i="17" a="1"/>
  <c r="H485" i="17" s="1"/>
  <c r="H486" i="17" a="1"/>
  <c r="H486" i="17" s="1"/>
  <c r="H487" i="17" a="1"/>
  <c r="H487" i="17" s="1"/>
  <c r="H488" i="17" a="1"/>
  <c r="H488" i="17" s="1"/>
  <c r="H489" i="17" a="1"/>
  <c r="H489" i="17" s="1"/>
  <c r="H490" i="17" a="1"/>
  <c r="H490" i="17" s="1"/>
  <c r="H491" i="17" a="1"/>
  <c r="H491" i="17"/>
  <c r="H492" i="17" a="1"/>
  <c r="H492" i="17" s="1"/>
  <c r="H493" i="17" a="1"/>
  <c r="H493" i="17" s="1"/>
  <c r="H494" i="17" a="1"/>
  <c r="H494" i="17" s="1"/>
  <c r="H495" i="17" a="1"/>
  <c r="H495" i="17" s="1"/>
  <c r="H496" i="17" a="1"/>
  <c r="H496" i="17" s="1"/>
  <c r="H497" i="17" a="1"/>
  <c r="H497" i="17" s="1"/>
  <c r="H498" i="17" a="1"/>
  <c r="H498" i="17" s="1"/>
  <c r="H499" i="17" a="1"/>
  <c r="H499" i="17" s="1"/>
  <c r="H500" i="17" a="1"/>
  <c r="H500" i="17" s="1"/>
  <c r="H501" i="17" a="1"/>
  <c r="H501" i="17" s="1"/>
  <c r="H502" i="17" a="1"/>
  <c r="H502" i="17" s="1"/>
  <c r="H503" i="17" a="1"/>
  <c r="H503" i="17" s="1"/>
  <c r="H504" i="17" a="1"/>
  <c r="H504" i="17" s="1"/>
  <c r="H505" i="17" a="1"/>
  <c r="H505" i="17" s="1"/>
  <c r="H506" i="17" a="1"/>
  <c r="H506" i="17" s="1"/>
  <c r="H507" i="17" a="1"/>
  <c r="H507" i="17"/>
  <c r="H508" i="17" a="1"/>
  <c r="H508" i="17" s="1"/>
  <c r="H509" i="17" a="1"/>
  <c r="H509" i="17" s="1"/>
  <c r="H510" i="17" a="1"/>
  <c r="H510" i="17" s="1"/>
  <c r="H511" i="17" a="1"/>
  <c r="H511" i="17" s="1"/>
  <c r="H512" i="17" a="1"/>
  <c r="H512" i="17" s="1"/>
  <c r="H513" i="17" a="1"/>
  <c r="H513" i="17" s="1"/>
  <c r="H514" i="17" a="1"/>
  <c r="H514" i="17" s="1"/>
  <c r="H515" i="17" a="1"/>
  <c r="H515" i="17"/>
  <c r="H516" i="17" a="1"/>
  <c r="H516" i="17" s="1"/>
  <c r="H517" i="17" a="1"/>
  <c r="H517" i="17" s="1"/>
  <c r="H518" i="17" a="1"/>
  <c r="H518" i="17" s="1"/>
  <c r="H519" i="17" a="1"/>
  <c r="H519" i="17" s="1"/>
  <c r="H520" i="17" a="1"/>
  <c r="H520" i="17" s="1"/>
  <c r="H521" i="17" a="1"/>
  <c r="H521" i="17" s="1"/>
  <c r="H522" i="17" a="1"/>
  <c r="H522" i="17" s="1"/>
  <c r="H523" i="17" a="1"/>
  <c r="H523" i="17" s="1"/>
  <c r="H524" i="17" a="1"/>
  <c r="H524" i="17" s="1"/>
  <c r="H525" i="17" a="1"/>
  <c r="H525" i="17" s="1"/>
  <c r="H526" i="17" a="1"/>
  <c r="H526" i="17" s="1"/>
  <c r="H527" i="17" a="1"/>
  <c r="H527" i="17" s="1"/>
  <c r="H528" i="17" a="1"/>
  <c r="H528" i="17" s="1"/>
  <c r="H529" i="17" a="1"/>
  <c r="H529" i="17" s="1"/>
  <c r="H530" i="17" a="1"/>
  <c r="H530" i="17" s="1"/>
  <c r="H531" i="17" a="1"/>
  <c r="H531" i="17" s="1"/>
  <c r="H532" i="17" a="1"/>
  <c r="H532" i="17" s="1"/>
  <c r="H533" i="17" a="1"/>
  <c r="H533" i="17" s="1"/>
  <c r="H534" i="17" a="1"/>
  <c r="H534" i="17" s="1"/>
  <c r="H535" i="17" a="1"/>
  <c r="H535" i="17" s="1"/>
  <c r="H536" i="17" a="1"/>
  <c r="H536" i="17" s="1"/>
  <c r="H537" i="17" a="1"/>
  <c r="H537" i="17" s="1"/>
  <c r="H538" i="17" a="1"/>
  <c r="H538" i="17" s="1"/>
  <c r="H539" i="17" a="1"/>
  <c r="H539" i="17"/>
  <c r="H540" i="17" a="1"/>
  <c r="H540" i="17" s="1"/>
  <c r="H541" i="17" a="1"/>
  <c r="H541" i="17" s="1"/>
  <c r="H542" i="17" a="1"/>
  <c r="H542" i="17" s="1"/>
  <c r="H543" i="17" a="1"/>
  <c r="H543" i="17"/>
  <c r="H544" i="17" a="1"/>
  <c r="H544" i="17" s="1"/>
  <c r="H545" i="17" a="1"/>
  <c r="H545" i="17" s="1"/>
  <c r="H546" i="17" a="1"/>
  <c r="H546" i="17" s="1"/>
  <c r="H547" i="17" a="1"/>
  <c r="H547" i="17" s="1"/>
  <c r="H548" i="17" a="1"/>
  <c r="H548" i="17" s="1"/>
  <c r="H549" i="17" a="1"/>
  <c r="H549" i="17" s="1"/>
  <c r="H550" i="17" a="1"/>
  <c r="H550" i="17" s="1"/>
  <c r="H551" i="17" a="1"/>
  <c r="H551" i="17" s="1"/>
  <c r="H552" i="17" a="1"/>
  <c r="H552" i="17" s="1"/>
  <c r="H553" i="17" a="1"/>
  <c r="H553" i="17" s="1"/>
  <c r="H554" i="17" a="1"/>
  <c r="H554" i="17" s="1"/>
  <c r="H555" i="17" a="1"/>
  <c r="H555" i="17"/>
  <c r="H556" i="17" a="1"/>
  <c r="H556" i="17" s="1"/>
  <c r="H557" i="17" a="1"/>
  <c r="H557" i="17" s="1"/>
  <c r="H558" i="17" a="1"/>
  <c r="H558" i="17" s="1"/>
  <c r="H559" i="17" a="1"/>
  <c r="H559" i="17" s="1"/>
  <c r="H560" i="17" a="1"/>
  <c r="H560" i="17" s="1"/>
  <c r="H561" i="17" a="1"/>
  <c r="H561" i="17" s="1"/>
  <c r="H562" i="17" a="1"/>
  <c r="H562" i="17" s="1"/>
  <c r="H563" i="17" a="1"/>
  <c r="H563" i="17"/>
  <c r="H564" i="17" a="1"/>
  <c r="H564" i="17" s="1"/>
  <c r="H565" i="17" a="1"/>
  <c r="H565" i="17" s="1"/>
  <c r="H566" i="17" a="1"/>
  <c r="H566" i="17" s="1"/>
  <c r="H567" i="17" a="1"/>
  <c r="H567" i="17" s="1"/>
  <c r="H568" i="17" a="1"/>
  <c r="H568" i="17" s="1"/>
  <c r="H569" i="17" a="1"/>
  <c r="H569" i="17" s="1"/>
  <c r="H570" i="17" a="1"/>
  <c r="H570" i="17" s="1"/>
  <c r="H571" i="17" a="1"/>
  <c r="H571" i="17" s="1"/>
  <c r="H572" i="17" a="1"/>
  <c r="H572" i="17" s="1"/>
  <c r="H573" i="17" a="1"/>
  <c r="H573" i="17" s="1"/>
  <c r="H574" i="17" a="1"/>
  <c r="H574" i="17" s="1"/>
  <c r="H575" i="17" a="1"/>
  <c r="H575" i="17" s="1"/>
  <c r="H576" i="17" a="1"/>
  <c r="H576" i="17" s="1"/>
  <c r="H577" i="17" a="1"/>
  <c r="H577" i="17" s="1"/>
  <c r="H578" i="17" a="1"/>
  <c r="H578" i="17" s="1"/>
  <c r="H579" i="17" a="1"/>
  <c r="H579" i="17" s="1"/>
  <c r="H580" i="17" a="1"/>
  <c r="H580" i="17" s="1"/>
  <c r="H581" i="17" a="1"/>
  <c r="H581" i="17" s="1"/>
  <c r="H582" i="17" a="1"/>
  <c r="H582" i="17" s="1"/>
  <c r="H583" i="17" a="1"/>
  <c r="H583" i="17" s="1"/>
  <c r="H584" i="17" a="1"/>
  <c r="H584" i="17" s="1"/>
  <c r="H585" i="17" a="1"/>
  <c r="H585" i="17" s="1"/>
  <c r="H586" i="17" a="1"/>
  <c r="H586" i="17" s="1"/>
  <c r="H587" i="17" a="1"/>
  <c r="H587" i="17"/>
  <c r="H588" i="17" a="1"/>
  <c r="H588" i="17" s="1"/>
  <c r="H589" i="17" a="1"/>
  <c r="H589" i="17" s="1"/>
  <c r="H590" i="17" a="1"/>
  <c r="H590" i="17" s="1"/>
  <c r="H591" i="17" a="1"/>
  <c r="H591" i="17" s="1"/>
  <c r="H592" i="17" a="1"/>
  <c r="H592" i="17" s="1"/>
  <c r="H593" i="17" a="1"/>
  <c r="H593" i="17" s="1"/>
  <c r="H594" i="17" a="1"/>
  <c r="H594" i="17" s="1"/>
  <c r="H595" i="17" a="1"/>
  <c r="H595" i="17"/>
  <c r="H596" i="17" a="1"/>
  <c r="H596" i="17" s="1"/>
  <c r="H597" i="17" a="1"/>
  <c r="H597" i="17" s="1"/>
  <c r="H598" i="17" a="1"/>
  <c r="H598" i="17" s="1"/>
  <c r="H599" i="17" a="1"/>
  <c r="H599" i="17" s="1"/>
  <c r="H600" i="17" a="1"/>
  <c r="H600" i="17" s="1"/>
  <c r="H601" i="17" a="1"/>
  <c r="H601" i="17" s="1"/>
  <c r="H602" i="17" a="1"/>
  <c r="H602" i="17" s="1"/>
  <c r="H603" i="17" a="1"/>
  <c r="H603" i="17" s="1"/>
  <c r="H604" i="17" a="1"/>
  <c r="H604" i="17" s="1"/>
  <c r="H605" i="17" a="1"/>
  <c r="H605" i="17" s="1"/>
  <c r="H606" i="17" a="1"/>
  <c r="H606" i="17" s="1"/>
  <c r="H607" i="17" a="1"/>
  <c r="H607" i="17" s="1"/>
  <c r="H608" i="17" a="1"/>
  <c r="H608" i="17" s="1"/>
  <c r="H609" i="17" a="1"/>
  <c r="H609" i="17" s="1"/>
  <c r="H610" i="17" a="1"/>
  <c r="H610" i="17" s="1"/>
  <c r="H611" i="17" a="1"/>
  <c r="H611" i="17" s="1"/>
  <c r="H612" i="17" a="1"/>
  <c r="H612" i="17" s="1"/>
  <c r="H613" i="17" a="1"/>
  <c r="H613" i="17" s="1"/>
  <c r="H614" i="17" a="1"/>
  <c r="H614" i="17" s="1"/>
  <c r="H615" i="17" a="1"/>
  <c r="H615" i="17" s="1"/>
  <c r="H616" i="17" a="1"/>
  <c r="H616" i="17" s="1"/>
  <c r="H617" i="17" a="1"/>
  <c r="H617" i="17" s="1"/>
  <c r="H618" i="17" a="1"/>
  <c r="H618" i="17" s="1"/>
  <c r="H619" i="17" a="1"/>
  <c r="H619" i="17"/>
  <c r="H620" i="17" a="1"/>
  <c r="H620" i="17" s="1"/>
  <c r="H621" i="17" a="1"/>
  <c r="H621" i="17" s="1"/>
  <c r="H622" i="17" a="1"/>
  <c r="H622" i="17" s="1"/>
  <c r="H623" i="17" a="1"/>
  <c r="H623" i="17" s="1"/>
  <c r="H624" i="17" a="1"/>
  <c r="H624" i="17" s="1"/>
  <c r="H625" i="17" a="1"/>
  <c r="H625" i="17" s="1"/>
  <c r="H626" i="17" a="1"/>
  <c r="H626" i="17" s="1"/>
  <c r="H627" i="17" a="1"/>
  <c r="H627" i="17"/>
  <c r="H628" i="17" a="1"/>
  <c r="H628" i="17" s="1"/>
  <c r="H629" i="17" a="1"/>
  <c r="H629" i="17" s="1"/>
  <c r="H630" i="17" a="1"/>
  <c r="H630" i="17" s="1"/>
  <c r="H631" i="17" a="1"/>
  <c r="H631" i="17" s="1"/>
  <c r="H632" i="17" a="1"/>
  <c r="H632" i="17" s="1"/>
  <c r="H633" i="17" a="1"/>
  <c r="H633" i="17" s="1"/>
  <c r="H634" i="17" a="1"/>
  <c r="H634" i="17" s="1"/>
  <c r="H635" i="17" a="1"/>
  <c r="H635" i="17" s="1"/>
  <c r="H636" i="17" a="1"/>
  <c r="H636" i="17" s="1"/>
  <c r="H637" i="17" a="1"/>
  <c r="H637" i="17" s="1"/>
  <c r="H638" i="17" a="1"/>
  <c r="H638" i="17" s="1"/>
  <c r="H639" i="17" a="1"/>
  <c r="H639" i="17" s="1"/>
  <c r="H640" i="17" a="1"/>
  <c r="H640" i="17" s="1"/>
  <c r="H641" i="17" a="1"/>
  <c r="H641" i="17" s="1"/>
  <c r="H642" i="17" a="1"/>
  <c r="H642" i="17" s="1"/>
  <c r="H643" i="17" a="1"/>
  <c r="H643" i="17"/>
  <c r="H644" i="17" a="1"/>
  <c r="H644" i="17" s="1"/>
  <c r="H645" i="17" a="1"/>
  <c r="H645" i="17" s="1"/>
  <c r="H646" i="17" a="1"/>
  <c r="H646" i="17" s="1"/>
  <c r="H647" i="17" a="1"/>
  <c r="H647" i="17" s="1"/>
  <c r="H648" i="17" a="1"/>
  <c r="H648" i="17" s="1"/>
  <c r="H649" i="17" a="1"/>
  <c r="H649" i="17" s="1"/>
  <c r="H650" i="17" a="1"/>
  <c r="H650" i="17" s="1"/>
  <c r="H651" i="17" a="1"/>
  <c r="H651" i="17" s="1"/>
  <c r="H652" i="17" a="1"/>
  <c r="H652" i="17" s="1"/>
  <c r="H653" i="17" a="1"/>
  <c r="H653" i="17" s="1"/>
  <c r="H654" i="17" a="1"/>
  <c r="H654" i="17" s="1"/>
  <c r="H655" i="17" a="1"/>
  <c r="H655" i="17" s="1"/>
  <c r="H656" i="17" a="1"/>
  <c r="H656" i="17" s="1"/>
  <c r="H657" i="17" a="1"/>
  <c r="H657" i="17" s="1"/>
  <c r="H658" i="17" a="1"/>
  <c r="H658" i="17" s="1"/>
  <c r="H659" i="17" a="1"/>
  <c r="H659" i="17"/>
  <c r="H660" i="17" a="1"/>
  <c r="H660" i="17" s="1"/>
  <c r="H661" i="17" a="1"/>
  <c r="H661" i="17" s="1"/>
  <c r="H662" i="17" a="1"/>
  <c r="H662" i="17" s="1"/>
  <c r="H663" i="17" a="1"/>
  <c r="H663" i="17" s="1"/>
  <c r="H664" i="17" a="1"/>
  <c r="H664" i="17" s="1"/>
  <c r="H665" i="17" a="1"/>
  <c r="H665" i="17" s="1"/>
  <c r="H666" i="17" a="1"/>
  <c r="H666" i="17" s="1"/>
  <c r="H667" i="17" a="1"/>
  <c r="H667" i="17" s="1"/>
  <c r="H668" i="17" a="1"/>
  <c r="H668" i="17" s="1"/>
  <c r="H669" i="17" a="1"/>
  <c r="H669" i="17" s="1"/>
  <c r="H670" i="17" a="1"/>
  <c r="H670" i="17" s="1"/>
  <c r="H671" i="17" a="1"/>
  <c r="H671" i="17" s="1"/>
  <c r="H672" i="17" a="1"/>
  <c r="H672" i="17" s="1"/>
  <c r="H673" i="17" a="1"/>
  <c r="H673" i="17" s="1"/>
  <c r="H674" i="17" a="1"/>
  <c r="H674" i="17" s="1"/>
  <c r="H675" i="17" a="1"/>
  <c r="H675" i="17"/>
  <c r="H676" i="17" a="1"/>
  <c r="H676" i="17" s="1"/>
  <c r="H677" i="17" a="1"/>
  <c r="H677" i="17" s="1"/>
  <c r="H678" i="17" a="1"/>
  <c r="H678" i="17" s="1"/>
  <c r="H679" i="17" a="1"/>
  <c r="H679" i="17" s="1"/>
  <c r="H680" i="17" a="1"/>
  <c r="H680" i="17" s="1"/>
  <c r="H681" i="17" a="1"/>
  <c r="H681" i="17" s="1"/>
  <c r="H682" i="17" a="1"/>
  <c r="H682" i="17" s="1"/>
  <c r="H683" i="17" a="1"/>
  <c r="H683" i="17" s="1"/>
  <c r="H684" i="17" a="1"/>
  <c r="H684" i="17" s="1"/>
  <c r="H685" i="17" a="1"/>
  <c r="H685" i="17" s="1"/>
  <c r="H686" i="17" a="1"/>
  <c r="H686" i="17" s="1"/>
  <c r="H687" i="17" a="1"/>
  <c r="H687" i="17" s="1"/>
  <c r="H688" i="17" a="1"/>
  <c r="H688" i="17" s="1"/>
  <c r="H689" i="17" a="1"/>
  <c r="H689" i="17" s="1"/>
  <c r="H690" i="17" a="1"/>
  <c r="H690" i="17" s="1"/>
  <c r="H691" i="17" a="1"/>
  <c r="H691" i="17"/>
  <c r="H692" i="17" a="1"/>
  <c r="H692" i="17" s="1"/>
  <c r="H693" i="17" a="1"/>
  <c r="H693" i="17" s="1"/>
  <c r="H694" i="17" a="1"/>
  <c r="H694" i="17" s="1"/>
  <c r="H695" i="17" a="1"/>
  <c r="H695" i="17" s="1"/>
  <c r="H696" i="17" a="1"/>
  <c r="H696" i="17" s="1"/>
  <c r="H697" i="17" a="1"/>
  <c r="H697" i="17" s="1"/>
  <c r="H698" i="17" a="1"/>
  <c r="H698" i="17" s="1"/>
  <c r="H699" i="17" a="1"/>
  <c r="H699" i="17" s="1"/>
  <c r="H700" i="17" a="1"/>
  <c r="H700" i="17" s="1"/>
  <c r="H701" i="17" a="1"/>
  <c r="H701" i="17" s="1"/>
  <c r="H702" i="17" a="1"/>
  <c r="H702" i="17" s="1"/>
  <c r="H703" i="17" a="1"/>
  <c r="H703" i="17" s="1"/>
  <c r="H704" i="17" a="1"/>
  <c r="H704" i="17" s="1"/>
  <c r="H705" i="17" a="1"/>
  <c r="H705" i="17" s="1"/>
  <c r="H706" i="17" a="1"/>
  <c r="H706" i="17" s="1"/>
  <c r="H707" i="17" a="1"/>
  <c r="H707" i="17"/>
  <c r="H708" i="17" a="1"/>
  <c r="H708" i="17" s="1"/>
  <c r="H709" i="17" a="1"/>
  <c r="H709" i="17" s="1"/>
  <c r="H710" i="17" a="1"/>
  <c r="H710" i="17" s="1"/>
  <c r="H711" i="17" a="1"/>
  <c r="H711" i="17" s="1"/>
  <c r="H712" i="17" a="1"/>
  <c r="H712" i="17" s="1"/>
  <c r="H713" i="17" a="1"/>
  <c r="H713" i="17" s="1"/>
  <c r="H714" i="17" a="1"/>
  <c r="H714" i="17" s="1"/>
  <c r="H715" i="17" a="1"/>
  <c r="H715" i="17" s="1"/>
  <c r="H716" i="17" a="1"/>
  <c r="H716" i="17" s="1"/>
  <c r="H717" i="17" a="1"/>
  <c r="H717" i="17" s="1"/>
  <c r="H718" i="17" a="1"/>
  <c r="H718" i="17" s="1"/>
  <c r="H719" i="17" a="1"/>
  <c r="H719" i="17" s="1"/>
  <c r="H720" i="17" a="1"/>
  <c r="H720" i="17" s="1"/>
  <c r="H721" i="17" a="1"/>
  <c r="H721" i="17" s="1"/>
  <c r="H722" i="17" a="1"/>
  <c r="H722" i="17" s="1"/>
  <c r="H723" i="17" a="1"/>
  <c r="H723" i="17"/>
  <c r="H724" i="17" a="1"/>
  <c r="H724" i="17" s="1"/>
  <c r="H725" i="17" a="1"/>
  <c r="H725" i="17" s="1"/>
  <c r="H726" i="17" a="1"/>
  <c r="H726" i="17" s="1"/>
  <c r="H727" i="17" a="1"/>
  <c r="H727" i="17" s="1"/>
  <c r="H728" i="17" a="1"/>
  <c r="H728" i="17" s="1"/>
  <c r="H729" i="17" a="1"/>
  <c r="H729" i="17" s="1"/>
  <c r="H730" i="17" a="1"/>
  <c r="H730" i="17" s="1"/>
  <c r="H731" i="17" a="1"/>
  <c r="H731" i="17" s="1"/>
  <c r="H732" i="17" a="1"/>
  <c r="H732" i="17" s="1"/>
  <c r="H733" i="17" a="1"/>
  <c r="H733" i="17" s="1"/>
  <c r="H734" i="17" a="1"/>
  <c r="H734" i="17" s="1"/>
  <c r="H735" i="17" a="1"/>
  <c r="H735" i="17" s="1"/>
  <c r="H736" i="17" a="1"/>
  <c r="H736" i="17" s="1"/>
  <c r="H737" i="17" a="1"/>
  <c r="H737" i="17" s="1"/>
  <c r="H738" i="17" a="1"/>
  <c r="H738" i="17" s="1"/>
  <c r="H739" i="17" a="1"/>
  <c r="H739" i="17"/>
  <c r="H740" i="17" a="1"/>
  <c r="H740" i="17" s="1"/>
  <c r="H741" i="17" a="1"/>
  <c r="H741" i="17" s="1"/>
  <c r="H742" i="17" a="1"/>
  <c r="H742" i="17" s="1"/>
  <c r="H743" i="17" a="1"/>
  <c r="H743" i="17" s="1"/>
  <c r="H744" i="17" a="1"/>
  <c r="H744" i="17" s="1"/>
  <c r="H745" i="17" a="1"/>
  <c r="H745" i="17" s="1"/>
  <c r="H746" i="17" a="1"/>
  <c r="H746" i="17" s="1"/>
  <c r="H747" i="17" a="1"/>
  <c r="H747" i="17" s="1"/>
  <c r="H748" i="17" a="1"/>
  <c r="H748" i="17" s="1"/>
  <c r="H749" i="17" a="1"/>
  <c r="H749" i="17"/>
  <c r="H750" i="17" a="1"/>
  <c r="H750" i="17" s="1"/>
  <c r="H751" i="17" a="1"/>
  <c r="H751" i="17" s="1"/>
  <c r="H752" i="17" a="1"/>
  <c r="H752" i="17" s="1"/>
  <c r="H753" i="17" a="1"/>
  <c r="H753" i="17" s="1"/>
  <c r="H754" i="17" a="1"/>
  <c r="H754" i="17" s="1"/>
  <c r="H755" i="17" a="1"/>
  <c r="H755" i="17" s="1"/>
  <c r="H756" i="17" a="1"/>
  <c r="H756" i="17" s="1"/>
  <c r="H757" i="17" a="1"/>
  <c r="H757" i="17" s="1"/>
  <c r="H758" i="17" a="1"/>
  <c r="H758" i="17" s="1"/>
  <c r="H759" i="17" a="1"/>
  <c r="H759" i="17" s="1"/>
  <c r="H760" i="17" a="1"/>
  <c r="H760" i="17" s="1"/>
  <c r="H761" i="17" a="1"/>
  <c r="H761" i="17" s="1"/>
  <c r="H762" i="17" a="1"/>
  <c r="H762" i="17" s="1"/>
  <c r="H763" i="17" a="1"/>
  <c r="H763" i="17" s="1"/>
  <c r="H764" i="17" a="1"/>
  <c r="H764" i="17" s="1"/>
  <c r="H765" i="17" a="1"/>
  <c r="H765" i="17"/>
  <c r="H766" i="17" a="1"/>
  <c r="H766" i="17" s="1"/>
  <c r="H767" i="17" a="1"/>
  <c r="H767" i="17" s="1"/>
  <c r="H768" i="17" a="1"/>
  <c r="H768" i="17" s="1"/>
  <c r="H769" i="17" a="1"/>
  <c r="H769" i="17" s="1"/>
  <c r="H770" i="17" a="1"/>
  <c r="H770" i="17" s="1"/>
  <c r="H771" i="17" a="1"/>
  <c r="H771" i="17" s="1"/>
  <c r="H772" i="17" a="1"/>
  <c r="H772" i="17" s="1"/>
  <c r="H773" i="17" a="1"/>
  <c r="H773" i="17" s="1"/>
  <c r="H774" i="17" a="1"/>
  <c r="H774" i="17" s="1"/>
  <c r="H775" i="17" a="1"/>
  <c r="H775" i="17" s="1"/>
  <c r="H776" i="17" a="1"/>
  <c r="H776" i="17" s="1"/>
  <c r="H777" i="17" a="1"/>
  <c r="H777" i="17" s="1"/>
  <c r="H778" i="17" a="1"/>
  <c r="H778" i="17" s="1"/>
  <c r="H779" i="17" a="1"/>
  <c r="H779" i="17" s="1"/>
  <c r="H780" i="17" a="1"/>
  <c r="H780" i="17" s="1"/>
  <c r="H781" i="17" a="1"/>
  <c r="H781" i="17"/>
  <c r="H782" i="17" a="1"/>
  <c r="H782" i="17" s="1"/>
  <c r="H783" i="17" a="1"/>
  <c r="H783" i="17" s="1"/>
  <c r="H784" i="17" a="1"/>
  <c r="H784" i="17" s="1"/>
  <c r="H785" i="17" a="1"/>
  <c r="H785" i="17" s="1"/>
  <c r="H786" i="17" a="1"/>
  <c r="H786" i="17" s="1"/>
  <c r="H787" i="17" a="1"/>
  <c r="H787" i="17" s="1"/>
  <c r="H788" i="17" a="1"/>
  <c r="H788" i="17" s="1"/>
  <c r="H789" i="17" a="1"/>
  <c r="H789" i="17" s="1"/>
  <c r="H790" i="17" a="1"/>
  <c r="H790" i="17" s="1"/>
  <c r="H791" i="17" a="1"/>
  <c r="H791" i="17" s="1"/>
  <c r="H792" i="17" a="1"/>
  <c r="H792" i="17" s="1"/>
  <c r="H793" i="17" a="1"/>
  <c r="H793" i="17" s="1"/>
  <c r="H794" i="17" a="1"/>
  <c r="H794" i="17" s="1"/>
  <c r="H795" i="17" a="1"/>
  <c r="H795" i="17" s="1"/>
  <c r="H796" i="17" a="1"/>
  <c r="H796" i="17" s="1"/>
  <c r="H797" i="17" a="1"/>
  <c r="H797" i="17"/>
  <c r="H798" i="17" a="1"/>
  <c r="H798" i="17" s="1"/>
  <c r="H799" i="17" a="1"/>
  <c r="H799" i="17" s="1"/>
  <c r="H800" i="17" a="1"/>
  <c r="H800" i="17" s="1"/>
  <c r="H801" i="17" a="1"/>
  <c r="H801" i="17" s="1"/>
  <c r="H802" i="17" a="1"/>
  <c r="H802" i="17" s="1"/>
  <c r="H803" i="17" a="1"/>
  <c r="H803" i="17" s="1"/>
  <c r="H804" i="17" a="1"/>
  <c r="H804" i="17" s="1"/>
  <c r="H805" i="17" a="1"/>
  <c r="H805" i="17" s="1"/>
  <c r="H806" i="17" a="1"/>
  <c r="H806" i="17" s="1"/>
  <c r="H807" i="17" a="1"/>
  <c r="H807" i="17" s="1"/>
  <c r="H808" i="17" a="1"/>
  <c r="H808" i="17" s="1"/>
  <c r="H809" i="17" a="1"/>
  <c r="H809" i="17" s="1"/>
  <c r="H810" i="17" a="1"/>
  <c r="H810" i="17"/>
  <c r="H811" i="17" a="1"/>
  <c r="H811" i="17" s="1"/>
  <c r="H812" i="17" a="1"/>
  <c r="H812" i="17"/>
  <c r="H813" i="17" a="1"/>
  <c r="H813" i="17" s="1"/>
  <c r="H814" i="17" a="1"/>
  <c r="H814" i="17" s="1"/>
  <c r="H815" i="17" a="1"/>
  <c r="H815" i="17" s="1"/>
  <c r="H816" i="17" a="1"/>
  <c r="H816" i="17" s="1"/>
  <c r="H817" i="17" a="1"/>
  <c r="H817" i="17" s="1"/>
  <c r="H818" i="17" a="1"/>
  <c r="H818" i="17"/>
  <c r="H819" i="17" a="1"/>
  <c r="H819" i="17" s="1"/>
  <c r="H820" i="17" a="1"/>
  <c r="H820" i="17"/>
  <c r="H821" i="17" a="1"/>
  <c r="H821" i="17" s="1"/>
  <c r="H822" i="17" a="1"/>
  <c r="H822" i="17" s="1"/>
  <c r="H823" i="17" a="1"/>
  <c r="H823" i="17" s="1"/>
  <c r="H824" i="17" a="1"/>
  <c r="H824" i="17" s="1"/>
  <c r="H825" i="17" a="1"/>
  <c r="H825" i="17" s="1"/>
  <c r="H826" i="17" a="1"/>
  <c r="H826" i="17"/>
  <c r="H827" i="17" a="1"/>
  <c r="H827" i="17" s="1"/>
  <c r="H828" i="17" a="1"/>
  <c r="H828" i="17"/>
  <c r="H829" i="17" a="1"/>
  <c r="H829" i="17" s="1"/>
  <c r="H830" i="17" a="1"/>
  <c r="H830" i="17" s="1"/>
  <c r="H831" i="17" a="1"/>
  <c r="H831" i="17" s="1"/>
  <c r="H832" i="17" a="1"/>
  <c r="H832" i="17" s="1"/>
  <c r="H833" i="17" a="1"/>
  <c r="H833" i="17" s="1"/>
  <c r="H834" i="17" a="1"/>
  <c r="H834" i="17"/>
  <c r="H835" i="17" a="1"/>
  <c r="H835" i="17" s="1"/>
  <c r="H836" i="17" a="1"/>
  <c r="H836" i="17"/>
  <c r="H837" i="17" a="1"/>
  <c r="H837" i="17" s="1"/>
  <c r="H838" i="17" a="1"/>
  <c r="H838" i="17" s="1"/>
  <c r="H839" i="17" a="1"/>
  <c r="H839" i="17" s="1"/>
  <c r="H840" i="17" a="1"/>
  <c r="H840" i="17" s="1"/>
  <c r="H841" i="17" a="1"/>
  <c r="H841" i="17" s="1"/>
  <c r="H842" i="17" a="1"/>
  <c r="H842" i="17"/>
  <c r="H843" i="17" a="1"/>
  <c r="H843" i="17" s="1"/>
  <c r="H844" i="17" a="1"/>
  <c r="H844" i="17"/>
  <c r="H845" i="17" a="1"/>
  <c r="H845" i="17" s="1"/>
  <c r="H846" i="17" a="1"/>
  <c r="H846" i="17" s="1"/>
  <c r="H847" i="17" a="1"/>
  <c r="H847" i="17" s="1"/>
  <c r="H848" i="17" a="1"/>
  <c r="H848" i="17" s="1"/>
  <c r="H849" i="17" a="1"/>
  <c r="H849" i="17" s="1"/>
  <c r="H850" i="17" a="1"/>
  <c r="H850" i="17"/>
  <c r="H851" i="17" a="1"/>
  <c r="H851" i="17" s="1"/>
  <c r="H852" i="17" a="1"/>
  <c r="H852" i="17"/>
  <c r="H853" i="17" a="1"/>
  <c r="H853" i="17" s="1"/>
  <c r="H854" i="17" a="1"/>
  <c r="H854" i="17" s="1"/>
  <c r="H855" i="17" a="1"/>
  <c r="H855" i="17" s="1"/>
  <c r="H856" i="17" a="1"/>
  <c r="H856" i="17" s="1"/>
  <c r="H857" i="17" a="1"/>
  <c r="H857" i="17" s="1"/>
  <c r="H858" i="17" a="1"/>
  <c r="H858" i="17"/>
  <c r="H859" i="17" a="1"/>
  <c r="H859" i="17" s="1"/>
  <c r="H860" i="17" a="1"/>
  <c r="H860" i="17"/>
  <c r="H861" i="17" a="1"/>
  <c r="H861" i="17" s="1"/>
  <c r="H862" i="17" a="1"/>
  <c r="H862" i="17" s="1"/>
  <c r="H863" i="17" a="1"/>
  <c r="H863" i="17" s="1"/>
  <c r="H864" i="17" a="1"/>
  <c r="H864" i="17" s="1"/>
  <c r="H865" i="17" a="1"/>
  <c r="H865" i="17" s="1"/>
  <c r="H866" i="17" a="1"/>
  <c r="H866" i="17"/>
  <c r="H867" i="17" a="1"/>
  <c r="H867" i="17" s="1"/>
  <c r="H868" i="17" a="1"/>
  <c r="H868" i="17"/>
  <c r="H869" i="17" a="1"/>
  <c r="H869" i="17" s="1"/>
  <c r="H870" i="17" a="1"/>
  <c r="H870" i="17" s="1"/>
  <c r="H871" i="17" a="1"/>
  <c r="H871" i="17" s="1"/>
  <c r="H872" i="17" a="1"/>
  <c r="H872" i="17" s="1"/>
  <c r="H873" i="17" a="1"/>
  <c r="H873" i="17" s="1"/>
  <c r="H874" i="17" a="1"/>
  <c r="H874" i="17"/>
  <c r="H875" i="17" a="1"/>
  <c r="H875" i="17" s="1"/>
  <c r="H876" i="17" a="1"/>
  <c r="H876" i="17"/>
  <c r="H877" i="17" a="1"/>
  <c r="H877" i="17" s="1"/>
  <c r="H878" i="17" a="1"/>
  <c r="H878" i="17" s="1"/>
  <c r="H879" i="17" a="1"/>
  <c r="H879" i="17" s="1"/>
  <c r="H880" i="17" a="1"/>
  <c r="H880" i="17" s="1"/>
  <c r="H881" i="17" a="1"/>
  <c r="H881" i="17" s="1"/>
  <c r="H882" i="17" a="1"/>
  <c r="H882" i="17"/>
  <c r="H883" i="17" a="1"/>
  <c r="H883" i="17" s="1"/>
  <c r="H884" i="17" a="1"/>
  <c r="H884" i="17"/>
  <c r="H885" i="17" a="1"/>
  <c r="H885" i="17" s="1"/>
  <c r="H886" i="17" a="1"/>
  <c r="H886" i="17" s="1"/>
  <c r="H887" i="17" a="1"/>
  <c r="H887" i="17" s="1"/>
  <c r="H888" i="17" a="1"/>
  <c r="H888" i="17" s="1"/>
  <c r="H889" i="17" a="1"/>
  <c r="H889" i="17" s="1"/>
  <c r="H890" i="17" a="1"/>
  <c r="H890" i="17"/>
  <c r="H891" i="17" a="1"/>
  <c r="H891" i="17" s="1"/>
  <c r="H892" i="17" a="1"/>
  <c r="H892" i="17"/>
  <c r="H893" i="17" a="1"/>
  <c r="H893" i="17" s="1"/>
  <c r="H894" i="17" a="1"/>
  <c r="H894" i="17" s="1"/>
  <c r="H895" i="17" a="1"/>
  <c r="H895" i="17" s="1"/>
  <c r="H896" i="17" a="1"/>
  <c r="H896" i="17" s="1"/>
  <c r="H897" i="17" a="1"/>
  <c r="H897" i="17" s="1"/>
  <c r="H898" i="17" a="1"/>
  <c r="H898" i="17"/>
  <c r="H899" i="17" a="1"/>
  <c r="H899" i="17" s="1"/>
  <c r="H900" i="17" a="1"/>
  <c r="H900" i="17"/>
  <c r="H901" i="17" a="1"/>
  <c r="H901" i="17" s="1"/>
  <c r="H902" i="17" a="1"/>
  <c r="H902" i="17" s="1"/>
  <c r="H903" i="17" a="1"/>
  <c r="H903" i="17" s="1"/>
  <c r="H904" i="17" a="1"/>
  <c r="H904" i="17" s="1"/>
  <c r="H905" i="17" a="1"/>
  <c r="H905" i="17" s="1"/>
  <c r="H906" i="17" a="1"/>
  <c r="H906" i="17"/>
  <c r="H907" i="17" a="1"/>
  <c r="H907" i="17" s="1"/>
  <c r="H908" i="17" a="1"/>
  <c r="H908" i="17"/>
  <c r="H909" i="17" a="1"/>
  <c r="H909" i="17" s="1"/>
  <c r="H910" i="17" a="1"/>
  <c r="H910" i="17" s="1"/>
  <c r="H911" i="17" a="1"/>
  <c r="H911" i="17" s="1"/>
  <c r="H912" i="17" a="1"/>
  <c r="H912" i="17" s="1"/>
  <c r="H913" i="17" a="1"/>
  <c r="H913" i="17" s="1"/>
  <c r="H914" i="17" a="1"/>
  <c r="H914" i="17"/>
  <c r="H915" i="17" a="1"/>
  <c r="H915" i="17" s="1"/>
  <c r="H916" i="17" a="1"/>
  <c r="H916" i="17"/>
  <c r="H917" i="17" a="1"/>
  <c r="H917" i="17" s="1"/>
  <c r="H918" i="17" a="1"/>
  <c r="H918" i="17" s="1"/>
  <c r="H919" i="17" a="1"/>
  <c r="H919" i="17" s="1"/>
  <c r="H920" i="17" a="1"/>
  <c r="H920" i="17" s="1"/>
  <c r="H921" i="17" a="1"/>
  <c r="H921" i="17" s="1"/>
  <c r="H922" i="17" a="1"/>
  <c r="H922" i="17"/>
  <c r="H923" i="17" a="1"/>
  <c r="H923" i="17" s="1"/>
  <c r="H924" i="17" a="1"/>
  <c r="H924" i="17"/>
  <c r="H925" i="17" a="1"/>
  <c r="H925" i="17" s="1"/>
  <c r="H926" i="17" a="1"/>
  <c r="H926" i="17" s="1"/>
  <c r="H927" i="17" a="1"/>
  <c r="H927" i="17" s="1"/>
  <c r="H928" i="17" a="1"/>
  <c r="H928" i="17" s="1"/>
  <c r="H929" i="17" a="1"/>
  <c r="H929" i="17" s="1"/>
  <c r="H930" i="17" a="1"/>
  <c r="H930" i="17"/>
  <c r="H931" i="17" a="1"/>
  <c r="H931" i="17" s="1"/>
  <c r="H932" i="17" a="1"/>
  <c r="H932" i="17"/>
  <c r="H933" i="17" a="1"/>
  <c r="H933" i="17" s="1"/>
  <c r="H934" i="17" a="1"/>
  <c r="H934" i="17" s="1"/>
  <c r="H935" i="17" a="1"/>
  <c r="H935" i="17" s="1"/>
  <c r="H936" i="17" a="1"/>
  <c r="H936" i="17" s="1"/>
  <c r="H937" i="17" a="1"/>
  <c r="H937" i="17" s="1"/>
  <c r="H938" i="17" a="1"/>
  <c r="H938" i="17"/>
  <c r="H939" i="17" a="1"/>
  <c r="H939" i="17" s="1"/>
  <c r="H940" i="17" a="1"/>
  <c r="H940" i="17"/>
  <c r="H941" i="17" a="1"/>
  <c r="H941" i="17" s="1"/>
  <c r="H942" i="17" a="1"/>
  <c r="H942" i="17" s="1"/>
  <c r="H943" i="17" a="1"/>
  <c r="H943" i="17" s="1"/>
  <c r="H944" i="17" a="1"/>
  <c r="H944" i="17" s="1"/>
  <c r="H945" i="17" a="1"/>
  <c r="H945" i="17" s="1"/>
  <c r="H946" i="17" a="1"/>
  <c r="H946" i="17"/>
  <c r="H947" i="17" a="1"/>
  <c r="H947" i="17" s="1"/>
  <c r="H948" i="17" a="1"/>
  <c r="H948" i="17"/>
  <c r="H949" i="17" a="1"/>
  <c r="H949" i="17" s="1"/>
  <c r="H950" i="17" a="1"/>
  <c r="H950" i="17" s="1"/>
  <c r="H951" i="17" a="1"/>
  <c r="H951" i="17" s="1"/>
  <c r="H952" i="17" a="1"/>
  <c r="H952" i="17" s="1"/>
  <c r="H953" i="17" a="1"/>
  <c r="H953" i="17" s="1"/>
  <c r="H954" i="17" a="1"/>
  <c r="H954" i="17"/>
  <c r="H955" i="17" a="1"/>
  <c r="H955" i="17" s="1"/>
  <c r="H956" i="17" a="1"/>
  <c r="H956" i="17"/>
  <c r="H957" i="17" a="1"/>
  <c r="H957" i="17" s="1"/>
  <c r="H958" i="17" a="1"/>
  <c r="H958" i="17" s="1"/>
  <c r="H959" i="17" a="1"/>
  <c r="H959" i="17" s="1"/>
  <c r="H960" i="17" a="1"/>
  <c r="H960" i="17" s="1"/>
  <c r="H961" i="17" a="1"/>
  <c r="H961" i="17" s="1"/>
  <c r="H962" i="17" a="1"/>
  <c r="H962" i="17"/>
  <c r="H963" i="17" a="1"/>
  <c r="H963" i="17" s="1"/>
  <c r="H964" i="17" a="1"/>
  <c r="H964" i="17"/>
  <c r="H965" i="17" a="1"/>
  <c r="H965" i="17" s="1"/>
  <c r="H966" i="17" a="1"/>
  <c r="H966" i="17" s="1"/>
  <c r="H967" i="17" a="1"/>
  <c r="H967" i="17" s="1"/>
  <c r="H968" i="17" a="1"/>
  <c r="H968" i="17" s="1"/>
  <c r="H969" i="17" a="1"/>
  <c r="H969" i="17" s="1"/>
  <c r="H970" i="17" a="1"/>
  <c r="H970" i="17"/>
  <c r="H971" i="17" a="1"/>
  <c r="H971" i="17" s="1"/>
  <c r="H972" i="17" a="1"/>
  <c r="H972" i="17"/>
  <c r="H973" i="17" a="1"/>
  <c r="H973" i="17" s="1"/>
  <c r="H974" i="17" a="1"/>
  <c r="H974" i="17" s="1"/>
  <c r="H975" i="17" a="1"/>
  <c r="H975" i="17" s="1"/>
  <c r="H976" i="17" a="1"/>
  <c r="H976" i="17" s="1"/>
  <c r="H977" i="17" a="1"/>
  <c r="H977" i="17" s="1"/>
  <c r="H978" i="17" a="1"/>
  <c r="H978" i="17"/>
  <c r="H979" i="17" a="1"/>
  <c r="H979" i="17" s="1"/>
  <c r="H980" i="17" a="1"/>
  <c r="H980" i="17"/>
  <c r="H981" i="17" a="1"/>
  <c r="H981" i="17" s="1"/>
  <c r="H982" i="17" a="1"/>
  <c r="H982" i="17" s="1"/>
  <c r="H983" i="17" a="1"/>
  <c r="H983" i="17" s="1"/>
  <c r="H984" i="17" a="1"/>
  <c r="H984" i="17" s="1"/>
  <c r="H985" i="17" a="1"/>
  <c r="H985" i="17" s="1"/>
  <c r="H986" i="17" a="1"/>
  <c r="H986" i="17"/>
  <c r="H987" i="17" a="1"/>
  <c r="H987" i="17" s="1"/>
  <c r="H988" i="17" a="1"/>
  <c r="H988" i="17"/>
  <c r="H989" i="17" a="1"/>
  <c r="H989" i="17" s="1"/>
  <c r="H990" i="17" a="1"/>
  <c r="H990" i="17" s="1"/>
  <c r="H991" i="17" a="1"/>
  <c r="H991" i="17" s="1"/>
  <c r="H992" i="17" a="1"/>
  <c r="H992" i="17" s="1"/>
  <c r="H993" i="17" a="1"/>
  <c r="H993" i="17" s="1"/>
  <c r="H994" i="17" a="1"/>
  <c r="H994" i="17"/>
  <c r="H995" i="17" a="1"/>
  <c r="H995" i="17" s="1"/>
  <c r="H996" i="17" a="1"/>
  <c r="H996" i="17"/>
  <c r="H997" i="17" a="1"/>
  <c r="H997" i="17" s="1"/>
  <c r="H998" i="17" a="1"/>
  <c r="H998" i="17" s="1"/>
  <c r="H999" i="17" a="1"/>
  <c r="H999" i="17" s="1"/>
  <c r="H1000" i="17" a="1"/>
  <c r="H1000" i="17" s="1"/>
  <c r="H1001" i="17" a="1"/>
  <c r="H1001" i="17" s="1"/>
  <c r="I2" i="17"/>
  <c r="N2" i="17" s="1" a="1"/>
  <c r="N2" i="17" s="1"/>
  <c r="I3" i="17"/>
  <c r="N3" i="17" s="1" a="1"/>
  <c r="N3" i="17" s="1"/>
  <c r="J3" i="17"/>
  <c r="O3" i="17" s="1" a="1"/>
  <c r="O3" i="17" s="1"/>
  <c r="K3" i="17"/>
  <c r="L3" i="17"/>
  <c r="M3" i="17" s="1"/>
  <c r="I4" i="17"/>
  <c r="N4" i="17" s="1" a="1"/>
  <c r="N4" i="17" s="1"/>
  <c r="J4" i="17"/>
  <c r="O4" i="17" s="1" a="1"/>
  <c r="O4" i="17" s="1"/>
  <c r="K4" i="17"/>
  <c r="L4" i="17"/>
  <c r="M4" i="17" s="1"/>
  <c r="I5" i="17"/>
  <c r="N5" i="17" s="1" a="1"/>
  <c r="N5" i="17" s="1"/>
  <c r="J5" i="17"/>
  <c r="O5" i="17" s="1" a="1"/>
  <c r="O5" i="17" s="1"/>
  <c r="K5" i="17"/>
  <c r="L5" i="17"/>
  <c r="M5" i="17" s="1"/>
  <c r="I6" i="17"/>
  <c r="N6" i="17" s="1" a="1"/>
  <c r="N6" i="17" s="1"/>
  <c r="J6" i="17"/>
  <c r="O6" i="17" s="1" a="1"/>
  <c r="O6" i="17" s="1"/>
  <c r="K6" i="17"/>
  <c r="L6" i="17"/>
  <c r="M6" i="17" s="1"/>
  <c r="I7" i="17"/>
  <c r="N7" i="17" s="1" a="1"/>
  <c r="N7" i="17" s="1"/>
  <c r="J7" i="17"/>
  <c r="O7" i="17" s="1" a="1"/>
  <c r="O7" i="17" s="1"/>
  <c r="K7" i="17"/>
  <c r="L7" i="17"/>
  <c r="M7" i="17" s="1"/>
  <c r="I8" i="17"/>
  <c r="N8" i="17" s="1" a="1"/>
  <c r="N8" i="17" s="1"/>
  <c r="J8" i="17"/>
  <c r="O8" i="17" s="1" a="1"/>
  <c r="O8" i="17" s="1"/>
  <c r="K8" i="17"/>
  <c r="L8" i="17"/>
  <c r="M8" i="17" s="1"/>
  <c r="I9" i="17"/>
  <c r="N9" i="17" s="1" a="1"/>
  <c r="N9" i="17" s="1"/>
  <c r="J9" i="17"/>
  <c r="O9" i="17" s="1" a="1"/>
  <c r="O9" i="17" s="1"/>
  <c r="K9" i="17"/>
  <c r="L9" i="17"/>
  <c r="M9" i="17" s="1"/>
  <c r="I10" i="17"/>
  <c r="N10" i="17" s="1" a="1"/>
  <c r="N10" i="17" s="1"/>
  <c r="J10" i="17"/>
  <c r="O10" i="17" s="1" a="1"/>
  <c r="O10" i="17" s="1"/>
  <c r="K10" i="17"/>
  <c r="L10" i="17"/>
  <c r="M10" i="17" s="1"/>
  <c r="I11" i="17"/>
  <c r="N11" i="17" s="1" a="1"/>
  <c r="N11" i="17" s="1"/>
  <c r="J11" i="17"/>
  <c r="O11" i="17" s="1" a="1"/>
  <c r="O11" i="17" s="1"/>
  <c r="K11" i="17"/>
  <c r="L11" i="17"/>
  <c r="M11" i="17" s="1"/>
  <c r="I12" i="17"/>
  <c r="N12" i="17" s="1" a="1"/>
  <c r="N12" i="17" s="1"/>
  <c r="J12" i="17"/>
  <c r="O12" i="17" s="1" a="1"/>
  <c r="O12" i="17" s="1"/>
  <c r="K12" i="17"/>
  <c r="L12" i="17"/>
  <c r="M12" i="17" s="1"/>
  <c r="I13" i="17"/>
  <c r="N13" i="17" s="1" a="1"/>
  <c r="N13" i="17" s="1"/>
  <c r="J13" i="17"/>
  <c r="O13" i="17" s="1" a="1"/>
  <c r="O13" i="17" s="1"/>
  <c r="K13" i="17"/>
  <c r="L13" i="17"/>
  <c r="M13" i="17" s="1"/>
  <c r="I14" i="17"/>
  <c r="N14" i="17" s="1" a="1"/>
  <c r="N14" i="17" s="1"/>
  <c r="J14" i="17"/>
  <c r="O14" i="17" s="1" a="1"/>
  <c r="O14" i="17" s="1"/>
  <c r="K14" i="17"/>
  <c r="L14" i="17"/>
  <c r="M14" i="17" s="1"/>
  <c r="I15" i="17"/>
  <c r="N15" i="17" s="1" a="1"/>
  <c r="N15" i="17" s="1"/>
  <c r="J15" i="17"/>
  <c r="O15" i="17" s="1" a="1"/>
  <c r="O15" i="17" s="1"/>
  <c r="K15" i="17"/>
  <c r="L15" i="17"/>
  <c r="M15" i="17" s="1"/>
  <c r="I16" i="17"/>
  <c r="N16" i="17" s="1" a="1"/>
  <c r="N16" i="17" s="1"/>
  <c r="J16" i="17"/>
  <c r="O16" i="17" s="1" a="1"/>
  <c r="O16" i="17" s="1"/>
  <c r="K16" i="17"/>
  <c r="L16" i="17"/>
  <c r="M16" i="17" s="1"/>
  <c r="I17" i="17"/>
  <c r="N17" i="17" s="1" a="1"/>
  <c r="N17" i="17" s="1"/>
  <c r="J17" i="17"/>
  <c r="O17" i="17" s="1" a="1"/>
  <c r="O17" i="17" s="1"/>
  <c r="K17" i="17"/>
  <c r="L17" i="17"/>
  <c r="M17" i="17" s="1"/>
  <c r="I18" i="17"/>
  <c r="N18" i="17" s="1" a="1"/>
  <c r="N18" i="17" s="1"/>
  <c r="J18" i="17"/>
  <c r="O18" i="17" s="1" a="1"/>
  <c r="O18" i="17" s="1"/>
  <c r="K18" i="17"/>
  <c r="L18" i="17"/>
  <c r="M18" i="17" s="1"/>
  <c r="I19" i="17"/>
  <c r="N19" i="17" s="1" a="1"/>
  <c r="N19" i="17" s="1"/>
  <c r="J19" i="17"/>
  <c r="O19" i="17" s="1" a="1"/>
  <c r="O19" i="17" s="1"/>
  <c r="K19" i="17"/>
  <c r="L19" i="17"/>
  <c r="M19" i="17" s="1"/>
  <c r="I20" i="17"/>
  <c r="N20" i="17" s="1" a="1"/>
  <c r="N20" i="17" s="1"/>
  <c r="J20" i="17"/>
  <c r="O20" i="17" s="1" a="1"/>
  <c r="O20" i="17" s="1"/>
  <c r="K20" i="17"/>
  <c r="L20" i="17"/>
  <c r="M20" i="17" s="1"/>
  <c r="I21" i="17"/>
  <c r="N21" i="17" s="1" a="1"/>
  <c r="N21" i="17" s="1"/>
  <c r="J21" i="17"/>
  <c r="O21" i="17" s="1" a="1"/>
  <c r="O21" i="17" s="1"/>
  <c r="K21" i="17"/>
  <c r="L21" i="17"/>
  <c r="M21" i="17" s="1"/>
  <c r="I22" i="17"/>
  <c r="N22" i="17" s="1" a="1"/>
  <c r="N22" i="17" s="1"/>
  <c r="J22" i="17"/>
  <c r="O22" i="17" s="1" a="1"/>
  <c r="O22" i="17" s="1"/>
  <c r="K22" i="17"/>
  <c r="L22" i="17"/>
  <c r="M22" i="17" s="1"/>
  <c r="I23" i="17"/>
  <c r="N23" i="17" s="1" a="1"/>
  <c r="N23" i="17" s="1"/>
  <c r="J23" i="17"/>
  <c r="O23" i="17" s="1" a="1"/>
  <c r="O23" i="17" s="1"/>
  <c r="K23" i="17"/>
  <c r="L23" i="17"/>
  <c r="M23" i="17" s="1"/>
  <c r="I24" i="17"/>
  <c r="N24" i="17" s="1" a="1"/>
  <c r="N24" i="17" s="1"/>
  <c r="J24" i="17"/>
  <c r="O24" i="17" s="1" a="1"/>
  <c r="O24" i="17" s="1"/>
  <c r="K24" i="17"/>
  <c r="L24" i="17"/>
  <c r="M24" i="17" s="1"/>
  <c r="I25" i="17"/>
  <c r="N25" i="17" s="1" a="1"/>
  <c r="N25" i="17" s="1"/>
  <c r="J25" i="17"/>
  <c r="O25" i="17" s="1" a="1"/>
  <c r="O25" i="17" s="1"/>
  <c r="K25" i="17"/>
  <c r="L25" i="17"/>
  <c r="M25" i="17" s="1"/>
  <c r="I26" i="17"/>
  <c r="N26" i="17" s="1" a="1"/>
  <c r="N26" i="17" s="1"/>
  <c r="J26" i="17"/>
  <c r="O26" i="17" s="1" a="1"/>
  <c r="O26" i="17" s="1"/>
  <c r="K26" i="17"/>
  <c r="L26" i="17"/>
  <c r="M26" i="17" s="1"/>
  <c r="I27" i="17"/>
  <c r="N27" i="17" s="1" a="1"/>
  <c r="N27" i="17" s="1"/>
  <c r="J27" i="17"/>
  <c r="O27" i="17" s="1" a="1"/>
  <c r="O27" i="17" s="1"/>
  <c r="K27" i="17"/>
  <c r="L27" i="17"/>
  <c r="M27" i="17" s="1"/>
  <c r="I28" i="17"/>
  <c r="N28" i="17" s="1" a="1"/>
  <c r="N28" i="17" s="1"/>
  <c r="J28" i="17"/>
  <c r="O28" i="17" s="1" a="1"/>
  <c r="O28" i="17" s="1"/>
  <c r="K28" i="17"/>
  <c r="L28" i="17"/>
  <c r="M28" i="17" s="1"/>
  <c r="I29" i="17"/>
  <c r="N29" i="17" s="1" a="1"/>
  <c r="N29" i="17" s="1"/>
  <c r="J29" i="17"/>
  <c r="O29" i="17" s="1" a="1"/>
  <c r="O29" i="17" s="1"/>
  <c r="K29" i="17"/>
  <c r="L29" i="17"/>
  <c r="M29" i="17" s="1"/>
  <c r="I30" i="17"/>
  <c r="N30" i="17" s="1" a="1"/>
  <c r="N30" i="17" s="1"/>
  <c r="J30" i="17"/>
  <c r="O30" i="17" s="1" a="1"/>
  <c r="O30" i="17" s="1"/>
  <c r="K30" i="17"/>
  <c r="L30" i="17"/>
  <c r="M30" i="17" s="1"/>
  <c r="I31" i="17"/>
  <c r="N31" i="17" s="1" a="1"/>
  <c r="N31" i="17" s="1"/>
  <c r="J31" i="17"/>
  <c r="O31" i="17" s="1" a="1"/>
  <c r="O31" i="17" s="1"/>
  <c r="K31" i="17"/>
  <c r="L31" i="17"/>
  <c r="M31" i="17" s="1"/>
  <c r="I32" i="17"/>
  <c r="N32" i="17" s="1" a="1"/>
  <c r="N32" i="17" s="1"/>
  <c r="J32" i="17"/>
  <c r="O32" i="17" s="1" a="1"/>
  <c r="O32" i="17" s="1"/>
  <c r="K32" i="17"/>
  <c r="L32" i="17"/>
  <c r="M32" i="17" s="1"/>
  <c r="I33" i="17"/>
  <c r="N33" i="17" s="1" a="1"/>
  <c r="N33" i="17" s="1"/>
  <c r="J33" i="17"/>
  <c r="O33" i="17" s="1" a="1"/>
  <c r="O33" i="17" s="1"/>
  <c r="K33" i="17"/>
  <c r="L33" i="17"/>
  <c r="M33" i="17" s="1"/>
  <c r="I34" i="17"/>
  <c r="N34" i="17" s="1" a="1"/>
  <c r="N34" i="17" s="1"/>
  <c r="J34" i="17"/>
  <c r="O34" i="17" s="1" a="1"/>
  <c r="O34" i="17" s="1"/>
  <c r="K34" i="17"/>
  <c r="L34" i="17"/>
  <c r="M34" i="17" s="1"/>
  <c r="I35" i="17"/>
  <c r="N35" i="17" s="1" a="1"/>
  <c r="N35" i="17" s="1"/>
  <c r="J35" i="17"/>
  <c r="O35" i="17" s="1" a="1"/>
  <c r="O35" i="17" s="1"/>
  <c r="K35" i="17"/>
  <c r="L35" i="17"/>
  <c r="M35" i="17" s="1"/>
  <c r="I36" i="17"/>
  <c r="N36" i="17" s="1" a="1"/>
  <c r="N36" i="17" s="1"/>
  <c r="J36" i="17"/>
  <c r="O36" i="17" s="1" a="1"/>
  <c r="O36" i="17" s="1"/>
  <c r="K36" i="17"/>
  <c r="L36" i="17"/>
  <c r="M36" i="17" s="1"/>
  <c r="I37" i="17"/>
  <c r="N37" i="17" s="1" a="1"/>
  <c r="N37" i="17" s="1"/>
  <c r="J37" i="17"/>
  <c r="O37" i="17" s="1" a="1"/>
  <c r="O37" i="17" s="1"/>
  <c r="K37" i="17"/>
  <c r="L37" i="17"/>
  <c r="M37" i="17" s="1"/>
  <c r="I38" i="17"/>
  <c r="N38" i="17" s="1" a="1"/>
  <c r="N38" i="17" s="1"/>
  <c r="J38" i="17"/>
  <c r="O38" i="17" s="1" a="1"/>
  <c r="O38" i="17" s="1"/>
  <c r="K38" i="17"/>
  <c r="L38" i="17"/>
  <c r="M38" i="17" s="1"/>
  <c r="I39" i="17"/>
  <c r="N39" i="17" s="1" a="1"/>
  <c r="N39" i="17" s="1"/>
  <c r="J39" i="17"/>
  <c r="O39" i="17" s="1" a="1"/>
  <c r="O39" i="17" s="1"/>
  <c r="K39" i="17"/>
  <c r="L39" i="17"/>
  <c r="M39" i="17" s="1"/>
  <c r="I40" i="17"/>
  <c r="N40" i="17" s="1" a="1"/>
  <c r="N40" i="17" s="1"/>
  <c r="J40" i="17"/>
  <c r="O40" i="17" s="1" a="1"/>
  <c r="O40" i="17" s="1"/>
  <c r="K40" i="17"/>
  <c r="L40" i="17"/>
  <c r="M40" i="17" s="1"/>
  <c r="I41" i="17"/>
  <c r="N41" i="17" s="1" a="1"/>
  <c r="N41" i="17" s="1"/>
  <c r="J41" i="17"/>
  <c r="O41" i="17" s="1" a="1"/>
  <c r="O41" i="17" s="1"/>
  <c r="K41" i="17"/>
  <c r="L41" i="17"/>
  <c r="M41" i="17" s="1"/>
  <c r="I42" i="17"/>
  <c r="N42" i="17" s="1" a="1"/>
  <c r="N42" i="17" s="1"/>
  <c r="J42" i="17"/>
  <c r="O42" i="17" s="1" a="1"/>
  <c r="O42" i="17" s="1"/>
  <c r="K42" i="17"/>
  <c r="L42" i="17"/>
  <c r="M42" i="17" s="1"/>
  <c r="I43" i="17"/>
  <c r="N43" i="17" s="1" a="1"/>
  <c r="N43" i="17" s="1"/>
  <c r="J43" i="17"/>
  <c r="O43" i="17" s="1" a="1"/>
  <c r="O43" i="17" s="1"/>
  <c r="K43" i="17"/>
  <c r="L43" i="17"/>
  <c r="M43" i="17" s="1"/>
  <c r="I44" i="17"/>
  <c r="N44" i="17" s="1" a="1"/>
  <c r="N44" i="17" s="1"/>
  <c r="J44" i="17"/>
  <c r="O44" i="17" s="1" a="1"/>
  <c r="O44" i="17" s="1"/>
  <c r="K44" i="17"/>
  <c r="L44" i="17"/>
  <c r="M44" i="17" s="1"/>
  <c r="I45" i="17"/>
  <c r="N45" i="17" s="1" a="1"/>
  <c r="N45" i="17" s="1"/>
  <c r="J45" i="17"/>
  <c r="O45" i="17" s="1" a="1"/>
  <c r="O45" i="17" s="1"/>
  <c r="K45" i="17"/>
  <c r="L45" i="17"/>
  <c r="M45" i="17" s="1"/>
  <c r="I46" i="17"/>
  <c r="N46" i="17" s="1" a="1"/>
  <c r="N46" i="17" s="1"/>
  <c r="J46" i="17"/>
  <c r="O46" i="17" s="1" a="1"/>
  <c r="O46" i="17" s="1"/>
  <c r="K46" i="17"/>
  <c r="L46" i="17"/>
  <c r="M46" i="17" s="1"/>
  <c r="I47" i="17"/>
  <c r="N47" i="17" s="1" a="1"/>
  <c r="N47" i="17" s="1"/>
  <c r="J47" i="17"/>
  <c r="O47" i="17" s="1" a="1"/>
  <c r="O47" i="17" s="1"/>
  <c r="K47" i="17"/>
  <c r="L47" i="17"/>
  <c r="M47" i="17" s="1"/>
  <c r="I48" i="17"/>
  <c r="N48" i="17" s="1" a="1"/>
  <c r="N48" i="17" s="1"/>
  <c r="J48" i="17"/>
  <c r="O48" i="17" s="1" a="1"/>
  <c r="O48" i="17" s="1"/>
  <c r="K48" i="17"/>
  <c r="L48" i="17"/>
  <c r="M48" i="17" s="1"/>
  <c r="I49" i="17"/>
  <c r="N49" i="17" s="1" a="1"/>
  <c r="N49" i="17" s="1"/>
  <c r="J49" i="17"/>
  <c r="O49" i="17" s="1" a="1"/>
  <c r="O49" i="17" s="1"/>
  <c r="K49" i="17"/>
  <c r="L49" i="17"/>
  <c r="M49" i="17" s="1"/>
  <c r="I50" i="17"/>
  <c r="N50" i="17" s="1" a="1"/>
  <c r="N50" i="17" s="1"/>
  <c r="J50" i="17"/>
  <c r="O50" i="17" s="1" a="1"/>
  <c r="O50" i="17" s="1"/>
  <c r="K50" i="17"/>
  <c r="L50" i="17"/>
  <c r="M50" i="17" s="1"/>
  <c r="I51" i="17"/>
  <c r="N51" i="17" s="1" a="1"/>
  <c r="N51" i="17" s="1"/>
  <c r="J51" i="17"/>
  <c r="O51" i="17" s="1" a="1"/>
  <c r="O51" i="17" s="1"/>
  <c r="K51" i="17"/>
  <c r="L51" i="17"/>
  <c r="M51" i="17" s="1"/>
  <c r="I52" i="17"/>
  <c r="N52" i="17" s="1" a="1"/>
  <c r="N52" i="17" s="1"/>
  <c r="J52" i="17"/>
  <c r="O52" i="17" s="1" a="1"/>
  <c r="O52" i="17" s="1"/>
  <c r="K52" i="17"/>
  <c r="L52" i="17"/>
  <c r="M52" i="17" s="1"/>
  <c r="I53" i="17"/>
  <c r="N53" i="17" s="1" a="1"/>
  <c r="N53" i="17" s="1"/>
  <c r="J53" i="17"/>
  <c r="O53" i="17" s="1" a="1"/>
  <c r="O53" i="17" s="1"/>
  <c r="K53" i="17"/>
  <c r="L53" i="17"/>
  <c r="M53" i="17" s="1"/>
  <c r="I54" i="17"/>
  <c r="N54" i="17" s="1" a="1"/>
  <c r="N54" i="17" s="1"/>
  <c r="J54" i="17"/>
  <c r="O54" i="17" s="1" a="1"/>
  <c r="O54" i="17" s="1"/>
  <c r="K54" i="17"/>
  <c r="L54" i="17"/>
  <c r="M54" i="17" s="1"/>
  <c r="I55" i="17"/>
  <c r="N55" i="17" s="1" a="1"/>
  <c r="N55" i="17" s="1"/>
  <c r="J55" i="17"/>
  <c r="O55" i="17" s="1" a="1"/>
  <c r="O55" i="17" s="1"/>
  <c r="K55" i="17"/>
  <c r="L55" i="17"/>
  <c r="M55" i="17" s="1"/>
  <c r="I56" i="17"/>
  <c r="N56" i="17" s="1" a="1"/>
  <c r="N56" i="17" s="1"/>
  <c r="J56" i="17"/>
  <c r="O56" i="17" s="1" a="1"/>
  <c r="O56" i="17" s="1"/>
  <c r="K56" i="17"/>
  <c r="L56" i="17"/>
  <c r="M56" i="17" s="1"/>
  <c r="I57" i="17"/>
  <c r="N57" i="17" s="1" a="1"/>
  <c r="N57" i="17" s="1"/>
  <c r="J57" i="17"/>
  <c r="O57" i="17" s="1" a="1"/>
  <c r="O57" i="17" s="1"/>
  <c r="K57" i="17"/>
  <c r="L57" i="17"/>
  <c r="M57" i="17" s="1"/>
  <c r="I58" i="17"/>
  <c r="N58" i="17" s="1" a="1"/>
  <c r="N58" i="17" s="1"/>
  <c r="J58" i="17"/>
  <c r="O58" i="17" s="1" a="1"/>
  <c r="O58" i="17" s="1"/>
  <c r="K58" i="17"/>
  <c r="L58" i="17"/>
  <c r="M58" i="17" s="1"/>
  <c r="I59" i="17"/>
  <c r="N59" i="17" s="1" a="1"/>
  <c r="N59" i="17" s="1"/>
  <c r="J59" i="17"/>
  <c r="O59" i="17" s="1" a="1"/>
  <c r="O59" i="17" s="1"/>
  <c r="K59" i="17"/>
  <c r="L59" i="17"/>
  <c r="M59" i="17" s="1"/>
  <c r="I60" i="17"/>
  <c r="N60" i="17" s="1" a="1"/>
  <c r="N60" i="17" s="1"/>
  <c r="J60" i="17"/>
  <c r="O60" i="17" s="1" a="1"/>
  <c r="O60" i="17" s="1"/>
  <c r="K60" i="17"/>
  <c r="L60" i="17"/>
  <c r="M60" i="17" s="1"/>
  <c r="I61" i="17"/>
  <c r="N61" i="17" s="1" a="1"/>
  <c r="N61" i="17" s="1"/>
  <c r="J61" i="17"/>
  <c r="O61" i="17" s="1" a="1"/>
  <c r="O61" i="17" s="1"/>
  <c r="K61" i="17"/>
  <c r="L61" i="17"/>
  <c r="M61" i="17" s="1"/>
  <c r="I62" i="17"/>
  <c r="N62" i="17" s="1" a="1"/>
  <c r="N62" i="17" s="1"/>
  <c r="J62" i="17"/>
  <c r="O62" i="17" s="1" a="1"/>
  <c r="O62" i="17" s="1"/>
  <c r="K62" i="17"/>
  <c r="L62" i="17"/>
  <c r="M62" i="17" s="1"/>
  <c r="I63" i="17"/>
  <c r="N63" i="17" s="1" a="1"/>
  <c r="N63" i="17" s="1"/>
  <c r="J63" i="17"/>
  <c r="O63" i="17" s="1" a="1"/>
  <c r="O63" i="17" s="1"/>
  <c r="K63" i="17"/>
  <c r="L63" i="17"/>
  <c r="M63" i="17" s="1"/>
  <c r="I64" i="17"/>
  <c r="N64" i="17" s="1" a="1"/>
  <c r="N64" i="17" s="1"/>
  <c r="J64" i="17"/>
  <c r="O64" i="17" s="1" a="1"/>
  <c r="O64" i="17" s="1"/>
  <c r="K64" i="17"/>
  <c r="L64" i="17"/>
  <c r="M64" i="17" s="1"/>
  <c r="I65" i="17"/>
  <c r="N65" i="17" s="1" a="1"/>
  <c r="N65" i="17" s="1"/>
  <c r="J65" i="17"/>
  <c r="O65" i="17" s="1" a="1"/>
  <c r="O65" i="17" s="1"/>
  <c r="K65" i="17"/>
  <c r="L65" i="17"/>
  <c r="M65" i="17" s="1"/>
  <c r="I66" i="17"/>
  <c r="N66" i="17" s="1" a="1"/>
  <c r="N66" i="17" s="1"/>
  <c r="J66" i="17"/>
  <c r="O66" i="17" s="1" a="1"/>
  <c r="O66" i="17" s="1"/>
  <c r="K66" i="17"/>
  <c r="L66" i="17"/>
  <c r="M66" i="17" s="1"/>
  <c r="I67" i="17"/>
  <c r="N67" i="17" s="1" a="1"/>
  <c r="N67" i="17" s="1"/>
  <c r="J67" i="17"/>
  <c r="O67" i="17" s="1" a="1"/>
  <c r="O67" i="17" s="1"/>
  <c r="K67" i="17"/>
  <c r="L67" i="17"/>
  <c r="M67" i="17" s="1"/>
  <c r="I68" i="17"/>
  <c r="N68" i="17" s="1" a="1"/>
  <c r="N68" i="17" s="1"/>
  <c r="J68" i="17"/>
  <c r="O68" i="17" s="1" a="1"/>
  <c r="O68" i="17" s="1"/>
  <c r="K68" i="17"/>
  <c r="L68" i="17"/>
  <c r="M68" i="17" s="1"/>
  <c r="I69" i="17"/>
  <c r="N69" i="17" s="1" a="1"/>
  <c r="N69" i="17" s="1"/>
  <c r="J69" i="17"/>
  <c r="O69" i="17" s="1" a="1"/>
  <c r="O69" i="17" s="1"/>
  <c r="K69" i="17"/>
  <c r="L69" i="17"/>
  <c r="M69" i="17" s="1"/>
  <c r="I70" i="17"/>
  <c r="N70" i="17" s="1" a="1"/>
  <c r="N70" i="17" s="1"/>
  <c r="J70" i="17"/>
  <c r="O70" i="17" s="1" a="1"/>
  <c r="O70" i="17" s="1"/>
  <c r="K70" i="17"/>
  <c r="L70" i="17"/>
  <c r="M70" i="17" s="1"/>
  <c r="I71" i="17"/>
  <c r="N71" i="17" s="1" a="1"/>
  <c r="N71" i="17" s="1"/>
  <c r="J71" i="17"/>
  <c r="O71" i="17" s="1" a="1"/>
  <c r="O71" i="17" s="1"/>
  <c r="K71" i="17"/>
  <c r="L71" i="17"/>
  <c r="M71" i="17" s="1"/>
  <c r="I72" i="17"/>
  <c r="N72" i="17" s="1" a="1"/>
  <c r="N72" i="17" s="1"/>
  <c r="J72" i="17"/>
  <c r="O72" i="17" s="1" a="1"/>
  <c r="O72" i="17" s="1"/>
  <c r="K72" i="17"/>
  <c r="L72" i="17"/>
  <c r="M72" i="17" s="1"/>
  <c r="I73" i="17"/>
  <c r="N73" i="17" s="1" a="1"/>
  <c r="N73" i="17" s="1"/>
  <c r="J73" i="17"/>
  <c r="O73" i="17" s="1" a="1"/>
  <c r="O73" i="17" s="1"/>
  <c r="K73" i="17"/>
  <c r="L73" i="17"/>
  <c r="M73" i="17" s="1"/>
  <c r="I74" i="17"/>
  <c r="N74" i="17" s="1" a="1"/>
  <c r="N74" i="17" s="1"/>
  <c r="J74" i="17"/>
  <c r="O74" i="17" s="1" a="1"/>
  <c r="O74" i="17" s="1"/>
  <c r="K74" i="17"/>
  <c r="L74" i="17"/>
  <c r="M74" i="17" s="1"/>
  <c r="I75" i="17"/>
  <c r="N75" i="17" s="1" a="1"/>
  <c r="N75" i="17" s="1"/>
  <c r="J75" i="17"/>
  <c r="O75" i="17" s="1" a="1"/>
  <c r="O75" i="17" s="1"/>
  <c r="K75" i="17"/>
  <c r="L75" i="17"/>
  <c r="M75" i="17" s="1"/>
  <c r="I76" i="17"/>
  <c r="N76" i="17" s="1" a="1"/>
  <c r="N76" i="17" s="1"/>
  <c r="J76" i="17"/>
  <c r="O76" i="17" s="1" a="1"/>
  <c r="O76" i="17" s="1"/>
  <c r="K76" i="17"/>
  <c r="L76" i="17"/>
  <c r="M76" i="17" s="1"/>
  <c r="I77" i="17"/>
  <c r="N77" i="17" s="1" a="1"/>
  <c r="N77" i="17" s="1"/>
  <c r="J77" i="17"/>
  <c r="O77" i="17" s="1" a="1"/>
  <c r="O77" i="17" s="1"/>
  <c r="K77" i="17"/>
  <c r="L77" i="17"/>
  <c r="M77" i="17" s="1"/>
  <c r="I78" i="17"/>
  <c r="N78" i="17" s="1" a="1"/>
  <c r="N78" i="17" s="1"/>
  <c r="J78" i="17"/>
  <c r="O78" i="17" s="1" a="1"/>
  <c r="O78" i="17" s="1"/>
  <c r="K78" i="17"/>
  <c r="L78" i="17"/>
  <c r="M78" i="17" s="1"/>
  <c r="I79" i="17"/>
  <c r="N79" i="17" s="1" a="1"/>
  <c r="N79" i="17" s="1"/>
  <c r="J79" i="17"/>
  <c r="O79" i="17" s="1" a="1"/>
  <c r="O79" i="17" s="1"/>
  <c r="K79" i="17"/>
  <c r="L79" i="17"/>
  <c r="M79" i="17" s="1"/>
  <c r="I80" i="17"/>
  <c r="N80" i="17" s="1" a="1"/>
  <c r="N80" i="17" s="1"/>
  <c r="J80" i="17"/>
  <c r="O80" i="17" s="1" a="1"/>
  <c r="O80" i="17" s="1"/>
  <c r="K80" i="17"/>
  <c r="L80" i="17"/>
  <c r="M80" i="17" s="1"/>
  <c r="I81" i="17"/>
  <c r="N81" i="17" s="1" a="1"/>
  <c r="N81" i="17" s="1"/>
  <c r="J81" i="17"/>
  <c r="O81" i="17" s="1" a="1"/>
  <c r="O81" i="17" s="1"/>
  <c r="K81" i="17"/>
  <c r="L81" i="17"/>
  <c r="M81" i="17" s="1"/>
  <c r="I82" i="17"/>
  <c r="N82" i="17" s="1" a="1"/>
  <c r="N82" i="17" s="1"/>
  <c r="J82" i="17"/>
  <c r="O82" i="17" s="1" a="1"/>
  <c r="O82" i="17" s="1"/>
  <c r="K82" i="17"/>
  <c r="L82" i="17"/>
  <c r="M82" i="17" s="1"/>
  <c r="I83" i="17"/>
  <c r="N83" i="17" s="1" a="1"/>
  <c r="N83" i="17" s="1"/>
  <c r="J83" i="17"/>
  <c r="O83" i="17" s="1" a="1"/>
  <c r="O83" i="17" s="1"/>
  <c r="K83" i="17"/>
  <c r="L83" i="17"/>
  <c r="M83" i="17" s="1"/>
  <c r="I84" i="17"/>
  <c r="N84" i="17" s="1" a="1"/>
  <c r="N84" i="17" s="1"/>
  <c r="J84" i="17"/>
  <c r="O84" i="17" s="1" a="1"/>
  <c r="O84" i="17" s="1"/>
  <c r="K84" i="17"/>
  <c r="L84" i="17"/>
  <c r="M84" i="17" s="1"/>
  <c r="I85" i="17"/>
  <c r="N85" i="17" s="1" a="1"/>
  <c r="N85" i="17" s="1"/>
  <c r="J85" i="17"/>
  <c r="O85" i="17" s="1" a="1"/>
  <c r="O85" i="17" s="1"/>
  <c r="K85" i="17"/>
  <c r="L85" i="17"/>
  <c r="M85" i="17" s="1"/>
  <c r="I86" i="17"/>
  <c r="N86" i="17" s="1" a="1"/>
  <c r="N86" i="17" s="1"/>
  <c r="J86" i="17"/>
  <c r="O86" i="17" s="1" a="1"/>
  <c r="O86" i="17" s="1"/>
  <c r="K86" i="17"/>
  <c r="L86" i="17"/>
  <c r="M86" i="17" s="1"/>
  <c r="I87" i="17"/>
  <c r="N87" i="17" s="1" a="1"/>
  <c r="N87" i="17" s="1"/>
  <c r="J87" i="17"/>
  <c r="O87" i="17" s="1" a="1"/>
  <c r="O87" i="17" s="1"/>
  <c r="K87" i="17"/>
  <c r="L87" i="17"/>
  <c r="M87" i="17" s="1"/>
  <c r="I88" i="17"/>
  <c r="N88" i="17" s="1" a="1"/>
  <c r="N88" i="17" s="1"/>
  <c r="J88" i="17"/>
  <c r="O88" i="17" s="1" a="1"/>
  <c r="O88" i="17" s="1"/>
  <c r="K88" i="17"/>
  <c r="L88" i="17"/>
  <c r="M88" i="17" s="1"/>
  <c r="I89" i="17"/>
  <c r="N89" i="17" s="1" a="1"/>
  <c r="N89" i="17" s="1"/>
  <c r="J89" i="17"/>
  <c r="O89" i="17" s="1" a="1"/>
  <c r="O89" i="17" s="1"/>
  <c r="K89" i="17"/>
  <c r="L89" i="17"/>
  <c r="M89" i="17" s="1"/>
  <c r="I90" i="17"/>
  <c r="N90" i="17" s="1" a="1"/>
  <c r="N90" i="17" s="1"/>
  <c r="J90" i="17"/>
  <c r="O90" i="17" s="1" a="1"/>
  <c r="O90" i="17" s="1"/>
  <c r="K90" i="17"/>
  <c r="L90" i="17"/>
  <c r="M90" i="17" s="1"/>
  <c r="I91" i="17"/>
  <c r="N91" i="17" s="1" a="1"/>
  <c r="N91" i="17" s="1"/>
  <c r="J91" i="17"/>
  <c r="O91" i="17" s="1" a="1"/>
  <c r="O91" i="17" s="1"/>
  <c r="K91" i="17"/>
  <c r="L91" i="17"/>
  <c r="M91" i="17" s="1"/>
  <c r="I92" i="17"/>
  <c r="N92" i="17" s="1" a="1"/>
  <c r="N92" i="17" s="1"/>
  <c r="J92" i="17"/>
  <c r="O92" i="17" s="1" a="1"/>
  <c r="O92" i="17" s="1"/>
  <c r="K92" i="17"/>
  <c r="L92" i="17"/>
  <c r="M92" i="17" s="1"/>
  <c r="I93" i="17"/>
  <c r="N93" i="17" s="1" a="1"/>
  <c r="N93" i="17" s="1"/>
  <c r="J93" i="17"/>
  <c r="O93" i="17" s="1" a="1"/>
  <c r="O93" i="17" s="1"/>
  <c r="K93" i="17"/>
  <c r="L93" i="17"/>
  <c r="M93" i="17" s="1"/>
  <c r="I94" i="17"/>
  <c r="N94" i="17" s="1" a="1"/>
  <c r="N94" i="17" s="1"/>
  <c r="J94" i="17"/>
  <c r="O94" i="17" s="1" a="1"/>
  <c r="O94" i="17" s="1"/>
  <c r="K94" i="17"/>
  <c r="L94" i="17"/>
  <c r="M94" i="17" s="1"/>
  <c r="I95" i="17"/>
  <c r="N95" i="17" s="1" a="1"/>
  <c r="N95" i="17" s="1"/>
  <c r="J95" i="17"/>
  <c r="O95" i="17" s="1" a="1"/>
  <c r="O95" i="17" s="1"/>
  <c r="K95" i="17"/>
  <c r="L95" i="17"/>
  <c r="M95" i="17" s="1"/>
  <c r="I96" i="17"/>
  <c r="N96" i="17" s="1" a="1"/>
  <c r="N96" i="17" s="1"/>
  <c r="J96" i="17"/>
  <c r="O96" i="17" s="1" a="1"/>
  <c r="O96" i="17" s="1"/>
  <c r="K96" i="17"/>
  <c r="L96" i="17"/>
  <c r="M96" i="17" s="1"/>
  <c r="I97" i="17"/>
  <c r="N97" i="17" s="1" a="1"/>
  <c r="N97" i="17" s="1"/>
  <c r="J97" i="17"/>
  <c r="O97" i="17" s="1" a="1"/>
  <c r="O97" i="17" s="1"/>
  <c r="K97" i="17"/>
  <c r="L97" i="17"/>
  <c r="M97" i="17" s="1"/>
  <c r="I98" i="17"/>
  <c r="N98" i="17" s="1" a="1"/>
  <c r="N98" i="17" s="1"/>
  <c r="J98" i="17"/>
  <c r="O98" i="17" s="1" a="1"/>
  <c r="O98" i="17" s="1"/>
  <c r="K98" i="17"/>
  <c r="L98" i="17"/>
  <c r="M98" i="17" s="1"/>
  <c r="I99" i="17"/>
  <c r="N99" i="17" s="1" a="1"/>
  <c r="N99" i="17" s="1"/>
  <c r="J99" i="17"/>
  <c r="O99" i="17" s="1" a="1"/>
  <c r="O99" i="17" s="1"/>
  <c r="K99" i="17"/>
  <c r="L99" i="17"/>
  <c r="M99" i="17" s="1"/>
  <c r="I100" i="17"/>
  <c r="N100" i="17" s="1" a="1"/>
  <c r="N100" i="17" s="1"/>
  <c r="J100" i="17"/>
  <c r="O100" i="17" s="1" a="1"/>
  <c r="O100" i="17" s="1"/>
  <c r="K100" i="17"/>
  <c r="L100" i="17"/>
  <c r="M100" i="17" s="1"/>
  <c r="I101" i="17"/>
  <c r="N101" i="17" s="1" a="1"/>
  <c r="N101" i="17" s="1"/>
  <c r="J101" i="17"/>
  <c r="O101" i="17" s="1" a="1"/>
  <c r="O101" i="17" s="1"/>
  <c r="K101" i="17"/>
  <c r="L101" i="17"/>
  <c r="M101" i="17" s="1"/>
  <c r="I102" i="17"/>
  <c r="N102" i="17" s="1" a="1"/>
  <c r="N102" i="17" s="1"/>
  <c r="J102" i="17"/>
  <c r="O102" i="17" s="1" a="1"/>
  <c r="O102" i="17" s="1"/>
  <c r="K102" i="17"/>
  <c r="L102" i="17"/>
  <c r="M102" i="17" s="1"/>
  <c r="I103" i="17"/>
  <c r="N103" i="17" s="1" a="1"/>
  <c r="N103" i="17" s="1"/>
  <c r="J103" i="17"/>
  <c r="O103" i="17" s="1" a="1"/>
  <c r="O103" i="17" s="1"/>
  <c r="K103" i="17"/>
  <c r="L103" i="17"/>
  <c r="M103" i="17" s="1"/>
  <c r="I104" i="17"/>
  <c r="N104" i="17" s="1" a="1"/>
  <c r="N104" i="17" s="1"/>
  <c r="J104" i="17"/>
  <c r="O104" i="17" s="1" a="1"/>
  <c r="O104" i="17" s="1"/>
  <c r="K104" i="17"/>
  <c r="L104" i="17"/>
  <c r="M104" i="17" s="1"/>
  <c r="I105" i="17"/>
  <c r="N105" i="17" s="1" a="1"/>
  <c r="N105" i="17" s="1"/>
  <c r="J105" i="17"/>
  <c r="O105" i="17" s="1" a="1"/>
  <c r="O105" i="17" s="1"/>
  <c r="K105" i="17"/>
  <c r="L105" i="17"/>
  <c r="M105" i="17" s="1"/>
  <c r="I106" i="17"/>
  <c r="N106" i="17" s="1" a="1"/>
  <c r="N106" i="17" s="1"/>
  <c r="J106" i="17"/>
  <c r="O106" i="17" s="1" a="1"/>
  <c r="O106" i="17" s="1"/>
  <c r="K106" i="17"/>
  <c r="L106" i="17"/>
  <c r="M106" i="17" s="1"/>
  <c r="I107" i="17"/>
  <c r="N107" i="17" s="1" a="1"/>
  <c r="N107" i="17" s="1"/>
  <c r="J107" i="17"/>
  <c r="O107" i="17" s="1" a="1"/>
  <c r="O107" i="17" s="1"/>
  <c r="K107" i="17"/>
  <c r="L107" i="17"/>
  <c r="M107" i="17" s="1"/>
  <c r="I108" i="17"/>
  <c r="N108" i="17" s="1" a="1"/>
  <c r="N108" i="17" s="1"/>
  <c r="J108" i="17"/>
  <c r="O108" i="17" s="1" a="1"/>
  <c r="O108" i="17" s="1"/>
  <c r="K108" i="17"/>
  <c r="L108" i="17"/>
  <c r="M108" i="17" s="1"/>
  <c r="I109" i="17"/>
  <c r="N109" i="17" s="1" a="1"/>
  <c r="N109" i="17" s="1"/>
  <c r="J109" i="17"/>
  <c r="O109" i="17" s="1" a="1"/>
  <c r="O109" i="17" s="1"/>
  <c r="K109" i="17"/>
  <c r="L109" i="17"/>
  <c r="M109" i="17" s="1"/>
  <c r="I110" i="17"/>
  <c r="N110" i="17" s="1" a="1"/>
  <c r="N110" i="17" s="1"/>
  <c r="J110" i="17"/>
  <c r="O110" i="17" s="1" a="1"/>
  <c r="O110" i="17" s="1"/>
  <c r="K110" i="17"/>
  <c r="L110" i="17"/>
  <c r="M110" i="17" s="1"/>
  <c r="I111" i="17"/>
  <c r="N111" i="17" s="1" a="1"/>
  <c r="N111" i="17" s="1"/>
  <c r="J111" i="17"/>
  <c r="O111" i="17" s="1" a="1"/>
  <c r="O111" i="17" s="1"/>
  <c r="K111" i="17"/>
  <c r="L111" i="17"/>
  <c r="M111" i="17" s="1"/>
  <c r="I112" i="17"/>
  <c r="N112" i="17" s="1" a="1"/>
  <c r="N112" i="17" s="1"/>
  <c r="J112" i="17"/>
  <c r="O112" i="17" s="1" a="1"/>
  <c r="O112" i="17" s="1"/>
  <c r="K112" i="17"/>
  <c r="L112" i="17"/>
  <c r="M112" i="17" s="1"/>
  <c r="I113" i="17"/>
  <c r="N113" i="17" s="1" a="1"/>
  <c r="N113" i="17" s="1"/>
  <c r="J113" i="17"/>
  <c r="O113" i="17" s="1" a="1"/>
  <c r="O113" i="17" s="1"/>
  <c r="K113" i="17"/>
  <c r="L113" i="17"/>
  <c r="M113" i="17" s="1"/>
  <c r="I114" i="17"/>
  <c r="N114" i="17" s="1" a="1"/>
  <c r="N114" i="17" s="1"/>
  <c r="J114" i="17"/>
  <c r="O114" i="17" s="1" a="1"/>
  <c r="O114" i="17" s="1"/>
  <c r="K114" i="17"/>
  <c r="L114" i="17"/>
  <c r="M114" i="17" s="1"/>
  <c r="I115" i="17"/>
  <c r="N115" i="17" s="1" a="1"/>
  <c r="N115" i="17" s="1"/>
  <c r="J115" i="17"/>
  <c r="O115" i="17" s="1" a="1"/>
  <c r="O115" i="17" s="1"/>
  <c r="K115" i="17"/>
  <c r="L115" i="17"/>
  <c r="M115" i="17" s="1"/>
  <c r="I116" i="17"/>
  <c r="N116" i="17" s="1" a="1"/>
  <c r="N116" i="17" s="1"/>
  <c r="J116" i="17"/>
  <c r="O116" i="17" s="1" a="1"/>
  <c r="O116" i="17" s="1"/>
  <c r="K116" i="17"/>
  <c r="L116" i="17"/>
  <c r="M116" i="17" s="1"/>
  <c r="I117" i="17"/>
  <c r="N117" i="17" s="1" a="1"/>
  <c r="N117" i="17" s="1"/>
  <c r="J117" i="17"/>
  <c r="O117" i="17" s="1" a="1"/>
  <c r="O117" i="17" s="1"/>
  <c r="K117" i="17"/>
  <c r="L117" i="17"/>
  <c r="M117" i="17" s="1"/>
  <c r="I118" i="17"/>
  <c r="N118" i="17" s="1" a="1"/>
  <c r="N118" i="17" s="1"/>
  <c r="J118" i="17"/>
  <c r="O118" i="17" s="1" a="1"/>
  <c r="O118" i="17" s="1"/>
  <c r="K118" i="17"/>
  <c r="L118" i="17"/>
  <c r="M118" i="17" s="1"/>
  <c r="I119" i="17"/>
  <c r="N119" i="17" s="1" a="1"/>
  <c r="N119" i="17" s="1"/>
  <c r="J119" i="17"/>
  <c r="O119" i="17" s="1" a="1"/>
  <c r="O119" i="17" s="1"/>
  <c r="K119" i="17"/>
  <c r="L119" i="17"/>
  <c r="M119" i="17" s="1"/>
  <c r="I120" i="17"/>
  <c r="N120" i="17" s="1" a="1"/>
  <c r="N120" i="17" s="1"/>
  <c r="J120" i="17"/>
  <c r="O120" i="17" s="1" a="1"/>
  <c r="O120" i="17" s="1"/>
  <c r="K120" i="17"/>
  <c r="L120" i="17"/>
  <c r="M120" i="17" s="1"/>
  <c r="I121" i="17"/>
  <c r="N121" i="17" s="1" a="1"/>
  <c r="N121" i="17" s="1"/>
  <c r="J121" i="17"/>
  <c r="O121" i="17" s="1" a="1"/>
  <c r="O121" i="17" s="1"/>
  <c r="K121" i="17"/>
  <c r="L121" i="17"/>
  <c r="M121" i="17" s="1"/>
  <c r="I122" i="17"/>
  <c r="N122" i="17" s="1" a="1"/>
  <c r="N122" i="17" s="1"/>
  <c r="J122" i="17"/>
  <c r="O122" i="17" s="1" a="1"/>
  <c r="O122" i="17" s="1"/>
  <c r="K122" i="17"/>
  <c r="L122" i="17"/>
  <c r="M122" i="17" s="1"/>
  <c r="I123" i="17"/>
  <c r="N123" i="17" s="1" a="1"/>
  <c r="N123" i="17" s="1"/>
  <c r="J123" i="17"/>
  <c r="O123" i="17" s="1" a="1"/>
  <c r="O123" i="17" s="1"/>
  <c r="K123" i="17"/>
  <c r="L123" i="17"/>
  <c r="M123" i="17" s="1"/>
  <c r="I124" i="17"/>
  <c r="N124" i="17" s="1" a="1"/>
  <c r="N124" i="17" s="1"/>
  <c r="J124" i="17"/>
  <c r="O124" i="17" s="1" a="1"/>
  <c r="O124" i="17" s="1"/>
  <c r="K124" i="17"/>
  <c r="L124" i="17"/>
  <c r="M124" i="17" s="1"/>
  <c r="I125" i="17"/>
  <c r="N125" i="17" s="1" a="1"/>
  <c r="N125" i="17" s="1"/>
  <c r="J125" i="17"/>
  <c r="O125" i="17" s="1" a="1"/>
  <c r="O125" i="17" s="1"/>
  <c r="K125" i="17"/>
  <c r="L125" i="17"/>
  <c r="M125" i="17" s="1"/>
  <c r="I126" i="17"/>
  <c r="N126" i="17" s="1" a="1"/>
  <c r="N126" i="17" s="1"/>
  <c r="J126" i="17"/>
  <c r="O126" i="17" s="1" a="1"/>
  <c r="O126" i="17" s="1"/>
  <c r="K126" i="17"/>
  <c r="L126" i="17"/>
  <c r="M126" i="17" s="1"/>
  <c r="I127" i="17"/>
  <c r="N127" i="17" s="1" a="1"/>
  <c r="N127" i="17" s="1"/>
  <c r="J127" i="17"/>
  <c r="O127" i="17" s="1" a="1"/>
  <c r="O127" i="17" s="1"/>
  <c r="K127" i="17"/>
  <c r="L127" i="17"/>
  <c r="M127" i="17" s="1"/>
  <c r="I128" i="17"/>
  <c r="N128" i="17" s="1" a="1"/>
  <c r="N128" i="17" s="1"/>
  <c r="J128" i="17"/>
  <c r="O128" i="17" s="1" a="1"/>
  <c r="O128" i="17" s="1"/>
  <c r="K128" i="17"/>
  <c r="L128" i="17"/>
  <c r="M128" i="17" s="1"/>
  <c r="I129" i="17"/>
  <c r="N129" i="17" s="1" a="1"/>
  <c r="N129" i="17" s="1"/>
  <c r="J129" i="17"/>
  <c r="O129" i="17" s="1" a="1"/>
  <c r="O129" i="17" s="1"/>
  <c r="K129" i="17"/>
  <c r="L129" i="17"/>
  <c r="M129" i="17" s="1"/>
  <c r="I130" i="17"/>
  <c r="N130" i="17" s="1" a="1"/>
  <c r="N130" i="17" s="1"/>
  <c r="J130" i="17"/>
  <c r="O130" i="17" s="1" a="1"/>
  <c r="O130" i="17" s="1"/>
  <c r="K130" i="17"/>
  <c r="L130" i="17"/>
  <c r="M130" i="17" s="1"/>
  <c r="I131" i="17"/>
  <c r="N131" i="17" s="1" a="1"/>
  <c r="N131" i="17" s="1"/>
  <c r="J131" i="17"/>
  <c r="O131" i="17" s="1" a="1"/>
  <c r="O131" i="17" s="1"/>
  <c r="K131" i="17"/>
  <c r="L131" i="17"/>
  <c r="M131" i="17" s="1"/>
  <c r="I132" i="17"/>
  <c r="N132" i="17" s="1" a="1"/>
  <c r="N132" i="17" s="1"/>
  <c r="J132" i="17"/>
  <c r="O132" i="17" s="1" a="1"/>
  <c r="O132" i="17" s="1"/>
  <c r="K132" i="17"/>
  <c r="L132" i="17"/>
  <c r="M132" i="17" s="1"/>
  <c r="I133" i="17"/>
  <c r="N133" i="17" s="1" a="1"/>
  <c r="N133" i="17" s="1"/>
  <c r="J133" i="17"/>
  <c r="O133" i="17" s="1" a="1"/>
  <c r="O133" i="17" s="1"/>
  <c r="K133" i="17"/>
  <c r="L133" i="17"/>
  <c r="M133" i="17" s="1"/>
  <c r="I134" i="17"/>
  <c r="N134" i="17" s="1" a="1"/>
  <c r="N134" i="17" s="1"/>
  <c r="J134" i="17"/>
  <c r="O134" i="17" s="1" a="1"/>
  <c r="O134" i="17" s="1"/>
  <c r="K134" i="17"/>
  <c r="L134" i="17"/>
  <c r="M134" i="17" s="1"/>
  <c r="I135" i="17"/>
  <c r="N135" i="17" s="1" a="1"/>
  <c r="N135" i="17" s="1"/>
  <c r="J135" i="17"/>
  <c r="O135" i="17" s="1" a="1"/>
  <c r="O135" i="17" s="1"/>
  <c r="K135" i="17"/>
  <c r="L135" i="17"/>
  <c r="M135" i="17" s="1"/>
  <c r="I136" i="17"/>
  <c r="N136" i="17" s="1" a="1"/>
  <c r="N136" i="17" s="1"/>
  <c r="J136" i="17"/>
  <c r="O136" i="17" s="1" a="1"/>
  <c r="O136" i="17" s="1"/>
  <c r="K136" i="17"/>
  <c r="L136" i="17"/>
  <c r="M136" i="17" s="1"/>
  <c r="I137" i="17"/>
  <c r="N137" i="17" s="1" a="1"/>
  <c r="N137" i="17" s="1"/>
  <c r="J137" i="17"/>
  <c r="O137" i="17" s="1" a="1"/>
  <c r="O137" i="17" s="1"/>
  <c r="K137" i="17"/>
  <c r="L137" i="17"/>
  <c r="M137" i="17" s="1"/>
  <c r="I138" i="17"/>
  <c r="N138" i="17" s="1" a="1"/>
  <c r="N138" i="17" s="1"/>
  <c r="J138" i="17"/>
  <c r="O138" i="17" s="1" a="1"/>
  <c r="O138" i="17" s="1"/>
  <c r="K138" i="17"/>
  <c r="L138" i="17"/>
  <c r="M138" i="17" s="1"/>
  <c r="I139" i="17"/>
  <c r="N139" i="17" s="1" a="1"/>
  <c r="N139" i="17" s="1"/>
  <c r="J139" i="17"/>
  <c r="O139" i="17" s="1" a="1"/>
  <c r="O139" i="17" s="1"/>
  <c r="K139" i="17"/>
  <c r="L139" i="17"/>
  <c r="M139" i="17" s="1"/>
  <c r="I140" i="17"/>
  <c r="N140" i="17" s="1" a="1"/>
  <c r="N140" i="17" s="1"/>
  <c r="J140" i="17"/>
  <c r="O140" i="17" s="1" a="1"/>
  <c r="O140" i="17" s="1"/>
  <c r="K140" i="17"/>
  <c r="L140" i="17"/>
  <c r="M140" i="17" s="1"/>
  <c r="I141" i="17"/>
  <c r="N141" i="17" s="1" a="1"/>
  <c r="N141" i="17" s="1"/>
  <c r="J141" i="17"/>
  <c r="O141" i="17" s="1" a="1"/>
  <c r="O141" i="17" s="1"/>
  <c r="K141" i="17"/>
  <c r="L141" i="17"/>
  <c r="M141" i="17" s="1"/>
  <c r="I142" i="17"/>
  <c r="N142" i="17" s="1" a="1"/>
  <c r="N142" i="17" s="1"/>
  <c r="J142" i="17"/>
  <c r="O142" i="17" s="1" a="1"/>
  <c r="O142" i="17" s="1"/>
  <c r="K142" i="17"/>
  <c r="L142" i="17"/>
  <c r="M142" i="17" s="1"/>
  <c r="I143" i="17"/>
  <c r="N143" i="17" s="1" a="1"/>
  <c r="N143" i="17" s="1"/>
  <c r="J143" i="17"/>
  <c r="O143" i="17" s="1" a="1"/>
  <c r="O143" i="17" s="1"/>
  <c r="K143" i="17"/>
  <c r="L143" i="17"/>
  <c r="M143" i="17" s="1"/>
  <c r="I144" i="17"/>
  <c r="N144" i="17" s="1" a="1"/>
  <c r="N144" i="17" s="1"/>
  <c r="J144" i="17"/>
  <c r="O144" i="17" s="1" a="1"/>
  <c r="O144" i="17" s="1"/>
  <c r="K144" i="17"/>
  <c r="L144" i="17"/>
  <c r="M144" i="17" s="1"/>
  <c r="I145" i="17"/>
  <c r="N145" i="17" s="1" a="1"/>
  <c r="N145" i="17" s="1"/>
  <c r="J145" i="17"/>
  <c r="O145" i="17" s="1" a="1"/>
  <c r="O145" i="17" s="1"/>
  <c r="K145" i="17"/>
  <c r="L145" i="17"/>
  <c r="M145" i="17" s="1"/>
  <c r="I146" i="17"/>
  <c r="N146" i="17" s="1" a="1"/>
  <c r="N146" i="17" s="1"/>
  <c r="J146" i="17"/>
  <c r="O146" i="17" s="1" a="1"/>
  <c r="O146" i="17" s="1"/>
  <c r="K146" i="17"/>
  <c r="L146" i="17"/>
  <c r="M146" i="17" s="1"/>
  <c r="I147" i="17"/>
  <c r="N147" i="17" s="1" a="1"/>
  <c r="N147" i="17" s="1"/>
  <c r="J147" i="17"/>
  <c r="O147" i="17" s="1" a="1"/>
  <c r="O147" i="17" s="1"/>
  <c r="K147" i="17"/>
  <c r="L147" i="17"/>
  <c r="M147" i="17" s="1"/>
  <c r="I148" i="17"/>
  <c r="N148" i="17" s="1" a="1"/>
  <c r="N148" i="17" s="1"/>
  <c r="J148" i="17"/>
  <c r="O148" i="17" s="1" a="1"/>
  <c r="O148" i="17" s="1"/>
  <c r="K148" i="17"/>
  <c r="L148" i="17"/>
  <c r="M148" i="17" s="1"/>
  <c r="I149" i="17"/>
  <c r="N149" i="17" s="1" a="1"/>
  <c r="N149" i="17" s="1"/>
  <c r="J149" i="17"/>
  <c r="O149" i="17" s="1" a="1"/>
  <c r="O149" i="17" s="1"/>
  <c r="K149" i="17"/>
  <c r="L149" i="17"/>
  <c r="M149" i="17" s="1"/>
  <c r="I150" i="17"/>
  <c r="N150" i="17" s="1" a="1"/>
  <c r="N150" i="17" s="1"/>
  <c r="J150" i="17"/>
  <c r="O150" i="17" s="1" a="1"/>
  <c r="O150" i="17" s="1"/>
  <c r="K150" i="17"/>
  <c r="L150" i="17"/>
  <c r="M150" i="17" s="1"/>
  <c r="I151" i="17"/>
  <c r="N151" i="17" s="1" a="1"/>
  <c r="N151" i="17" s="1"/>
  <c r="J151" i="17"/>
  <c r="O151" i="17" s="1" a="1"/>
  <c r="O151" i="17" s="1"/>
  <c r="K151" i="17"/>
  <c r="L151" i="17"/>
  <c r="M151" i="17" s="1"/>
  <c r="I152" i="17"/>
  <c r="N152" i="17" s="1" a="1"/>
  <c r="N152" i="17" s="1"/>
  <c r="J152" i="17"/>
  <c r="O152" i="17" s="1" a="1"/>
  <c r="O152" i="17" s="1"/>
  <c r="K152" i="17"/>
  <c r="L152" i="17"/>
  <c r="M152" i="17" s="1"/>
  <c r="I153" i="17"/>
  <c r="N153" i="17" s="1" a="1"/>
  <c r="N153" i="17" s="1"/>
  <c r="J153" i="17"/>
  <c r="O153" i="17" s="1" a="1"/>
  <c r="O153" i="17" s="1"/>
  <c r="K153" i="17"/>
  <c r="L153" i="17"/>
  <c r="M153" i="17" s="1"/>
  <c r="I154" i="17"/>
  <c r="N154" i="17" s="1" a="1"/>
  <c r="N154" i="17" s="1"/>
  <c r="J154" i="17"/>
  <c r="O154" i="17" s="1" a="1"/>
  <c r="O154" i="17" s="1"/>
  <c r="K154" i="17"/>
  <c r="L154" i="17"/>
  <c r="M154" i="17" s="1"/>
  <c r="I155" i="17"/>
  <c r="N155" i="17" s="1" a="1"/>
  <c r="N155" i="17" s="1"/>
  <c r="J155" i="17"/>
  <c r="O155" i="17" s="1" a="1"/>
  <c r="O155" i="17" s="1"/>
  <c r="K155" i="17"/>
  <c r="L155" i="17"/>
  <c r="M155" i="17" s="1"/>
  <c r="I156" i="17"/>
  <c r="N156" i="17" s="1" a="1"/>
  <c r="N156" i="17" s="1"/>
  <c r="J156" i="17"/>
  <c r="O156" i="17" s="1" a="1"/>
  <c r="O156" i="17" s="1"/>
  <c r="K156" i="17"/>
  <c r="L156" i="17"/>
  <c r="M156" i="17" s="1"/>
  <c r="I157" i="17"/>
  <c r="N157" i="17" s="1" a="1"/>
  <c r="N157" i="17" s="1"/>
  <c r="J157" i="17"/>
  <c r="O157" i="17" s="1" a="1"/>
  <c r="O157" i="17" s="1"/>
  <c r="K157" i="17"/>
  <c r="L157" i="17"/>
  <c r="M157" i="17" s="1"/>
  <c r="I158" i="17"/>
  <c r="N158" i="17" s="1" a="1"/>
  <c r="N158" i="17" s="1"/>
  <c r="J158" i="17"/>
  <c r="O158" i="17" s="1" a="1"/>
  <c r="O158" i="17" s="1"/>
  <c r="K158" i="17"/>
  <c r="L158" i="17"/>
  <c r="M158" i="17" s="1"/>
  <c r="I159" i="17"/>
  <c r="N159" i="17" s="1" a="1"/>
  <c r="N159" i="17" s="1"/>
  <c r="J159" i="17"/>
  <c r="O159" i="17" s="1" a="1"/>
  <c r="O159" i="17" s="1"/>
  <c r="K159" i="17"/>
  <c r="L159" i="17"/>
  <c r="M159" i="17" s="1"/>
  <c r="I160" i="17"/>
  <c r="N160" i="17" s="1" a="1"/>
  <c r="N160" i="17" s="1"/>
  <c r="J160" i="17"/>
  <c r="O160" i="17" s="1" a="1"/>
  <c r="O160" i="17" s="1"/>
  <c r="K160" i="17"/>
  <c r="L160" i="17"/>
  <c r="M160" i="17" s="1"/>
  <c r="I161" i="17"/>
  <c r="N161" i="17" s="1" a="1"/>
  <c r="N161" i="17" s="1"/>
  <c r="J161" i="17"/>
  <c r="O161" i="17" s="1" a="1"/>
  <c r="O161" i="17" s="1"/>
  <c r="K161" i="17"/>
  <c r="L161" i="17"/>
  <c r="M161" i="17" s="1"/>
  <c r="I162" i="17"/>
  <c r="N162" i="17" s="1" a="1"/>
  <c r="N162" i="17" s="1"/>
  <c r="J162" i="17"/>
  <c r="O162" i="17" s="1" a="1"/>
  <c r="O162" i="17" s="1"/>
  <c r="K162" i="17"/>
  <c r="L162" i="17"/>
  <c r="M162" i="17" s="1"/>
  <c r="I163" i="17"/>
  <c r="N163" i="17" s="1" a="1"/>
  <c r="N163" i="17" s="1"/>
  <c r="J163" i="17"/>
  <c r="O163" i="17" s="1" a="1"/>
  <c r="O163" i="17" s="1"/>
  <c r="K163" i="17"/>
  <c r="L163" i="17"/>
  <c r="M163" i="17" s="1"/>
  <c r="I164" i="17"/>
  <c r="N164" i="17" s="1" a="1"/>
  <c r="N164" i="17" s="1"/>
  <c r="J164" i="17"/>
  <c r="O164" i="17" s="1" a="1"/>
  <c r="O164" i="17" s="1"/>
  <c r="K164" i="17"/>
  <c r="L164" i="17"/>
  <c r="M164" i="17" s="1"/>
  <c r="I165" i="17"/>
  <c r="N165" i="17" s="1" a="1"/>
  <c r="N165" i="17" s="1"/>
  <c r="J165" i="17"/>
  <c r="O165" i="17" s="1" a="1"/>
  <c r="O165" i="17" s="1"/>
  <c r="K165" i="17"/>
  <c r="L165" i="17"/>
  <c r="M165" i="17" s="1"/>
  <c r="I166" i="17"/>
  <c r="N166" i="17" s="1" a="1"/>
  <c r="N166" i="17" s="1"/>
  <c r="J166" i="17"/>
  <c r="O166" i="17" s="1" a="1"/>
  <c r="O166" i="17" s="1"/>
  <c r="K166" i="17"/>
  <c r="L166" i="17"/>
  <c r="M166" i="17" s="1"/>
  <c r="I167" i="17"/>
  <c r="N167" i="17" s="1" a="1"/>
  <c r="N167" i="17" s="1"/>
  <c r="J167" i="17"/>
  <c r="O167" i="17" s="1" a="1"/>
  <c r="O167" i="17" s="1"/>
  <c r="K167" i="17"/>
  <c r="L167" i="17"/>
  <c r="M167" i="17" s="1"/>
  <c r="I168" i="17"/>
  <c r="N168" i="17" s="1" a="1"/>
  <c r="N168" i="17" s="1"/>
  <c r="J168" i="17"/>
  <c r="O168" i="17" s="1" a="1"/>
  <c r="O168" i="17" s="1"/>
  <c r="K168" i="17"/>
  <c r="L168" i="17"/>
  <c r="M168" i="17" s="1"/>
  <c r="I169" i="17"/>
  <c r="N169" i="17" s="1" a="1"/>
  <c r="N169" i="17" s="1"/>
  <c r="J169" i="17"/>
  <c r="O169" i="17" s="1" a="1"/>
  <c r="O169" i="17" s="1"/>
  <c r="K169" i="17"/>
  <c r="L169" i="17"/>
  <c r="M169" i="17" s="1"/>
  <c r="I170" i="17"/>
  <c r="N170" i="17" s="1" a="1"/>
  <c r="N170" i="17" s="1"/>
  <c r="J170" i="17"/>
  <c r="O170" i="17" s="1" a="1"/>
  <c r="O170" i="17" s="1"/>
  <c r="K170" i="17"/>
  <c r="L170" i="17"/>
  <c r="M170" i="17" s="1"/>
  <c r="I171" i="17"/>
  <c r="N171" i="17" s="1" a="1"/>
  <c r="N171" i="17" s="1"/>
  <c r="J171" i="17"/>
  <c r="O171" i="17" s="1" a="1"/>
  <c r="O171" i="17" s="1"/>
  <c r="K171" i="17"/>
  <c r="L171" i="17"/>
  <c r="M171" i="17" s="1"/>
  <c r="I172" i="17"/>
  <c r="N172" i="17" s="1" a="1"/>
  <c r="N172" i="17" s="1"/>
  <c r="J172" i="17"/>
  <c r="O172" i="17" s="1" a="1"/>
  <c r="O172" i="17" s="1"/>
  <c r="K172" i="17"/>
  <c r="L172" i="17"/>
  <c r="M172" i="17" s="1"/>
  <c r="I173" i="17"/>
  <c r="N173" i="17" s="1" a="1"/>
  <c r="N173" i="17" s="1"/>
  <c r="J173" i="17"/>
  <c r="O173" i="17" s="1" a="1"/>
  <c r="O173" i="17" s="1"/>
  <c r="K173" i="17"/>
  <c r="L173" i="17"/>
  <c r="M173" i="17" s="1"/>
  <c r="I174" i="17"/>
  <c r="N174" i="17" s="1" a="1"/>
  <c r="N174" i="17" s="1"/>
  <c r="J174" i="17"/>
  <c r="O174" i="17" s="1" a="1"/>
  <c r="O174" i="17" s="1"/>
  <c r="K174" i="17"/>
  <c r="L174" i="17"/>
  <c r="M174" i="17" s="1"/>
  <c r="I175" i="17"/>
  <c r="N175" i="17" s="1" a="1"/>
  <c r="N175" i="17" s="1"/>
  <c r="J175" i="17"/>
  <c r="O175" i="17" s="1" a="1"/>
  <c r="O175" i="17" s="1"/>
  <c r="K175" i="17"/>
  <c r="L175" i="17"/>
  <c r="M175" i="17" s="1"/>
  <c r="I176" i="17"/>
  <c r="N176" i="17" s="1" a="1"/>
  <c r="N176" i="17" s="1"/>
  <c r="J176" i="17"/>
  <c r="O176" i="17" s="1" a="1"/>
  <c r="O176" i="17" s="1"/>
  <c r="K176" i="17"/>
  <c r="L176" i="17"/>
  <c r="M176" i="17" s="1"/>
  <c r="I177" i="17"/>
  <c r="N177" i="17" s="1" a="1"/>
  <c r="N177" i="17" s="1"/>
  <c r="J177" i="17"/>
  <c r="O177" i="17" s="1" a="1"/>
  <c r="O177" i="17" s="1"/>
  <c r="K177" i="17"/>
  <c r="L177" i="17"/>
  <c r="M177" i="17" s="1"/>
  <c r="I178" i="17"/>
  <c r="N178" i="17" s="1" a="1"/>
  <c r="N178" i="17" s="1"/>
  <c r="J178" i="17"/>
  <c r="O178" i="17" s="1" a="1"/>
  <c r="O178" i="17" s="1"/>
  <c r="K178" i="17"/>
  <c r="L178" i="17"/>
  <c r="M178" i="17" s="1"/>
  <c r="I179" i="17"/>
  <c r="N179" i="17" s="1" a="1"/>
  <c r="N179" i="17" s="1"/>
  <c r="J179" i="17"/>
  <c r="O179" i="17" s="1" a="1"/>
  <c r="O179" i="17" s="1"/>
  <c r="K179" i="17"/>
  <c r="L179" i="17"/>
  <c r="M179" i="17" s="1"/>
  <c r="I180" i="17"/>
  <c r="N180" i="17" s="1" a="1"/>
  <c r="N180" i="17" s="1"/>
  <c r="J180" i="17"/>
  <c r="O180" i="17" s="1" a="1"/>
  <c r="O180" i="17" s="1"/>
  <c r="K180" i="17"/>
  <c r="L180" i="17"/>
  <c r="M180" i="17" s="1"/>
  <c r="I181" i="17"/>
  <c r="N181" i="17" s="1" a="1"/>
  <c r="N181" i="17" s="1"/>
  <c r="J181" i="17"/>
  <c r="O181" i="17" s="1" a="1"/>
  <c r="O181" i="17" s="1"/>
  <c r="K181" i="17"/>
  <c r="L181" i="17"/>
  <c r="M181" i="17" s="1"/>
  <c r="I182" i="17"/>
  <c r="N182" i="17" s="1" a="1"/>
  <c r="N182" i="17" s="1"/>
  <c r="J182" i="17"/>
  <c r="O182" i="17" s="1" a="1"/>
  <c r="O182" i="17" s="1"/>
  <c r="K182" i="17"/>
  <c r="L182" i="17"/>
  <c r="M182" i="17" s="1"/>
  <c r="I183" i="17"/>
  <c r="N183" i="17" s="1" a="1"/>
  <c r="N183" i="17" s="1"/>
  <c r="J183" i="17"/>
  <c r="O183" i="17" s="1" a="1"/>
  <c r="O183" i="17" s="1"/>
  <c r="K183" i="17"/>
  <c r="L183" i="17"/>
  <c r="M183" i="17" s="1"/>
  <c r="I184" i="17"/>
  <c r="N184" i="17" s="1" a="1"/>
  <c r="N184" i="17" s="1"/>
  <c r="J184" i="17"/>
  <c r="O184" i="17" s="1" a="1"/>
  <c r="O184" i="17" s="1"/>
  <c r="K184" i="17"/>
  <c r="L184" i="17"/>
  <c r="M184" i="17" s="1"/>
  <c r="I185" i="17"/>
  <c r="N185" i="17" s="1" a="1"/>
  <c r="N185" i="17" s="1"/>
  <c r="J185" i="17"/>
  <c r="O185" i="17" s="1" a="1"/>
  <c r="O185" i="17" s="1"/>
  <c r="K185" i="17"/>
  <c r="L185" i="17"/>
  <c r="M185" i="17" s="1"/>
  <c r="I186" i="17"/>
  <c r="N186" i="17" s="1" a="1"/>
  <c r="N186" i="17" s="1"/>
  <c r="J186" i="17"/>
  <c r="O186" i="17" s="1" a="1"/>
  <c r="O186" i="17" s="1"/>
  <c r="K186" i="17"/>
  <c r="L186" i="17"/>
  <c r="M186" i="17" s="1"/>
  <c r="I187" i="17"/>
  <c r="N187" i="17" s="1" a="1"/>
  <c r="N187" i="17" s="1"/>
  <c r="J187" i="17"/>
  <c r="O187" i="17" s="1" a="1"/>
  <c r="O187" i="17" s="1"/>
  <c r="K187" i="17"/>
  <c r="L187" i="17"/>
  <c r="M187" i="17" s="1"/>
  <c r="I188" i="17"/>
  <c r="N188" i="17" s="1" a="1"/>
  <c r="N188" i="17" s="1"/>
  <c r="J188" i="17"/>
  <c r="O188" i="17" s="1" a="1"/>
  <c r="O188" i="17" s="1"/>
  <c r="K188" i="17"/>
  <c r="L188" i="17"/>
  <c r="M188" i="17" s="1"/>
  <c r="I189" i="17"/>
  <c r="N189" i="17" s="1" a="1"/>
  <c r="N189" i="17" s="1"/>
  <c r="J189" i="17"/>
  <c r="O189" i="17" s="1" a="1"/>
  <c r="O189" i="17" s="1"/>
  <c r="K189" i="17"/>
  <c r="L189" i="17"/>
  <c r="M189" i="17" s="1"/>
  <c r="I190" i="17"/>
  <c r="N190" i="17" s="1" a="1"/>
  <c r="N190" i="17" s="1"/>
  <c r="J190" i="17"/>
  <c r="O190" i="17" s="1" a="1"/>
  <c r="O190" i="17" s="1"/>
  <c r="K190" i="17"/>
  <c r="L190" i="17"/>
  <c r="M190" i="17" s="1"/>
  <c r="I191" i="17"/>
  <c r="N191" i="17" s="1" a="1"/>
  <c r="N191" i="17" s="1"/>
  <c r="J191" i="17"/>
  <c r="O191" i="17" s="1" a="1"/>
  <c r="O191" i="17" s="1"/>
  <c r="K191" i="17"/>
  <c r="L191" i="17"/>
  <c r="M191" i="17" s="1"/>
  <c r="I192" i="17"/>
  <c r="N192" i="17" s="1" a="1"/>
  <c r="N192" i="17" s="1"/>
  <c r="J192" i="17"/>
  <c r="O192" i="17" s="1" a="1"/>
  <c r="O192" i="17" s="1"/>
  <c r="K192" i="17"/>
  <c r="L192" i="17"/>
  <c r="M192" i="17" s="1"/>
  <c r="I193" i="17"/>
  <c r="N193" i="17" s="1" a="1"/>
  <c r="N193" i="17" s="1"/>
  <c r="J193" i="17"/>
  <c r="O193" i="17" s="1" a="1"/>
  <c r="O193" i="17" s="1"/>
  <c r="K193" i="17"/>
  <c r="L193" i="17"/>
  <c r="M193" i="17" s="1"/>
  <c r="I194" i="17"/>
  <c r="N194" i="17" s="1" a="1"/>
  <c r="N194" i="17" s="1"/>
  <c r="J194" i="17"/>
  <c r="O194" i="17" s="1" a="1"/>
  <c r="O194" i="17" s="1"/>
  <c r="K194" i="17"/>
  <c r="L194" i="17"/>
  <c r="M194" i="17" s="1"/>
  <c r="I195" i="17"/>
  <c r="N195" i="17" s="1" a="1"/>
  <c r="N195" i="17" s="1"/>
  <c r="J195" i="17"/>
  <c r="O195" i="17" s="1" a="1"/>
  <c r="O195" i="17" s="1"/>
  <c r="K195" i="17"/>
  <c r="L195" i="17"/>
  <c r="M195" i="17" s="1"/>
  <c r="I196" i="17"/>
  <c r="N196" i="17" s="1" a="1"/>
  <c r="N196" i="17" s="1"/>
  <c r="J196" i="17"/>
  <c r="O196" i="17" s="1" a="1"/>
  <c r="O196" i="17" s="1"/>
  <c r="K196" i="17"/>
  <c r="L196" i="17"/>
  <c r="M196" i="17" s="1"/>
  <c r="I197" i="17"/>
  <c r="N197" i="17" s="1" a="1"/>
  <c r="N197" i="17" s="1"/>
  <c r="J197" i="17"/>
  <c r="O197" i="17" s="1" a="1"/>
  <c r="O197" i="17" s="1"/>
  <c r="K197" i="17"/>
  <c r="L197" i="17"/>
  <c r="M197" i="17" s="1"/>
  <c r="I198" i="17"/>
  <c r="N198" i="17" s="1" a="1"/>
  <c r="N198" i="17" s="1"/>
  <c r="J198" i="17"/>
  <c r="O198" i="17" s="1" a="1"/>
  <c r="O198" i="17" s="1"/>
  <c r="K198" i="17"/>
  <c r="L198" i="17"/>
  <c r="M198" i="17" s="1"/>
  <c r="I199" i="17"/>
  <c r="N199" i="17" s="1" a="1"/>
  <c r="N199" i="17" s="1"/>
  <c r="J199" i="17"/>
  <c r="O199" i="17" s="1" a="1"/>
  <c r="O199" i="17" s="1"/>
  <c r="K199" i="17"/>
  <c r="L199" i="17"/>
  <c r="M199" i="17" s="1"/>
  <c r="I200" i="17"/>
  <c r="N200" i="17" s="1" a="1"/>
  <c r="N200" i="17" s="1"/>
  <c r="J200" i="17"/>
  <c r="O200" i="17" s="1" a="1"/>
  <c r="O200" i="17" s="1"/>
  <c r="K200" i="17"/>
  <c r="L200" i="17"/>
  <c r="M200" i="17" s="1"/>
  <c r="I201" i="17"/>
  <c r="N201" i="17" s="1" a="1"/>
  <c r="N201" i="17" s="1"/>
  <c r="J201" i="17"/>
  <c r="O201" i="17" s="1" a="1"/>
  <c r="O201" i="17" s="1"/>
  <c r="K201" i="17"/>
  <c r="L201" i="17"/>
  <c r="M201" i="17" s="1"/>
  <c r="I202" i="17"/>
  <c r="N202" i="17" s="1" a="1"/>
  <c r="N202" i="17" s="1"/>
  <c r="J202" i="17"/>
  <c r="O202" i="17" s="1" a="1"/>
  <c r="O202" i="17" s="1"/>
  <c r="K202" i="17"/>
  <c r="L202" i="17"/>
  <c r="M202" i="17" s="1"/>
  <c r="I203" i="17"/>
  <c r="N203" i="17" s="1" a="1"/>
  <c r="N203" i="17" s="1"/>
  <c r="J203" i="17"/>
  <c r="O203" i="17" s="1" a="1"/>
  <c r="O203" i="17" s="1"/>
  <c r="K203" i="17"/>
  <c r="L203" i="17"/>
  <c r="M203" i="17" s="1"/>
  <c r="I204" i="17"/>
  <c r="N204" i="17" s="1" a="1"/>
  <c r="N204" i="17" s="1"/>
  <c r="J204" i="17"/>
  <c r="O204" i="17" s="1" a="1"/>
  <c r="O204" i="17" s="1"/>
  <c r="K204" i="17"/>
  <c r="L204" i="17"/>
  <c r="M204" i="17" s="1"/>
  <c r="I205" i="17"/>
  <c r="N205" i="17" s="1" a="1"/>
  <c r="N205" i="17" s="1"/>
  <c r="J205" i="17"/>
  <c r="O205" i="17" s="1" a="1"/>
  <c r="O205" i="17" s="1"/>
  <c r="K205" i="17"/>
  <c r="L205" i="17"/>
  <c r="M205" i="17" s="1"/>
  <c r="I206" i="17"/>
  <c r="N206" i="17" s="1" a="1"/>
  <c r="N206" i="17" s="1"/>
  <c r="J206" i="17"/>
  <c r="O206" i="17" s="1" a="1"/>
  <c r="O206" i="17" s="1"/>
  <c r="K206" i="17"/>
  <c r="L206" i="17"/>
  <c r="M206" i="17" s="1"/>
  <c r="I207" i="17"/>
  <c r="N207" i="17" s="1" a="1"/>
  <c r="N207" i="17" s="1"/>
  <c r="J207" i="17"/>
  <c r="O207" i="17" s="1" a="1"/>
  <c r="O207" i="17" s="1"/>
  <c r="K207" i="17"/>
  <c r="L207" i="17"/>
  <c r="M207" i="17" s="1"/>
  <c r="I208" i="17"/>
  <c r="N208" i="17" s="1" a="1"/>
  <c r="N208" i="17" s="1"/>
  <c r="J208" i="17"/>
  <c r="O208" i="17" s="1" a="1"/>
  <c r="O208" i="17" s="1"/>
  <c r="K208" i="17"/>
  <c r="L208" i="17"/>
  <c r="M208" i="17" s="1"/>
  <c r="I209" i="17"/>
  <c r="N209" i="17" s="1" a="1"/>
  <c r="N209" i="17" s="1"/>
  <c r="J209" i="17"/>
  <c r="O209" i="17" s="1" a="1"/>
  <c r="O209" i="17" s="1"/>
  <c r="K209" i="17"/>
  <c r="L209" i="17"/>
  <c r="M209" i="17" s="1"/>
  <c r="I210" i="17"/>
  <c r="N210" i="17" s="1" a="1"/>
  <c r="N210" i="17" s="1"/>
  <c r="J210" i="17"/>
  <c r="O210" i="17" s="1" a="1"/>
  <c r="O210" i="17" s="1"/>
  <c r="K210" i="17"/>
  <c r="L210" i="17"/>
  <c r="M210" i="17" s="1"/>
  <c r="I211" i="17"/>
  <c r="N211" i="17" s="1" a="1"/>
  <c r="N211" i="17" s="1"/>
  <c r="J211" i="17"/>
  <c r="O211" i="17" s="1" a="1"/>
  <c r="O211" i="17" s="1"/>
  <c r="K211" i="17"/>
  <c r="L211" i="17"/>
  <c r="M211" i="17" s="1"/>
  <c r="I212" i="17"/>
  <c r="N212" i="17" s="1" a="1"/>
  <c r="N212" i="17" s="1"/>
  <c r="J212" i="17"/>
  <c r="O212" i="17" s="1" a="1"/>
  <c r="O212" i="17" s="1"/>
  <c r="K212" i="17"/>
  <c r="L212" i="17"/>
  <c r="M212" i="17" s="1"/>
  <c r="I213" i="17"/>
  <c r="N213" i="17" s="1" a="1"/>
  <c r="N213" i="17" s="1"/>
  <c r="J213" i="17"/>
  <c r="O213" i="17" s="1" a="1"/>
  <c r="O213" i="17" s="1"/>
  <c r="K213" i="17"/>
  <c r="L213" i="17"/>
  <c r="M213" i="17" s="1"/>
  <c r="I214" i="17"/>
  <c r="N214" i="17" s="1" a="1"/>
  <c r="N214" i="17" s="1"/>
  <c r="J214" i="17"/>
  <c r="O214" i="17" s="1" a="1"/>
  <c r="O214" i="17" s="1"/>
  <c r="K214" i="17"/>
  <c r="L214" i="17"/>
  <c r="M214" i="17" s="1"/>
  <c r="I215" i="17"/>
  <c r="N215" i="17" s="1" a="1"/>
  <c r="N215" i="17" s="1"/>
  <c r="J215" i="17"/>
  <c r="O215" i="17" s="1" a="1"/>
  <c r="O215" i="17" s="1"/>
  <c r="K215" i="17"/>
  <c r="L215" i="17"/>
  <c r="M215" i="17" s="1"/>
  <c r="I216" i="17"/>
  <c r="N216" i="17" s="1" a="1"/>
  <c r="N216" i="17" s="1"/>
  <c r="J216" i="17"/>
  <c r="O216" i="17" s="1" a="1"/>
  <c r="O216" i="17" s="1"/>
  <c r="K216" i="17"/>
  <c r="L216" i="17"/>
  <c r="M216" i="17" s="1"/>
  <c r="I217" i="17"/>
  <c r="N217" i="17" s="1" a="1"/>
  <c r="N217" i="17" s="1"/>
  <c r="J217" i="17"/>
  <c r="O217" i="17" s="1" a="1"/>
  <c r="O217" i="17" s="1"/>
  <c r="K217" i="17"/>
  <c r="L217" i="17"/>
  <c r="M217" i="17" s="1"/>
  <c r="I218" i="17"/>
  <c r="N218" i="17" s="1" a="1"/>
  <c r="N218" i="17" s="1"/>
  <c r="J218" i="17"/>
  <c r="O218" i="17" s="1" a="1"/>
  <c r="O218" i="17" s="1"/>
  <c r="K218" i="17"/>
  <c r="L218" i="17"/>
  <c r="M218" i="17" s="1"/>
  <c r="I219" i="17"/>
  <c r="N219" i="17" s="1" a="1"/>
  <c r="N219" i="17" s="1"/>
  <c r="J219" i="17"/>
  <c r="O219" i="17" s="1" a="1"/>
  <c r="O219" i="17" s="1"/>
  <c r="K219" i="17"/>
  <c r="L219" i="17"/>
  <c r="M219" i="17" s="1"/>
  <c r="I220" i="17"/>
  <c r="N220" i="17" s="1" a="1"/>
  <c r="N220" i="17" s="1"/>
  <c r="J220" i="17"/>
  <c r="O220" i="17" s="1" a="1"/>
  <c r="O220" i="17" s="1"/>
  <c r="K220" i="17"/>
  <c r="L220" i="17"/>
  <c r="M220" i="17" s="1"/>
  <c r="I221" i="17"/>
  <c r="N221" i="17" s="1" a="1"/>
  <c r="N221" i="17" s="1"/>
  <c r="J221" i="17"/>
  <c r="O221" i="17" s="1" a="1"/>
  <c r="O221" i="17" s="1"/>
  <c r="K221" i="17"/>
  <c r="L221" i="17"/>
  <c r="M221" i="17" s="1"/>
  <c r="I222" i="17"/>
  <c r="N222" i="17" s="1" a="1"/>
  <c r="N222" i="17" s="1"/>
  <c r="J222" i="17"/>
  <c r="O222" i="17" s="1" a="1"/>
  <c r="O222" i="17" s="1"/>
  <c r="K222" i="17"/>
  <c r="L222" i="17"/>
  <c r="M222" i="17" s="1"/>
  <c r="I223" i="17"/>
  <c r="N223" i="17" s="1" a="1"/>
  <c r="N223" i="17" s="1"/>
  <c r="J223" i="17"/>
  <c r="O223" i="17" s="1" a="1"/>
  <c r="O223" i="17" s="1"/>
  <c r="K223" i="17"/>
  <c r="L223" i="17"/>
  <c r="M223" i="17" s="1"/>
  <c r="I224" i="17"/>
  <c r="N224" i="17" s="1" a="1"/>
  <c r="N224" i="17" s="1"/>
  <c r="J224" i="17"/>
  <c r="O224" i="17" s="1" a="1"/>
  <c r="O224" i="17" s="1"/>
  <c r="K224" i="17"/>
  <c r="L224" i="17"/>
  <c r="M224" i="17" s="1"/>
  <c r="I225" i="17"/>
  <c r="N225" i="17" s="1" a="1"/>
  <c r="N225" i="17" s="1"/>
  <c r="J225" i="17"/>
  <c r="O225" i="17" s="1" a="1"/>
  <c r="O225" i="17" s="1"/>
  <c r="K225" i="17"/>
  <c r="L225" i="17"/>
  <c r="M225" i="17" s="1"/>
  <c r="I226" i="17"/>
  <c r="N226" i="17" s="1" a="1"/>
  <c r="N226" i="17" s="1"/>
  <c r="J226" i="17"/>
  <c r="O226" i="17" s="1" a="1"/>
  <c r="O226" i="17" s="1"/>
  <c r="K226" i="17"/>
  <c r="L226" i="17"/>
  <c r="M226" i="17" s="1"/>
  <c r="I227" i="17"/>
  <c r="N227" i="17" s="1" a="1"/>
  <c r="N227" i="17" s="1"/>
  <c r="J227" i="17"/>
  <c r="O227" i="17" s="1" a="1"/>
  <c r="O227" i="17" s="1"/>
  <c r="K227" i="17"/>
  <c r="L227" i="17"/>
  <c r="M227" i="17" s="1"/>
  <c r="I228" i="17"/>
  <c r="N228" i="17" s="1" a="1"/>
  <c r="N228" i="17" s="1"/>
  <c r="J228" i="17"/>
  <c r="O228" i="17" s="1" a="1"/>
  <c r="O228" i="17" s="1"/>
  <c r="K228" i="17"/>
  <c r="L228" i="17"/>
  <c r="M228" i="17" s="1"/>
  <c r="I229" i="17"/>
  <c r="N229" i="17" s="1" a="1"/>
  <c r="N229" i="17" s="1"/>
  <c r="J229" i="17"/>
  <c r="O229" i="17" s="1" a="1"/>
  <c r="O229" i="17" s="1"/>
  <c r="K229" i="17"/>
  <c r="L229" i="17"/>
  <c r="M229" i="17" s="1"/>
  <c r="I230" i="17"/>
  <c r="N230" i="17" s="1" a="1"/>
  <c r="N230" i="17" s="1"/>
  <c r="J230" i="17"/>
  <c r="O230" i="17" s="1" a="1"/>
  <c r="O230" i="17" s="1"/>
  <c r="K230" i="17"/>
  <c r="L230" i="17"/>
  <c r="M230" i="17" s="1"/>
  <c r="I231" i="17"/>
  <c r="N231" i="17" s="1" a="1"/>
  <c r="N231" i="17" s="1"/>
  <c r="J231" i="17"/>
  <c r="O231" i="17" s="1" a="1"/>
  <c r="O231" i="17" s="1"/>
  <c r="K231" i="17"/>
  <c r="L231" i="17"/>
  <c r="M231" i="17" s="1"/>
  <c r="I232" i="17"/>
  <c r="N232" i="17" s="1" a="1"/>
  <c r="N232" i="17" s="1"/>
  <c r="J232" i="17"/>
  <c r="O232" i="17" s="1" a="1"/>
  <c r="O232" i="17" s="1"/>
  <c r="K232" i="17"/>
  <c r="L232" i="17"/>
  <c r="M232" i="17" s="1"/>
  <c r="I233" i="17"/>
  <c r="N233" i="17" s="1" a="1"/>
  <c r="N233" i="17" s="1"/>
  <c r="J233" i="17"/>
  <c r="O233" i="17" s="1" a="1"/>
  <c r="O233" i="17" s="1"/>
  <c r="K233" i="17"/>
  <c r="L233" i="17"/>
  <c r="M233" i="17" s="1"/>
  <c r="I234" i="17"/>
  <c r="N234" i="17" s="1" a="1"/>
  <c r="N234" i="17" s="1"/>
  <c r="J234" i="17"/>
  <c r="O234" i="17" s="1" a="1"/>
  <c r="O234" i="17" s="1"/>
  <c r="K234" i="17"/>
  <c r="L234" i="17"/>
  <c r="M234" i="17" s="1"/>
  <c r="I235" i="17"/>
  <c r="N235" i="17" s="1" a="1"/>
  <c r="N235" i="17" s="1"/>
  <c r="J235" i="17"/>
  <c r="O235" i="17" s="1" a="1"/>
  <c r="O235" i="17" s="1"/>
  <c r="K235" i="17"/>
  <c r="L235" i="17"/>
  <c r="M235" i="17" s="1"/>
  <c r="I236" i="17"/>
  <c r="N236" i="17" s="1" a="1"/>
  <c r="N236" i="17" s="1"/>
  <c r="J236" i="17"/>
  <c r="O236" i="17" s="1" a="1"/>
  <c r="O236" i="17" s="1"/>
  <c r="K236" i="17"/>
  <c r="L236" i="17"/>
  <c r="M236" i="17" s="1"/>
  <c r="I237" i="17"/>
  <c r="N237" i="17" s="1" a="1"/>
  <c r="N237" i="17" s="1"/>
  <c r="J237" i="17"/>
  <c r="O237" i="17" s="1" a="1"/>
  <c r="O237" i="17" s="1"/>
  <c r="K237" i="17"/>
  <c r="L237" i="17"/>
  <c r="M237" i="17" s="1"/>
  <c r="I238" i="17"/>
  <c r="N238" i="17" s="1" a="1"/>
  <c r="N238" i="17" s="1"/>
  <c r="J238" i="17"/>
  <c r="O238" i="17" s="1" a="1"/>
  <c r="O238" i="17" s="1"/>
  <c r="K238" i="17"/>
  <c r="L238" i="17"/>
  <c r="M238" i="17" s="1"/>
  <c r="I239" i="17"/>
  <c r="N239" i="17" s="1" a="1"/>
  <c r="N239" i="17" s="1"/>
  <c r="J239" i="17"/>
  <c r="O239" i="17" s="1" a="1"/>
  <c r="O239" i="17" s="1"/>
  <c r="K239" i="17"/>
  <c r="L239" i="17"/>
  <c r="M239" i="17" s="1"/>
  <c r="I240" i="17"/>
  <c r="N240" i="17" s="1" a="1"/>
  <c r="N240" i="17" s="1"/>
  <c r="J240" i="17"/>
  <c r="O240" i="17" s="1" a="1"/>
  <c r="O240" i="17" s="1"/>
  <c r="K240" i="17"/>
  <c r="L240" i="17"/>
  <c r="M240" i="17" s="1"/>
  <c r="I241" i="17"/>
  <c r="N241" i="17" s="1" a="1"/>
  <c r="N241" i="17" s="1"/>
  <c r="J241" i="17"/>
  <c r="O241" i="17" s="1" a="1"/>
  <c r="O241" i="17" s="1"/>
  <c r="K241" i="17"/>
  <c r="L241" i="17"/>
  <c r="M241" i="17" s="1"/>
  <c r="I242" i="17"/>
  <c r="N242" i="17" s="1" a="1"/>
  <c r="N242" i="17" s="1"/>
  <c r="J242" i="17"/>
  <c r="O242" i="17" s="1" a="1"/>
  <c r="O242" i="17" s="1"/>
  <c r="K242" i="17"/>
  <c r="L242" i="17"/>
  <c r="M242" i="17" s="1"/>
  <c r="I243" i="17"/>
  <c r="N243" i="17" s="1" a="1"/>
  <c r="N243" i="17" s="1"/>
  <c r="J243" i="17"/>
  <c r="O243" i="17" s="1" a="1"/>
  <c r="O243" i="17" s="1"/>
  <c r="K243" i="17"/>
  <c r="L243" i="17"/>
  <c r="M243" i="17" s="1"/>
  <c r="I244" i="17"/>
  <c r="N244" i="17" s="1" a="1"/>
  <c r="N244" i="17" s="1"/>
  <c r="J244" i="17"/>
  <c r="O244" i="17" s="1" a="1"/>
  <c r="O244" i="17" s="1"/>
  <c r="K244" i="17"/>
  <c r="L244" i="17"/>
  <c r="M244" i="17" s="1"/>
  <c r="I245" i="17"/>
  <c r="N245" i="17" s="1" a="1"/>
  <c r="N245" i="17" s="1"/>
  <c r="J245" i="17"/>
  <c r="O245" i="17" s="1" a="1"/>
  <c r="O245" i="17" s="1"/>
  <c r="K245" i="17"/>
  <c r="L245" i="17"/>
  <c r="M245" i="17" s="1"/>
  <c r="I246" i="17"/>
  <c r="N246" i="17" s="1" a="1"/>
  <c r="N246" i="17" s="1"/>
  <c r="J246" i="17"/>
  <c r="O246" i="17" s="1" a="1"/>
  <c r="O246" i="17" s="1"/>
  <c r="K246" i="17"/>
  <c r="L246" i="17"/>
  <c r="M246" i="17" s="1"/>
  <c r="I247" i="17"/>
  <c r="N247" i="17" s="1" a="1"/>
  <c r="N247" i="17" s="1"/>
  <c r="J247" i="17"/>
  <c r="O247" i="17" s="1" a="1"/>
  <c r="O247" i="17" s="1"/>
  <c r="K247" i="17"/>
  <c r="L247" i="17"/>
  <c r="M247" i="17" s="1"/>
  <c r="I248" i="17"/>
  <c r="N248" i="17" s="1" a="1"/>
  <c r="N248" i="17" s="1"/>
  <c r="J248" i="17"/>
  <c r="O248" i="17" s="1" a="1"/>
  <c r="O248" i="17" s="1"/>
  <c r="K248" i="17"/>
  <c r="L248" i="17"/>
  <c r="M248" i="17" s="1"/>
  <c r="I249" i="17"/>
  <c r="N249" i="17" s="1" a="1"/>
  <c r="N249" i="17" s="1"/>
  <c r="J249" i="17"/>
  <c r="O249" i="17" s="1" a="1"/>
  <c r="O249" i="17" s="1"/>
  <c r="K249" i="17"/>
  <c r="L249" i="17"/>
  <c r="M249" i="17" s="1"/>
  <c r="I250" i="17"/>
  <c r="N250" i="17" s="1" a="1"/>
  <c r="N250" i="17" s="1"/>
  <c r="J250" i="17"/>
  <c r="O250" i="17" s="1" a="1"/>
  <c r="O250" i="17" s="1"/>
  <c r="K250" i="17"/>
  <c r="L250" i="17"/>
  <c r="M250" i="17" s="1"/>
  <c r="I251" i="17"/>
  <c r="N251" i="17" s="1" a="1"/>
  <c r="N251" i="17" s="1"/>
  <c r="J251" i="17"/>
  <c r="O251" i="17" s="1" a="1"/>
  <c r="O251" i="17" s="1"/>
  <c r="K251" i="17"/>
  <c r="L251" i="17"/>
  <c r="M251" i="17" s="1"/>
  <c r="I252" i="17"/>
  <c r="N252" i="17" s="1" a="1"/>
  <c r="N252" i="17" s="1"/>
  <c r="J252" i="17"/>
  <c r="O252" i="17" s="1" a="1"/>
  <c r="O252" i="17" s="1"/>
  <c r="K252" i="17"/>
  <c r="L252" i="17"/>
  <c r="M252" i="17" s="1"/>
  <c r="I253" i="17"/>
  <c r="N253" i="17" s="1" a="1"/>
  <c r="N253" i="17" s="1"/>
  <c r="J253" i="17"/>
  <c r="O253" i="17" s="1" a="1"/>
  <c r="O253" i="17" s="1"/>
  <c r="K253" i="17"/>
  <c r="L253" i="17"/>
  <c r="M253" i="17" s="1"/>
  <c r="I254" i="17"/>
  <c r="N254" i="17" s="1" a="1"/>
  <c r="N254" i="17" s="1"/>
  <c r="J254" i="17"/>
  <c r="O254" i="17" s="1" a="1"/>
  <c r="O254" i="17" s="1"/>
  <c r="K254" i="17"/>
  <c r="L254" i="17"/>
  <c r="M254" i="17" s="1"/>
  <c r="I255" i="17"/>
  <c r="N255" i="17" s="1" a="1"/>
  <c r="N255" i="17" s="1"/>
  <c r="J255" i="17"/>
  <c r="O255" i="17" s="1" a="1"/>
  <c r="O255" i="17" s="1"/>
  <c r="K255" i="17"/>
  <c r="L255" i="17"/>
  <c r="M255" i="17" s="1"/>
  <c r="I256" i="17"/>
  <c r="N256" i="17" s="1" a="1"/>
  <c r="N256" i="17" s="1"/>
  <c r="J256" i="17"/>
  <c r="O256" i="17" s="1" a="1"/>
  <c r="O256" i="17" s="1"/>
  <c r="K256" i="17"/>
  <c r="L256" i="17"/>
  <c r="M256" i="17" s="1"/>
  <c r="I257" i="17"/>
  <c r="N257" i="17" s="1" a="1"/>
  <c r="N257" i="17" s="1"/>
  <c r="J257" i="17"/>
  <c r="O257" i="17" s="1" a="1"/>
  <c r="O257" i="17" s="1"/>
  <c r="K257" i="17"/>
  <c r="L257" i="17"/>
  <c r="M257" i="17" s="1"/>
  <c r="I258" i="17"/>
  <c r="N258" i="17" s="1" a="1"/>
  <c r="N258" i="17" s="1"/>
  <c r="J258" i="17"/>
  <c r="O258" i="17" s="1" a="1"/>
  <c r="O258" i="17" s="1"/>
  <c r="K258" i="17"/>
  <c r="L258" i="17"/>
  <c r="M258" i="17" s="1"/>
  <c r="I259" i="17"/>
  <c r="N259" i="17" s="1" a="1"/>
  <c r="N259" i="17" s="1"/>
  <c r="J259" i="17"/>
  <c r="O259" i="17" s="1" a="1"/>
  <c r="O259" i="17" s="1"/>
  <c r="K259" i="17"/>
  <c r="L259" i="17"/>
  <c r="M259" i="17" s="1"/>
  <c r="I260" i="17"/>
  <c r="N260" i="17" s="1" a="1"/>
  <c r="N260" i="17" s="1"/>
  <c r="J260" i="17"/>
  <c r="O260" i="17" s="1" a="1"/>
  <c r="O260" i="17" s="1"/>
  <c r="K260" i="17"/>
  <c r="L260" i="17"/>
  <c r="M260" i="17" s="1"/>
  <c r="I261" i="17"/>
  <c r="N261" i="17" s="1" a="1"/>
  <c r="N261" i="17" s="1"/>
  <c r="J261" i="17"/>
  <c r="O261" i="17" s="1" a="1"/>
  <c r="O261" i="17" s="1"/>
  <c r="K261" i="17"/>
  <c r="L261" i="17"/>
  <c r="M261" i="17" s="1"/>
  <c r="I262" i="17"/>
  <c r="N262" i="17" s="1" a="1"/>
  <c r="N262" i="17" s="1"/>
  <c r="J262" i="17"/>
  <c r="O262" i="17" s="1" a="1"/>
  <c r="O262" i="17" s="1"/>
  <c r="K262" i="17"/>
  <c r="L262" i="17"/>
  <c r="M262" i="17" s="1"/>
  <c r="I263" i="17"/>
  <c r="N263" i="17" s="1" a="1"/>
  <c r="N263" i="17" s="1"/>
  <c r="J263" i="17"/>
  <c r="O263" i="17" s="1" a="1"/>
  <c r="O263" i="17" s="1"/>
  <c r="K263" i="17"/>
  <c r="L263" i="17"/>
  <c r="M263" i="17" s="1"/>
  <c r="I264" i="17"/>
  <c r="N264" i="17" s="1" a="1"/>
  <c r="N264" i="17" s="1"/>
  <c r="J264" i="17"/>
  <c r="O264" i="17" s="1" a="1"/>
  <c r="O264" i="17" s="1"/>
  <c r="K264" i="17"/>
  <c r="L264" i="17"/>
  <c r="M264" i="17" s="1"/>
  <c r="I265" i="17"/>
  <c r="N265" i="17" s="1" a="1"/>
  <c r="N265" i="17" s="1"/>
  <c r="J265" i="17"/>
  <c r="O265" i="17" s="1" a="1"/>
  <c r="O265" i="17" s="1"/>
  <c r="K265" i="17"/>
  <c r="L265" i="17"/>
  <c r="M265" i="17" s="1"/>
  <c r="I266" i="17"/>
  <c r="N266" i="17" s="1" a="1"/>
  <c r="N266" i="17" s="1"/>
  <c r="J266" i="17"/>
  <c r="O266" i="17" s="1" a="1"/>
  <c r="O266" i="17" s="1"/>
  <c r="K266" i="17"/>
  <c r="L266" i="17"/>
  <c r="M266" i="17" s="1"/>
  <c r="I267" i="17"/>
  <c r="N267" i="17" s="1" a="1"/>
  <c r="N267" i="17" s="1"/>
  <c r="J267" i="17"/>
  <c r="O267" i="17" s="1" a="1"/>
  <c r="O267" i="17" s="1"/>
  <c r="K267" i="17"/>
  <c r="L267" i="17"/>
  <c r="M267" i="17" s="1"/>
  <c r="I268" i="17"/>
  <c r="N268" i="17" s="1" a="1"/>
  <c r="N268" i="17" s="1"/>
  <c r="J268" i="17"/>
  <c r="O268" i="17" s="1" a="1"/>
  <c r="O268" i="17" s="1"/>
  <c r="K268" i="17"/>
  <c r="L268" i="17"/>
  <c r="M268" i="17" s="1"/>
  <c r="I269" i="17"/>
  <c r="N269" i="17" s="1" a="1"/>
  <c r="N269" i="17" s="1"/>
  <c r="J269" i="17"/>
  <c r="O269" i="17" s="1" a="1"/>
  <c r="O269" i="17" s="1"/>
  <c r="K269" i="17"/>
  <c r="L269" i="17"/>
  <c r="M269" i="17" s="1"/>
  <c r="I270" i="17"/>
  <c r="N270" i="17" s="1" a="1"/>
  <c r="N270" i="17" s="1"/>
  <c r="J270" i="17"/>
  <c r="O270" i="17" s="1" a="1"/>
  <c r="O270" i="17" s="1"/>
  <c r="K270" i="17"/>
  <c r="L270" i="17"/>
  <c r="M270" i="17" s="1"/>
  <c r="I271" i="17"/>
  <c r="N271" i="17" s="1" a="1"/>
  <c r="N271" i="17" s="1"/>
  <c r="J271" i="17"/>
  <c r="O271" i="17" s="1" a="1"/>
  <c r="O271" i="17" s="1"/>
  <c r="K271" i="17"/>
  <c r="L271" i="17"/>
  <c r="M271" i="17" s="1"/>
  <c r="I272" i="17"/>
  <c r="N272" i="17" s="1" a="1"/>
  <c r="N272" i="17" s="1"/>
  <c r="J272" i="17"/>
  <c r="O272" i="17" s="1" a="1"/>
  <c r="O272" i="17" s="1"/>
  <c r="K272" i="17"/>
  <c r="L272" i="17"/>
  <c r="M272" i="17" s="1"/>
  <c r="I273" i="17"/>
  <c r="N273" i="17" s="1" a="1"/>
  <c r="N273" i="17" s="1"/>
  <c r="J273" i="17"/>
  <c r="O273" i="17" s="1" a="1"/>
  <c r="O273" i="17" s="1"/>
  <c r="K273" i="17"/>
  <c r="L273" i="17"/>
  <c r="M273" i="17" s="1"/>
  <c r="I274" i="17"/>
  <c r="N274" i="17" s="1" a="1"/>
  <c r="N274" i="17" s="1"/>
  <c r="J274" i="17"/>
  <c r="O274" i="17" s="1" a="1"/>
  <c r="O274" i="17" s="1"/>
  <c r="K274" i="17"/>
  <c r="L274" i="17"/>
  <c r="M274" i="17" s="1"/>
  <c r="I275" i="17"/>
  <c r="N275" i="17" s="1" a="1"/>
  <c r="N275" i="17" s="1"/>
  <c r="J275" i="17"/>
  <c r="O275" i="17" s="1" a="1"/>
  <c r="O275" i="17" s="1"/>
  <c r="K275" i="17"/>
  <c r="L275" i="17"/>
  <c r="M275" i="17" s="1"/>
  <c r="I276" i="17"/>
  <c r="N276" i="17" s="1" a="1"/>
  <c r="N276" i="17" s="1"/>
  <c r="J276" i="17"/>
  <c r="O276" i="17" s="1" a="1"/>
  <c r="O276" i="17" s="1"/>
  <c r="K276" i="17"/>
  <c r="L276" i="17"/>
  <c r="M276" i="17" s="1"/>
  <c r="I277" i="17"/>
  <c r="N277" i="17" s="1" a="1"/>
  <c r="N277" i="17" s="1"/>
  <c r="J277" i="17"/>
  <c r="O277" i="17" s="1" a="1"/>
  <c r="O277" i="17" s="1"/>
  <c r="K277" i="17"/>
  <c r="L277" i="17"/>
  <c r="M277" i="17" s="1"/>
  <c r="I278" i="17"/>
  <c r="N278" i="17" s="1" a="1"/>
  <c r="N278" i="17" s="1"/>
  <c r="J278" i="17"/>
  <c r="O278" i="17" s="1" a="1"/>
  <c r="O278" i="17" s="1"/>
  <c r="K278" i="17"/>
  <c r="L278" i="17"/>
  <c r="M278" i="17" s="1"/>
  <c r="I279" i="17"/>
  <c r="N279" i="17" s="1" a="1"/>
  <c r="N279" i="17" s="1"/>
  <c r="J279" i="17"/>
  <c r="O279" i="17" s="1" a="1"/>
  <c r="O279" i="17" s="1"/>
  <c r="K279" i="17"/>
  <c r="L279" i="17"/>
  <c r="M279" i="17" s="1"/>
  <c r="I280" i="17"/>
  <c r="N280" i="17" s="1" a="1"/>
  <c r="N280" i="17" s="1"/>
  <c r="J280" i="17"/>
  <c r="O280" i="17" s="1" a="1"/>
  <c r="O280" i="17" s="1"/>
  <c r="K280" i="17"/>
  <c r="L280" i="17"/>
  <c r="M280" i="17" s="1"/>
  <c r="I281" i="17"/>
  <c r="N281" i="17" s="1" a="1"/>
  <c r="N281" i="17" s="1"/>
  <c r="J281" i="17"/>
  <c r="O281" i="17" s="1" a="1"/>
  <c r="O281" i="17" s="1"/>
  <c r="K281" i="17"/>
  <c r="L281" i="17"/>
  <c r="M281" i="17" s="1"/>
  <c r="I282" i="17"/>
  <c r="N282" i="17" s="1" a="1"/>
  <c r="N282" i="17" s="1"/>
  <c r="J282" i="17"/>
  <c r="O282" i="17" s="1" a="1"/>
  <c r="O282" i="17" s="1"/>
  <c r="K282" i="17"/>
  <c r="L282" i="17"/>
  <c r="M282" i="17" s="1"/>
  <c r="I283" i="17"/>
  <c r="N283" i="17" s="1" a="1"/>
  <c r="N283" i="17" s="1"/>
  <c r="J283" i="17"/>
  <c r="O283" i="17" s="1" a="1"/>
  <c r="O283" i="17" s="1"/>
  <c r="K283" i="17"/>
  <c r="L283" i="17"/>
  <c r="M283" i="17" s="1"/>
  <c r="I284" i="17"/>
  <c r="N284" i="17" s="1" a="1"/>
  <c r="N284" i="17" s="1"/>
  <c r="J284" i="17"/>
  <c r="O284" i="17" s="1" a="1"/>
  <c r="O284" i="17" s="1"/>
  <c r="K284" i="17"/>
  <c r="L284" i="17"/>
  <c r="M284" i="17" s="1"/>
  <c r="I285" i="17"/>
  <c r="N285" i="17" s="1" a="1"/>
  <c r="N285" i="17" s="1"/>
  <c r="J285" i="17"/>
  <c r="O285" i="17" s="1" a="1"/>
  <c r="O285" i="17" s="1"/>
  <c r="K285" i="17"/>
  <c r="L285" i="17"/>
  <c r="M285" i="17" s="1"/>
  <c r="I286" i="17"/>
  <c r="N286" i="17" s="1" a="1"/>
  <c r="N286" i="17" s="1"/>
  <c r="J286" i="17"/>
  <c r="O286" i="17" s="1" a="1"/>
  <c r="O286" i="17" s="1"/>
  <c r="K286" i="17"/>
  <c r="L286" i="17"/>
  <c r="M286" i="17" s="1"/>
  <c r="I287" i="17"/>
  <c r="N287" i="17" s="1" a="1"/>
  <c r="N287" i="17" s="1"/>
  <c r="J287" i="17"/>
  <c r="O287" i="17" s="1" a="1"/>
  <c r="O287" i="17" s="1"/>
  <c r="K287" i="17"/>
  <c r="L287" i="17"/>
  <c r="M287" i="17" s="1"/>
  <c r="I288" i="17"/>
  <c r="N288" i="17" s="1" a="1"/>
  <c r="N288" i="17" s="1"/>
  <c r="J288" i="17"/>
  <c r="O288" i="17" s="1" a="1"/>
  <c r="O288" i="17" s="1"/>
  <c r="K288" i="17"/>
  <c r="L288" i="17"/>
  <c r="M288" i="17" s="1"/>
  <c r="I289" i="17"/>
  <c r="N289" i="17" s="1" a="1"/>
  <c r="N289" i="17" s="1"/>
  <c r="J289" i="17"/>
  <c r="O289" i="17" s="1" a="1"/>
  <c r="O289" i="17" s="1"/>
  <c r="K289" i="17"/>
  <c r="L289" i="17"/>
  <c r="M289" i="17" s="1"/>
  <c r="I290" i="17"/>
  <c r="N290" i="17" s="1" a="1"/>
  <c r="N290" i="17" s="1"/>
  <c r="J290" i="17"/>
  <c r="O290" i="17" s="1" a="1"/>
  <c r="O290" i="17" s="1"/>
  <c r="K290" i="17"/>
  <c r="L290" i="17"/>
  <c r="M290" i="17" s="1"/>
  <c r="I291" i="17"/>
  <c r="N291" i="17" s="1" a="1"/>
  <c r="N291" i="17" s="1"/>
  <c r="J291" i="17"/>
  <c r="O291" i="17" s="1" a="1"/>
  <c r="O291" i="17" s="1"/>
  <c r="K291" i="17"/>
  <c r="L291" i="17"/>
  <c r="M291" i="17" s="1"/>
  <c r="I292" i="17"/>
  <c r="N292" i="17" s="1" a="1"/>
  <c r="N292" i="17" s="1"/>
  <c r="J292" i="17"/>
  <c r="O292" i="17" s="1" a="1"/>
  <c r="O292" i="17" s="1"/>
  <c r="K292" i="17"/>
  <c r="L292" i="17"/>
  <c r="M292" i="17" s="1"/>
  <c r="I293" i="17"/>
  <c r="N293" i="17" s="1" a="1"/>
  <c r="N293" i="17" s="1"/>
  <c r="J293" i="17"/>
  <c r="O293" i="17" s="1" a="1"/>
  <c r="O293" i="17" s="1"/>
  <c r="K293" i="17"/>
  <c r="L293" i="17"/>
  <c r="M293" i="17" s="1"/>
  <c r="I294" i="17"/>
  <c r="N294" i="17" s="1" a="1"/>
  <c r="N294" i="17" s="1"/>
  <c r="J294" i="17"/>
  <c r="O294" i="17" s="1" a="1"/>
  <c r="O294" i="17" s="1"/>
  <c r="K294" i="17"/>
  <c r="L294" i="17"/>
  <c r="M294" i="17" s="1"/>
  <c r="I295" i="17"/>
  <c r="N295" i="17" s="1" a="1"/>
  <c r="N295" i="17" s="1"/>
  <c r="J295" i="17"/>
  <c r="O295" i="17" s="1" a="1"/>
  <c r="O295" i="17" s="1"/>
  <c r="K295" i="17"/>
  <c r="L295" i="17"/>
  <c r="M295" i="17" s="1"/>
  <c r="I296" i="17"/>
  <c r="N296" i="17" s="1" a="1"/>
  <c r="N296" i="17" s="1"/>
  <c r="J296" i="17"/>
  <c r="O296" i="17" s="1" a="1"/>
  <c r="O296" i="17" s="1"/>
  <c r="K296" i="17"/>
  <c r="L296" i="17"/>
  <c r="M296" i="17" s="1"/>
  <c r="I297" i="17"/>
  <c r="N297" i="17" s="1" a="1"/>
  <c r="N297" i="17" s="1"/>
  <c r="J297" i="17"/>
  <c r="O297" i="17" s="1" a="1"/>
  <c r="O297" i="17" s="1"/>
  <c r="K297" i="17"/>
  <c r="L297" i="17"/>
  <c r="M297" i="17" s="1"/>
  <c r="I298" i="17"/>
  <c r="N298" i="17" s="1" a="1"/>
  <c r="N298" i="17" s="1"/>
  <c r="J298" i="17"/>
  <c r="O298" i="17" s="1" a="1"/>
  <c r="O298" i="17" s="1"/>
  <c r="K298" i="17"/>
  <c r="L298" i="17"/>
  <c r="M298" i="17" s="1"/>
  <c r="I299" i="17"/>
  <c r="N299" i="17" s="1" a="1"/>
  <c r="N299" i="17" s="1"/>
  <c r="J299" i="17"/>
  <c r="O299" i="17" s="1" a="1"/>
  <c r="O299" i="17" s="1"/>
  <c r="K299" i="17"/>
  <c r="L299" i="17"/>
  <c r="M299" i="17" s="1"/>
  <c r="I300" i="17"/>
  <c r="N300" i="17" s="1" a="1"/>
  <c r="N300" i="17" s="1"/>
  <c r="J300" i="17"/>
  <c r="O300" i="17" s="1" a="1"/>
  <c r="O300" i="17" s="1"/>
  <c r="K300" i="17"/>
  <c r="L300" i="17"/>
  <c r="M300" i="17" s="1"/>
  <c r="I301" i="17"/>
  <c r="N301" i="17" s="1" a="1"/>
  <c r="N301" i="17" s="1"/>
  <c r="J301" i="17"/>
  <c r="O301" i="17" s="1" a="1"/>
  <c r="O301" i="17" s="1"/>
  <c r="K301" i="17"/>
  <c r="L301" i="17"/>
  <c r="M301" i="17" s="1"/>
  <c r="I302" i="17"/>
  <c r="N302" i="17" s="1" a="1"/>
  <c r="N302" i="17" s="1"/>
  <c r="J302" i="17"/>
  <c r="O302" i="17" s="1" a="1"/>
  <c r="O302" i="17" s="1"/>
  <c r="K302" i="17"/>
  <c r="L302" i="17"/>
  <c r="M302" i="17" s="1"/>
  <c r="I303" i="17"/>
  <c r="N303" i="17" s="1" a="1"/>
  <c r="N303" i="17" s="1"/>
  <c r="J303" i="17"/>
  <c r="O303" i="17" s="1" a="1"/>
  <c r="O303" i="17" s="1"/>
  <c r="K303" i="17"/>
  <c r="L303" i="17"/>
  <c r="M303" i="17" s="1"/>
  <c r="I304" i="17"/>
  <c r="N304" i="17" s="1" a="1"/>
  <c r="N304" i="17" s="1"/>
  <c r="J304" i="17"/>
  <c r="O304" i="17" s="1" a="1"/>
  <c r="O304" i="17" s="1"/>
  <c r="K304" i="17"/>
  <c r="L304" i="17"/>
  <c r="M304" i="17" s="1"/>
  <c r="I305" i="17"/>
  <c r="N305" i="17" s="1" a="1"/>
  <c r="N305" i="17" s="1"/>
  <c r="J305" i="17"/>
  <c r="O305" i="17" s="1" a="1"/>
  <c r="O305" i="17" s="1"/>
  <c r="K305" i="17"/>
  <c r="L305" i="17"/>
  <c r="M305" i="17" s="1"/>
  <c r="I306" i="17"/>
  <c r="N306" i="17" s="1" a="1"/>
  <c r="N306" i="17" s="1"/>
  <c r="J306" i="17"/>
  <c r="O306" i="17" s="1" a="1"/>
  <c r="O306" i="17" s="1"/>
  <c r="K306" i="17"/>
  <c r="L306" i="17"/>
  <c r="M306" i="17" s="1"/>
  <c r="I307" i="17"/>
  <c r="N307" i="17" s="1" a="1"/>
  <c r="N307" i="17" s="1"/>
  <c r="J307" i="17"/>
  <c r="O307" i="17" s="1" a="1"/>
  <c r="O307" i="17" s="1"/>
  <c r="K307" i="17"/>
  <c r="L307" i="17"/>
  <c r="M307" i="17" s="1"/>
  <c r="I308" i="17"/>
  <c r="N308" i="17" s="1" a="1"/>
  <c r="N308" i="17" s="1"/>
  <c r="J308" i="17"/>
  <c r="O308" i="17" s="1" a="1"/>
  <c r="O308" i="17" s="1"/>
  <c r="K308" i="17"/>
  <c r="L308" i="17"/>
  <c r="M308" i="17" s="1"/>
  <c r="I309" i="17"/>
  <c r="N309" i="17" s="1" a="1"/>
  <c r="N309" i="17" s="1"/>
  <c r="J309" i="17"/>
  <c r="O309" i="17" s="1" a="1"/>
  <c r="O309" i="17" s="1"/>
  <c r="K309" i="17"/>
  <c r="L309" i="17"/>
  <c r="M309" i="17" s="1"/>
  <c r="I310" i="17"/>
  <c r="N310" i="17" s="1" a="1"/>
  <c r="N310" i="17" s="1"/>
  <c r="J310" i="17"/>
  <c r="O310" i="17" s="1" a="1"/>
  <c r="O310" i="17" s="1"/>
  <c r="K310" i="17"/>
  <c r="L310" i="17"/>
  <c r="M310" i="17" s="1"/>
  <c r="I311" i="17"/>
  <c r="N311" i="17" s="1" a="1"/>
  <c r="N311" i="17" s="1"/>
  <c r="J311" i="17"/>
  <c r="O311" i="17" s="1" a="1"/>
  <c r="O311" i="17" s="1"/>
  <c r="K311" i="17"/>
  <c r="L311" i="17"/>
  <c r="M311" i="17" s="1"/>
  <c r="I312" i="17"/>
  <c r="N312" i="17" s="1" a="1"/>
  <c r="N312" i="17" s="1"/>
  <c r="J312" i="17"/>
  <c r="O312" i="17" s="1" a="1"/>
  <c r="O312" i="17" s="1"/>
  <c r="K312" i="17"/>
  <c r="L312" i="17"/>
  <c r="M312" i="17" s="1"/>
  <c r="I313" i="17"/>
  <c r="N313" i="17" s="1" a="1"/>
  <c r="N313" i="17" s="1"/>
  <c r="J313" i="17"/>
  <c r="O313" i="17" s="1" a="1"/>
  <c r="O313" i="17" s="1"/>
  <c r="K313" i="17"/>
  <c r="L313" i="17"/>
  <c r="M313" i="17" s="1"/>
  <c r="I314" i="17"/>
  <c r="N314" i="17" s="1" a="1"/>
  <c r="N314" i="17" s="1"/>
  <c r="J314" i="17"/>
  <c r="O314" i="17" s="1" a="1"/>
  <c r="O314" i="17" s="1"/>
  <c r="K314" i="17"/>
  <c r="L314" i="17"/>
  <c r="M314" i="17" s="1"/>
  <c r="I315" i="17"/>
  <c r="N315" i="17" s="1" a="1"/>
  <c r="N315" i="17" s="1"/>
  <c r="J315" i="17"/>
  <c r="O315" i="17" s="1" a="1"/>
  <c r="O315" i="17" s="1"/>
  <c r="K315" i="17"/>
  <c r="L315" i="17"/>
  <c r="M315" i="17" s="1"/>
  <c r="I316" i="17"/>
  <c r="N316" i="17" s="1" a="1"/>
  <c r="N316" i="17" s="1"/>
  <c r="J316" i="17"/>
  <c r="O316" i="17" s="1" a="1"/>
  <c r="O316" i="17" s="1"/>
  <c r="K316" i="17"/>
  <c r="L316" i="17"/>
  <c r="M316" i="17" s="1"/>
  <c r="I317" i="17"/>
  <c r="N317" i="17" s="1" a="1"/>
  <c r="N317" i="17" s="1"/>
  <c r="J317" i="17"/>
  <c r="O317" i="17" s="1" a="1"/>
  <c r="O317" i="17" s="1"/>
  <c r="K317" i="17"/>
  <c r="L317" i="17"/>
  <c r="M317" i="17" s="1"/>
  <c r="I318" i="17"/>
  <c r="N318" i="17" s="1" a="1"/>
  <c r="N318" i="17" s="1"/>
  <c r="J318" i="17"/>
  <c r="O318" i="17" s="1" a="1"/>
  <c r="O318" i="17" s="1"/>
  <c r="K318" i="17"/>
  <c r="L318" i="17"/>
  <c r="M318" i="17" s="1"/>
  <c r="I319" i="17"/>
  <c r="N319" i="17" s="1" a="1"/>
  <c r="N319" i="17" s="1"/>
  <c r="J319" i="17"/>
  <c r="O319" i="17" s="1" a="1"/>
  <c r="O319" i="17" s="1"/>
  <c r="K319" i="17"/>
  <c r="L319" i="17"/>
  <c r="M319" i="17" s="1"/>
  <c r="I320" i="17"/>
  <c r="N320" i="17" s="1" a="1"/>
  <c r="N320" i="17" s="1"/>
  <c r="J320" i="17"/>
  <c r="O320" i="17" s="1" a="1"/>
  <c r="O320" i="17" s="1"/>
  <c r="K320" i="17"/>
  <c r="L320" i="17"/>
  <c r="M320" i="17" s="1"/>
  <c r="I321" i="17"/>
  <c r="N321" i="17" s="1" a="1"/>
  <c r="N321" i="17" s="1"/>
  <c r="J321" i="17"/>
  <c r="O321" i="17" s="1" a="1"/>
  <c r="O321" i="17" s="1"/>
  <c r="K321" i="17"/>
  <c r="L321" i="17"/>
  <c r="M321" i="17" s="1"/>
  <c r="I322" i="17"/>
  <c r="N322" i="17" s="1" a="1"/>
  <c r="N322" i="17" s="1"/>
  <c r="J322" i="17"/>
  <c r="O322" i="17" s="1" a="1"/>
  <c r="O322" i="17" s="1"/>
  <c r="K322" i="17"/>
  <c r="L322" i="17"/>
  <c r="M322" i="17" s="1"/>
  <c r="I323" i="17"/>
  <c r="N323" i="17" s="1" a="1"/>
  <c r="N323" i="17" s="1"/>
  <c r="J323" i="17"/>
  <c r="O323" i="17" s="1" a="1"/>
  <c r="O323" i="17" s="1"/>
  <c r="K323" i="17"/>
  <c r="L323" i="17"/>
  <c r="M323" i="17" s="1"/>
  <c r="I324" i="17"/>
  <c r="N324" i="17" s="1" a="1"/>
  <c r="N324" i="17" s="1"/>
  <c r="J324" i="17"/>
  <c r="O324" i="17" s="1" a="1"/>
  <c r="O324" i="17" s="1"/>
  <c r="K324" i="17"/>
  <c r="L324" i="17"/>
  <c r="M324" i="17" s="1"/>
  <c r="I325" i="17"/>
  <c r="N325" i="17" s="1" a="1"/>
  <c r="N325" i="17" s="1"/>
  <c r="J325" i="17"/>
  <c r="O325" i="17" s="1" a="1"/>
  <c r="O325" i="17" s="1"/>
  <c r="K325" i="17"/>
  <c r="L325" i="17"/>
  <c r="M325" i="17" s="1"/>
  <c r="I326" i="17"/>
  <c r="N326" i="17" s="1" a="1"/>
  <c r="N326" i="17" s="1"/>
  <c r="J326" i="17"/>
  <c r="O326" i="17" s="1" a="1"/>
  <c r="O326" i="17" s="1"/>
  <c r="K326" i="17"/>
  <c r="L326" i="17"/>
  <c r="M326" i="17" s="1"/>
  <c r="I327" i="17"/>
  <c r="N327" i="17" s="1" a="1"/>
  <c r="N327" i="17" s="1"/>
  <c r="J327" i="17"/>
  <c r="O327" i="17" s="1" a="1"/>
  <c r="O327" i="17" s="1"/>
  <c r="K327" i="17"/>
  <c r="L327" i="17"/>
  <c r="M327" i="17" s="1"/>
  <c r="I328" i="17"/>
  <c r="N328" i="17" s="1" a="1"/>
  <c r="N328" i="17" s="1"/>
  <c r="J328" i="17"/>
  <c r="O328" i="17" s="1" a="1"/>
  <c r="O328" i="17" s="1"/>
  <c r="K328" i="17"/>
  <c r="L328" i="17"/>
  <c r="M328" i="17" s="1"/>
  <c r="I329" i="17"/>
  <c r="N329" i="17" s="1" a="1"/>
  <c r="N329" i="17" s="1"/>
  <c r="J329" i="17"/>
  <c r="O329" i="17" s="1" a="1"/>
  <c r="O329" i="17" s="1"/>
  <c r="K329" i="17"/>
  <c r="L329" i="17"/>
  <c r="M329" i="17" s="1"/>
  <c r="I330" i="17"/>
  <c r="N330" i="17" s="1" a="1"/>
  <c r="N330" i="17" s="1"/>
  <c r="J330" i="17"/>
  <c r="O330" i="17" s="1" a="1"/>
  <c r="O330" i="17" s="1"/>
  <c r="K330" i="17"/>
  <c r="L330" i="17"/>
  <c r="M330" i="17" s="1"/>
  <c r="I331" i="17"/>
  <c r="N331" i="17" s="1" a="1"/>
  <c r="N331" i="17" s="1"/>
  <c r="J331" i="17"/>
  <c r="O331" i="17" s="1" a="1"/>
  <c r="O331" i="17" s="1"/>
  <c r="K331" i="17"/>
  <c r="L331" i="17"/>
  <c r="M331" i="17" s="1"/>
  <c r="I332" i="17"/>
  <c r="N332" i="17" s="1" a="1"/>
  <c r="N332" i="17" s="1"/>
  <c r="J332" i="17"/>
  <c r="O332" i="17" s="1" a="1"/>
  <c r="O332" i="17" s="1"/>
  <c r="K332" i="17"/>
  <c r="L332" i="17"/>
  <c r="M332" i="17" s="1"/>
  <c r="I333" i="17"/>
  <c r="N333" i="17" s="1" a="1"/>
  <c r="N333" i="17" s="1"/>
  <c r="J333" i="17"/>
  <c r="O333" i="17" s="1" a="1"/>
  <c r="O333" i="17" s="1"/>
  <c r="K333" i="17"/>
  <c r="L333" i="17"/>
  <c r="M333" i="17" s="1"/>
  <c r="I334" i="17"/>
  <c r="N334" i="17" s="1" a="1"/>
  <c r="N334" i="17" s="1"/>
  <c r="J334" i="17"/>
  <c r="O334" i="17" s="1" a="1"/>
  <c r="O334" i="17" s="1"/>
  <c r="K334" i="17"/>
  <c r="L334" i="17"/>
  <c r="M334" i="17" s="1"/>
  <c r="I335" i="17"/>
  <c r="N335" i="17" s="1" a="1"/>
  <c r="N335" i="17" s="1"/>
  <c r="J335" i="17"/>
  <c r="O335" i="17" s="1" a="1"/>
  <c r="O335" i="17" s="1"/>
  <c r="K335" i="17"/>
  <c r="L335" i="17"/>
  <c r="M335" i="17" s="1"/>
  <c r="I336" i="17"/>
  <c r="N336" i="17" s="1" a="1"/>
  <c r="N336" i="17" s="1"/>
  <c r="J336" i="17"/>
  <c r="O336" i="17" s="1" a="1"/>
  <c r="O336" i="17" s="1"/>
  <c r="K336" i="17"/>
  <c r="L336" i="17"/>
  <c r="M336" i="17" s="1"/>
  <c r="I337" i="17"/>
  <c r="N337" i="17" s="1" a="1"/>
  <c r="N337" i="17" s="1"/>
  <c r="J337" i="17"/>
  <c r="O337" i="17" s="1" a="1"/>
  <c r="O337" i="17" s="1"/>
  <c r="K337" i="17"/>
  <c r="L337" i="17"/>
  <c r="M337" i="17" s="1"/>
  <c r="I338" i="17"/>
  <c r="N338" i="17" s="1" a="1"/>
  <c r="N338" i="17" s="1"/>
  <c r="J338" i="17"/>
  <c r="O338" i="17" s="1" a="1"/>
  <c r="O338" i="17" s="1"/>
  <c r="K338" i="17"/>
  <c r="L338" i="17"/>
  <c r="M338" i="17" s="1"/>
  <c r="I339" i="17"/>
  <c r="N339" i="17" s="1" a="1"/>
  <c r="N339" i="17" s="1"/>
  <c r="J339" i="17"/>
  <c r="O339" i="17" s="1" a="1"/>
  <c r="O339" i="17" s="1"/>
  <c r="K339" i="17"/>
  <c r="L339" i="17"/>
  <c r="M339" i="17" s="1"/>
  <c r="I340" i="17"/>
  <c r="N340" i="17" s="1" a="1"/>
  <c r="N340" i="17" s="1"/>
  <c r="J340" i="17"/>
  <c r="O340" i="17" s="1" a="1"/>
  <c r="O340" i="17" s="1"/>
  <c r="K340" i="17"/>
  <c r="L340" i="17"/>
  <c r="M340" i="17" s="1"/>
  <c r="I341" i="17"/>
  <c r="N341" i="17" s="1" a="1"/>
  <c r="N341" i="17" s="1"/>
  <c r="J341" i="17"/>
  <c r="O341" i="17" s="1" a="1"/>
  <c r="O341" i="17" s="1"/>
  <c r="K341" i="17"/>
  <c r="L341" i="17"/>
  <c r="M341" i="17" s="1"/>
  <c r="I342" i="17"/>
  <c r="N342" i="17" s="1" a="1"/>
  <c r="N342" i="17" s="1"/>
  <c r="J342" i="17"/>
  <c r="O342" i="17" s="1" a="1"/>
  <c r="O342" i="17" s="1"/>
  <c r="K342" i="17"/>
  <c r="L342" i="17"/>
  <c r="M342" i="17" s="1"/>
  <c r="I343" i="17"/>
  <c r="N343" i="17" s="1" a="1"/>
  <c r="N343" i="17" s="1"/>
  <c r="J343" i="17"/>
  <c r="O343" i="17" s="1" a="1"/>
  <c r="O343" i="17" s="1"/>
  <c r="K343" i="17"/>
  <c r="L343" i="17"/>
  <c r="M343" i="17" s="1"/>
  <c r="I344" i="17"/>
  <c r="N344" i="17" s="1" a="1"/>
  <c r="N344" i="17" s="1"/>
  <c r="J344" i="17"/>
  <c r="O344" i="17" s="1" a="1"/>
  <c r="O344" i="17" s="1"/>
  <c r="K344" i="17"/>
  <c r="L344" i="17"/>
  <c r="M344" i="17" s="1"/>
  <c r="I345" i="17"/>
  <c r="N345" i="17" s="1" a="1"/>
  <c r="N345" i="17" s="1"/>
  <c r="J345" i="17"/>
  <c r="O345" i="17" s="1" a="1"/>
  <c r="O345" i="17" s="1"/>
  <c r="K345" i="17"/>
  <c r="L345" i="17"/>
  <c r="M345" i="17" s="1"/>
  <c r="I346" i="17"/>
  <c r="N346" i="17" s="1" a="1"/>
  <c r="N346" i="17" s="1"/>
  <c r="J346" i="17"/>
  <c r="O346" i="17" s="1" a="1"/>
  <c r="O346" i="17" s="1"/>
  <c r="K346" i="17"/>
  <c r="L346" i="17"/>
  <c r="M346" i="17" s="1"/>
  <c r="I347" i="17"/>
  <c r="N347" i="17" s="1" a="1"/>
  <c r="N347" i="17" s="1"/>
  <c r="J347" i="17"/>
  <c r="O347" i="17" s="1" a="1"/>
  <c r="O347" i="17" s="1"/>
  <c r="K347" i="17"/>
  <c r="L347" i="17"/>
  <c r="M347" i="17" s="1"/>
  <c r="I348" i="17"/>
  <c r="N348" i="17" s="1" a="1"/>
  <c r="N348" i="17" s="1"/>
  <c r="J348" i="17"/>
  <c r="O348" i="17" s="1" a="1"/>
  <c r="O348" i="17" s="1"/>
  <c r="K348" i="17"/>
  <c r="L348" i="17"/>
  <c r="M348" i="17" s="1"/>
  <c r="I349" i="17"/>
  <c r="N349" i="17" s="1" a="1"/>
  <c r="N349" i="17" s="1"/>
  <c r="J349" i="17"/>
  <c r="O349" i="17" s="1" a="1"/>
  <c r="O349" i="17" s="1"/>
  <c r="K349" i="17"/>
  <c r="L349" i="17"/>
  <c r="M349" i="17" s="1"/>
  <c r="I350" i="17"/>
  <c r="N350" i="17" s="1" a="1"/>
  <c r="N350" i="17" s="1"/>
  <c r="J350" i="17"/>
  <c r="O350" i="17" s="1" a="1"/>
  <c r="O350" i="17" s="1"/>
  <c r="K350" i="17"/>
  <c r="L350" i="17"/>
  <c r="M350" i="17" s="1"/>
  <c r="I351" i="17"/>
  <c r="N351" i="17" s="1" a="1"/>
  <c r="N351" i="17" s="1"/>
  <c r="J351" i="17"/>
  <c r="O351" i="17" s="1" a="1"/>
  <c r="O351" i="17" s="1"/>
  <c r="K351" i="17"/>
  <c r="L351" i="17"/>
  <c r="M351" i="17" s="1"/>
  <c r="I352" i="17"/>
  <c r="N352" i="17" s="1" a="1"/>
  <c r="N352" i="17" s="1"/>
  <c r="J352" i="17"/>
  <c r="O352" i="17" s="1" a="1"/>
  <c r="O352" i="17" s="1"/>
  <c r="K352" i="17"/>
  <c r="L352" i="17"/>
  <c r="M352" i="17" s="1"/>
  <c r="I353" i="17"/>
  <c r="N353" i="17" s="1" a="1"/>
  <c r="N353" i="17" s="1"/>
  <c r="J353" i="17"/>
  <c r="O353" i="17" s="1" a="1"/>
  <c r="O353" i="17" s="1"/>
  <c r="K353" i="17"/>
  <c r="L353" i="17"/>
  <c r="M353" i="17" s="1"/>
  <c r="I354" i="17"/>
  <c r="N354" i="17" s="1" a="1"/>
  <c r="N354" i="17" s="1"/>
  <c r="J354" i="17"/>
  <c r="O354" i="17" s="1" a="1"/>
  <c r="O354" i="17" s="1"/>
  <c r="K354" i="17"/>
  <c r="L354" i="17"/>
  <c r="M354" i="17" s="1"/>
  <c r="I355" i="17"/>
  <c r="N355" i="17" s="1" a="1"/>
  <c r="N355" i="17" s="1"/>
  <c r="J355" i="17"/>
  <c r="O355" i="17" s="1" a="1"/>
  <c r="O355" i="17" s="1"/>
  <c r="K355" i="17"/>
  <c r="L355" i="17"/>
  <c r="M355" i="17" s="1"/>
  <c r="I356" i="17"/>
  <c r="N356" i="17" s="1" a="1"/>
  <c r="N356" i="17" s="1"/>
  <c r="J356" i="17"/>
  <c r="O356" i="17" s="1" a="1"/>
  <c r="O356" i="17" s="1"/>
  <c r="K356" i="17"/>
  <c r="L356" i="17"/>
  <c r="M356" i="17" s="1"/>
  <c r="I357" i="17"/>
  <c r="N357" i="17" s="1" a="1"/>
  <c r="N357" i="17" s="1"/>
  <c r="J357" i="17"/>
  <c r="O357" i="17" s="1" a="1"/>
  <c r="O357" i="17" s="1"/>
  <c r="K357" i="17"/>
  <c r="L357" i="17"/>
  <c r="M357" i="17" s="1"/>
  <c r="I358" i="17"/>
  <c r="N358" i="17" s="1" a="1"/>
  <c r="N358" i="17" s="1"/>
  <c r="J358" i="17"/>
  <c r="O358" i="17" s="1" a="1"/>
  <c r="O358" i="17" s="1"/>
  <c r="K358" i="17"/>
  <c r="L358" i="17"/>
  <c r="M358" i="17" s="1"/>
  <c r="I359" i="17"/>
  <c r="N359" i="17" s="1" a="1"/>
  <c r="N359" i="17" s="1"/>
  <c r="J359" i="17"/>
  <c r="O359" i="17" s="1" a="1"/>
  <c r="O359" i="17" s="1"/>
  <c r="K359" i="17"/>
  <c r="L359" i="17"/>
  <c r="M359" i="17" s="1"/>
  <c r="I360" i="17"/>
  <c r="N360" i="17" s="1" a="1"/>
  <c r="N360" i="17" s="1"/>
  <c r="J360" i="17"/>
  <c r="O360" i="17" s="1" a="1"/>
  <c r="O360" i="17" s="1"/>
  <c r="K360" i="17"/>
  <c r="L360" i="17"/>
  <c r="M360" i="17" s="1"/>
  <c r="I361" i="17"/>
  <c r="N361" i="17" s="1" a="1"/>
  <c r="N361" i="17" s="1"/>
  <c r="J361" i="17"/>
  <c r="O361" i="17" s="1" a="1"/>
  <c r="O361" i="17" s="1"/>
  <c r="K361" i="17"/>
  <c r="L361" i="17"/>
  <c r="M361" i="17" s="1"/>
  <c r="I362" i="17"/>
  <c r="N362" i="17" s="1" a="1"/>
  <c r="N362" i="17" s="1"/>
  <c r="J362" i="17"/>
  <c r="O362" i="17" s="1" a="1"/>
  <c r="O362" i="17" s="1"/>
  <c r="K362" i="17"/>
  <c r="L362" i="17"/>
  <c r="M362" i="17" s="1"/>
  <c r="I363" i="17"/>
  <c r="N363" i="17" s="1" a="1"/>
  <c r="N363" i="17" s="1"/>
  <c r="J363" i="17"/>
  <c r="O363" i="17" s="1" a="1"/>
  <c r="O363" i="17" s="1"/>
  <c r="K363" i="17"/>
  <c r="L363" i="17"/>
  <c r="M363" i="17" s="1"/>
  <c r="I364" i="17"/>
  <c r="N364" i="17" s="1" a="1"/>
  <c r="N364" i="17" s="1"/>
  <c r="J364" i="17"/>
  <c r="O364" i="17" s="1" a="1"/>
  <c r="O364" i="17" s="1"/>
  <c r="K364" i="17"/>
  <c r="L364" i="17"/>
  <c r="M364" i="17" s="1"/>
  <c r="I365" i="17"/>
  <c r="N365" i="17" s="1" a="1"/>
  <c r="N365" i="17" s="1"/>
  <c r="J365" i="17"/>
  <c r="O365" i="17" s="1" a="1"/>
  <c r="O365" i="17" s="1"/>
  <c r="K365" i="17"/>
  <c r="L365" i="17"/>
  <c r="M365" i="17" s="1"/>
  <c r="I366" i="17"/>
  <c r="N366" i="17" s="1" a="1"/>
  <c r="N366" i="17" s="1"/>
  <c r="J366" i="17"/>
  <c r="O366" i="17" s="1" a="1"/>
  <c r="O366" i="17" s="1"/>
  <c r="K366" i="17"/>
  <c r="L366" i="17"/>
  <c r="M366" i="17" s="1"/>
  <c r="I367" i="17"/>
  <c r="N367" i="17" s="1" a="1"/>
  <c r="N367" i="17" s="1"/>
  <c r="J367" i="17"/>
  <c r="O367" i="17" s="1" a="1"/>
  <c r="O367" i="17" s="1"/>
  <c r="K367" i="17"/>
  <c r="L367" i="17"/>
  <c r="M367" i="17" s="1"/>
  <c r="I368" i="17"/>
  <c r="N368" i="17" s="1" a="1"/>
  <c r="N368" i="17" s="1"/>
  <c r="J368" i="17"/>
  <c r="O368" i="17" s="1" a="1"/>
  <c r="O368" i="17" s="1"/>
  <c r="K368" i="17"/>
  <c r="L368" i="17"/>
  <c r="M368" i="17" s="1"/>
  <c r="I369" i="17"/>
  <c r="N369" i="17" s="1" a="1"/>
  <c r="N369" i="17" s="1"/>
  <c r="J369" i="17"/>
  <c r="O369" i="17" s="1" a="1"/>
  <c r="O369" i="17" s="1"/>
  <c r="K369" i="17"/>
  <c r="L369" i="17"/>
  <c r="M369" i="17" s="1"/>
  <c r="I370" i="17"/>
  <c r="N370" i="17" s="1" a="1"/>
  <c r="N370" i="17" s="1"/>
  <c r="J370" i="17"/>
  <c r="O370" i="17" s="1" a="1"/>
  <c r="O370" i="17" s="1"/>
  <c r="K370" i="17"/>
  <c r="L370" i="17"/>
  <c r="M370" i="17" s="1"/>
  <c r="I371" i="17"/>
  <c r="N371" i="17" s="1" a="1"/>
  <c r="N371" i="17" s="1"/>
  <c r="J371" i="17"/>
  <c r="O371" i="17" s="1" a="1"/>
  <c r="O371" i="17" s="1"/>
  <c r="K371" i="17"/>
  <c r="L371" i="17"/>
  <c r="M371" i="17" s="1"/>
  <c r="I372" i="17"/>
  <c r="N372" i="17" s="1" a="1"/>
  <c r="N372" i="17" s="1"/>
  <c r="J372" i="17"/>
  <c r="O372" i="17" s="1" a="1"/>
  <c r="O372" i="17" s="1"/>
  <c r="K372" i="17"/>
  <c r="L372" i="17"/>
  <c r="M372" i="17" s="1"/>
  <c r="I373" i="17"/>
  <c r="N373" i="17" s="1" a="1"/>
  <c r="N373" i="17" s="1"/>
  <c r="J373" i="17"/>
  <c r="O373" i="17" s="1" a="1"/>
  <c r="O373" i="17" s="1"/>
  <c r="K373" i="17"/>
  <c r="L373" i="17"/>
  <c r="M373" i="17" s="1"/>
  <c r="I374" i="17"/>
  <c r="N374" i="17" s="1" a="1"/>
  <c r="N374" i="17" s="1"/>
  <c r="J374" i="17"/>
  <c r="O374" i="17" s="1" a="1"/>
  <c r="O374" i="17" s="1"/>
  <c r="K374" i="17"/>
  <c r="L374" i="17"/>
  <c r="M374" i="17" s="1"/>
  <c r="I375" i="17"/>
  <c r="N375" i="17" s="1" a="1"/>
  <c r="N375" i="17" s="1"/>
  <c r="J375" i="17"/>
  <c r="O375" i="17" s="1" a="1"/>
  <c r="O375" i="17" s="1"/>
  <c r="K375" i="17"/>
  <c r="L375" i="17"/>
  <c r="M375" i="17" s="1"/>
  <c r="I376" i="17"/>
  <c r="N376" i="17" s="1" a="1"/>
  <c r="N376" i="17" s="1"/>
  <c r="J376" i="17"/>
  <c r="O376" i="17" s="1" a="1"/>
  <c r="O376" i="17" s="1"/>
  <c r="K376" i="17"/>
  <c r="L376" i="17"/>
  <c r="M376" i="17" s="1"/>
  <c r="I377" i="17"/>
  <c r="N377" i="17" s="1" a="1"/>
  <c r="N377" i="17" s="1"/>
  <c r="J377" i="17"/>
  <c r="O377" i="17" s="1" a="1"/>
  <c r="O377" i="17" s="1"/>
  <c r="K377" i="17"/>
  <c r="L377" i="17"/>
  <c r="M377" i="17" s="1"/>
  <c r="I378" i="17"/>
  <c r="N378" i="17" s="1" a="1"/>
  <c r="N378" i="17" s="1"/>
  <c r="J378" i="17"/>
  <c r="O378" i="17" s="1" a="1"/>
  <c r="O378" i="17" s="1"/>
  <c r="K378" i="17"/>
  <c r="L378" i="17"/>
  <c r="M378" i="17" s="1"/>
  <c r="I379" i="17"/>
  <c r="N379" i="17" s="1" a="1"/>
  <c r="N379" i="17" s="1"/>
  <c r="J379" i="17"/>
  <c r="O379" i="17" s="1" a="1"/>
  <c r="O379" i="17" s="1"/>
  <c r="K379" i="17"/>
  <c r="L379" i="17"/>
  <c r="M379" i="17" s="1"/>
  <c r="I380" i="17"/>
  <c r="N380" i="17" s="1" a="1"/>
  <c r="N380" i="17" s="1"/>
  <c r="J380" i="17"/>
  <c r="O380" i="17" s="1" a="1"/>
  <c r="O380" i="17" s="1"/>
  <c r="K380" i="17"/>
  <c r="L380" i="17"/>
  <c r="M380" i="17" s="1"/>
  <c r="I381" i="17"/>
  <c r="N381" i="17" s="1" a="1"/>
  <c r="N381" i="17" s="1"/>
  <c r="J381" i="17"/>
  <c r="O381" i="17" s="1" a="1"/>
  <c r="O381" i="17" s="1"/>
  <c r="K381" i="17"/>
  <c r="L381" i="17"/>
  <c r="M381" i="17" s="1"/>
  <c r="I382" i="17"/>
  <c r="N382" i="17" s="1" a="1"/>
  <c r="N382" i="17" s="1"/>
  <c r="J382" i="17"/>
  <c r="O382" i="17" s="1" a="1"/>
  <c r="O382" i="17" s="1"/>
  <c r="K382" i="17"/>
  <c r="L382" i="17"/>
  <c r="M382" i="17" s="1"/>
  <c r="I383" i="17"/>
  <c r="N383" i="17" s="1" a="1"/>
  <c r="N383" i="17" s="1"/>
  <c r="J383" i="17"/>
  <c r="O383" i="17" s="1" a="1"/>
  <c r="O383" i="17" s="1"/>
  <c r="K383" i="17"/>
  <c r="L383" i="17"/>
  <c r="M383" i="17" s="1"/>
  <c r="I384" i="17"/>
  <c r="N384" i="17" s="1" a="1"/>
  <c r="N384" i="17" s="1"/>
  <c r="J384" i="17"/>
  <c r="O384" i="17" s="1" a="1"/>
  <c r="O384" i="17" s="1"/>
  <c r="K384" i="17"/>
  <c r="L384" i="17"/>
  <c r="M384" i="17" s="1"/>
  <c r="I385" i="17"/>
  <c r="N385" i="17" s="1" a="1"/>
  <c r="N385" i="17" s="1"/>
  <c r="J385" i="17"/>
  <c r="O385" i="17" s="1" a="1"/>
  <c r="O385" i="17" s="1"/>
  <c r="K385" i="17"/>
  <c r="L385" i="17"/>
  <c r="M385" i="17" s="1"/>
  <c r="I386" i="17"/>
  <c r="N386" i="17" s="1" a="1"/>
  <c r="N386" i="17" s="1"/>
  <c r="J386" i="17"/>
  <c r="O386" i="17" s="1" a="1"/>
  <c r="O386" i="17" s="1"/>
  <c r="K386" i="17"/>
  <c r="L386" i="17"/>
  <c r="M386" i="17" s="1"/>
  <c r="I387" i="17"/>
  <c r="N387" i="17" s="1" a="1"/>
  <c r="N387" i="17" s="1"/>
  <c r="J387" i="17"/>
  <c r="O387" i="17" s="1" a="1"/>
  <c r="O387" i="17" s="1"/>
  <c r="K387" i="17"/>
  <c r="L387" i="17"/>
  <c r="M387" i="17" s="1"/>
  <c r="I388" i="17"/>
  <c r="N388" i="17" s="1" a="1"/>
  <c r="N388" i="17" s="1"/>
  <c r="J388" i="17"/>
  <c r="O388" i="17" s="1" a="1"/>
  <c r="O388" i="17" s="1"/>
  <c r="K388" i="17"/>
  <c r="L388" i="17"/>
  <c r="M388" i="17" s="1"/>
  <c r="I389" i="17"/>
  <c r="N389" i="17" s="1" a="1"/>
  <c r="N389" i="17" s="1"/>
  <c r="J389" i="17"/>
  <c r="O389" i="17" s="1" a="1"/>
  <c r="O389" i="17" s="1"/>
  <c r="K389" i="17"/>
  <c r="L389" i="17"/>
  <c r="M389" i="17" s="1"/>
  <c r="I390" i="17"/>
  <c r="N390" i="17" s="1" a="1"/>
  <c r="N390" i="17" s="1"/>
  <c r="J390" i="17"/>
  <c r="O390" i="17" s="1" a="1"/>
  <c r="O390" i="17" s="1"/>
  <c r="K390" i="17"/>
  <c r="L390" i="17"/>
  <c r="M390" i="17" s="1"/>
  <c r="I391" i="17"/>
  <c r="N391" i="17" s="1" a="1"/>
  <c r="N391" i="17" s="1"/>
  <c r="J391" i="17"/>
  <c r="O391" i="17" s="1" a="1"/>
  <c r="O391" i="17" s="1"/>
  <c r="K391" i="17"/>
  <c r="L391" i="17"/>
  <c r="M391" i="17" s="1"/>
  <c r="I392" i="17"/>
  <c r="N392" i="17" s="1" a="1"/>
  <c r="N392" i="17" s="1"/>
  <c r="J392" i="17"/>
  <c r="O392" i="17" s="1" a="1"/>
  <c r="O392" i="17" s="1"/>
  <c r="K392" i="17"/>
  <c r="L392" i="17"/>
  <c r="M392" i="17" s="1"/>
  <c r="I393" i="17"/>
  <c r="N393" i="17" s="1" a="1"/>
  <c r="N393" i="17" s="1"/>
  <c r="J393" i="17"/>
  <c r="O393" i="17" s="1" a="1"/>
  <c r="O393" i="17" s="1"/>
  <c r="K393" i="17"/>
  <c r="L393" i="17"/>
  <c r="M393" i="17" s="1"/>
  <c r="I394" i="17"/>
  <c r="N394" i="17" s="1" a="1"/>
  <c r="N394" i="17" s="1"/>
  <c r="J394" i="17"/>
  <c r="O394" i="17" s="1" a="1"/>
  <c r="O394" i="17" s="1"/>
  <c r="K394" i="17"/>
  <c r="L394" i="17"/>
  <c r="M394" i="17" s="1"/>
  <c r="I395" i="17"/>
  <c r="N395" i="17" s="1" a="1"/>
  <c r="N395" i="17" s="1"/>
  <c r="J395" i="17"/>
  <c r="O395" i="17" s="1" a="1"/>
  <c r="O395" i="17" s="1"/>
  <c r="K395" i="17"/>
  <c r="L395" i="17"/>
  <c r="M395" i="17" s="1"/>
  <c r="I396" i="17"/>
  <c r="N396" i="17" s="1" a="1"/>
  <c r="N396" i="17" s="1"/>
  <c r="J396" i="17"/>
  <c r="O396" i="17" s="1" a="1"/>
  <c r="O396" i="17" s="1"/>
  <c r="K396" i="17"/>
  <c r="L396" i="17"/>
  <c r="M396" i="17" s="1"/>
  <c r="I397" i="17"/>
  <c r="N397" i="17" s="1" a="1"/>
  <c r="N397" i="17" s="1"/>
  <c r="J397" i="17"/>
  <c r="O397" i="17" s="1" a="1"/>
  <c r="O397" i="17" s="1"/>
  <c r="K397" i="17"/>
  <c r="L397" i="17"/>
  <c r="M397" i="17" s="1"/>
  <c r="I398" i="17"/>
  <c r="N398" i="17" s="1" a="1"/>
  <c r="N398" i="17" s="1"/>
  <c r="J398" i="17"/>
  <c r="O398" i="17" s="1" a="1"/>
  <c r="O398" i="17" s="1"/>
  <c r="K398" i="17"/>
  <c r="L398" i="17"/>
  <c r="M398" i="17" s="1"/>
  <c r="I399" i="17"/>
  <c r="N399" i="17" s="1" a="1"/>
  <c r="N399" i="17" s="1"/>
  <c r="J399" i="17"/>
  <c r="O399" i="17" s="1" a="1"/>
  <c r="O399" i="17" s="1"/>
  <c r="K399" i="17"/>
  <c r="L399" i="17"/>
  <c r="M399" i="17" s="1"/>
  <c r="I400" i="17"/>
  <c r="N400" i="17" s="1" a="1"/>
  <c r="N400" i="17" s="1"/>
  <c r="J400" i="17"/>
  <c r="O400" i="17" s="1" a="1"/>
  <c r="O400" i="17" s="1"/>
  <c r="K400" i="17"/>
  <c r="L400" i="17"/>
  <c r="M400" i="17" s="1"/>
  <c r="I401" i="17"/>
  <c r="N401" i="17" s="1" a="1"/>
  <c r="N401" i="17" s="1"/>
  <c r="J401" i="17"/>
  <c r="O401" i="17" s="1" a="1"/>
  <c r="O401" i="17" s="1"/>
  <c r="K401" i="17"/>
  <c r="L401" i="17"/>
  <c r="M401" i="17" s="1"/>
  <c r="I402" i="17"/>
  <c r="N402" i="17" s="1" a="1"/>
  <c r="N402" i="17" s="1"/>
  <c r="J402" i="17"/>
  <c r="O402" i="17" s="1" a="1"/>
  <c r="O402" i="17" s="1"/>
  <c r="K402" i="17"/>
  <c r="L402" i="17"/>
  <c r="M402" i="17" s="1"/>
  <c r="I403" i="17"/>
  <c r="N403" i="17" s="1" a="1"/>
  <c r="N403" i="17" s="1"/>
  <c r="J403" i="17"/>
  <c r="O403" i="17" s="1" a="1"/>
  <c r="O403" i="17" s="1"/>
  <c r="K403" i="17"/>
  <c r="L403" i="17"/>
  <c r="M403" i="17" s="1"/>
  <c r="I404" i="17"/>
  <c r="N404" i="17" s="1" a="1"/>
  <c r="N404" i="17" s="1"/>
  <c r="J404" i="17"/>
  <c r="O404" i="17" s="1" a="1"/>
  <c r="O404" i="17" s="1"/>
  <c r="K404" i="17"/>
  <c r="L404" i="17"/>
  <c r="M404" i="17" s="1"/>
  <c r="I405" i="17"/>
  <c r="N405" i="17" s="1" a="1"/>
  <c r="N405" i="17" s="1"/>
  <c r="J405" i="17"/>
  <c r="O405" i="17" s="1" a="1"/>
  <c r="O405" i="17" s="1"/>
  <c r="K405" i="17"/>
  <c r="L405" i="17"/>
  <c r="M405" i="17" s="1"/>
  <c r="I406" i="17"/>
  <c r="N406" i="17" s="1" a="1"/>
  <c r="N406" i="17" s="1"/>
  <c r="J406" i="17"/>
  <c r="O406" i="17" s="1" a="1"/>
  <c r="O406" i="17" s="1"/>
  <c r="K406" i="17"/>
  <c r="L406" i="17"/>
  <c r="M406" i="17" s="1"/>
  <c r="I407" i="17"/>
  <c r="N407" i="17" s="1" a="1"/>
  <c r="N407" i="17" s="1"/>
  <c r="J407" i="17"/>
  <c r="O407" i="17" s="1" a="1"/>
  <c r="O407" i="17" s="1"/>
  <c r="K407" i="17"/>
  <c r="L407" i="17"/>
  <c r="M407" i="17" s="1"/>
  <c r="I408" i="17"/>
  <c r="N408" i="17" s="1" a="1"/>
  <c r="N408" i="17" s="1"/>
  <c r="J408" i="17"/>
  <c r="O408" i="17" s="1" a="1"/>
  <c r="O408" i="17" s="1"/>
  <c r="K408" i="17"/>
  <c r="L408" i="17"/>
  <c r="M408" i="17" s="1"/>
  <c r="I409" i="17"/>
  <c r="N409" i="17" s="1" a="1"/>
  <c r="N409" i="17" s="1"/>
  <c r="J409" i="17"/>
  <c r="O409" i="17" s="1" a="1"/>
  <c r="O409" i="17" s="1"/>
  <c r="K409" i="17"/>
  <c r="L409" i="17"/>
  <c r="M409" i="17" s="1"/>
  <c r="I410" i="17"/>
  <c r="N410" i="17" s="1" a="1"/>
  <c r="N410" i="17" s="1"/>
  <c r="J410" i="17"/>
  <c r="O410" i="17" s="1" a="1"/>
  <c r="O410" i="17" s="1"/>
  <c r="K410" i="17"/>
  <c r="L410" i="17"/>
  <c r="M410" i="17" s="1"/>
  <c r="I411" i="17"/>
  <c r="N411" i="17" s="1" a="1"/>
  <c r="N411" i="17" s="1"/>
  <c r="J411" i="17"/>
  <c r="O411" i="17" s="1" a="1"/>
  <c r="O411" i="17" s="1"/>
  <c r="K411" i="17"/>
  <c r="L411" i="17"/>
  <c r="M411" i="17" s="1"/>
  <c r="I412" i="17"/>
  <c r="N412" i="17" s="1" a="1"/>
  <c r="N412" i="17" s="1"/>
  <c r="J412" i="17"/>
  <c r="O412" i="17" s="1" a="1"/>
  <c r="O412" i="17" s="1"/>
  <c r="K412" i="17"/>
  <c r="L412" i="17"/>
  <c r="M412" i="17" s="1"/>
  <c r="I413" i="17"/>
  <c r="N413" i="17" s="1" a="1"/>
  <c r="N413" i="17" s="1"/>
  <c r="J413" i="17"/>
  <c r="O413" i="17" s="1" a="1"/>
  <c r="O413" i="17" s="1"/>
  <c r="K413" i="17"/>
  <c r="L413" i="17"/>
  <c r="M413" i="17" s="1"/>
  <c r="I414" i="17"/>
  <c r="N414" i="17" s="1" a="1"/>
  <c r="N414" i="17" s="1"/>
  <c r="J414" i="17"/>
  <c r="O414" i="17" s="1" a="1"/>
  <c r="O414" i="17" s="1"/>
  <c r="K414" i="17"/>
  <c r="L414" i="17"/>
  <c r="M414" i="17" s="1"/>
  <c r="I415" i="17"/>
  <c r="N415" i="17" s="1" a="1"/>
  <c r="N415" i="17" s="1"/>
  <c r="J415" i="17"/>
  <c r="O415" i="17" s="1" a="1"/>
  <c r="O415" i="17" s="1"/>
  <c r="K415" i="17"/>
  <c r="L415" i="17"/>
  <c r="M415" i="17" s="1"/>
  <c r="I416" i="17"/>
  <c r="N416" i="17" s="1" a="1"/>
  <c r="N416" i="17" s="1"/>
  <c r="J416" i="17"/>
  <c r="O416" i="17" s="1" a="1"/>
  <c r="O416" i="17" s="1"/>
  <c r="K416" i="17"/>
  <c r="L416" i="17"/>
  <c r="M416" i="17" s="1"/>
  <c r="I417" i="17"/>
  <c r="N417" i="17" s="1" a="1"/>
  <c r="N417" i="17" s="1"/>
  <c r="J417" i="17"/>
  <c r="O417" i="17" s="1" a="1"/>
  <c r="O417" i="17" s="1"/>
  <c r="K417" i="17"/>
  <c r="L417" i="17"/>
  <c r="M417" i="17" s="1"/>
  <c r="I418" i="17"/>
  <c r="N418" i="17" s="1" a="1"/>
  <c r="N418" i="17" s="1"/>
  <c r="J418" i="17"/>
  <c r="O418" i="17" s="1" a="1"/>
  <c r="O418" i="17" s="1"/>
  <c r="K418" i="17"/>
  <c r="L418" i="17"/>
  <c r="M418" i="17" s="1"/>
  <c r="I419" i="17"/>
  <c r="N419" i="17" s="1" a="1"/>
  <c r="N419" i="17" s="1"/>
  <c r="J419" i="17"/>
  <c r="O419" i="17" s="1" a="1"/>
  <c r="O419" i="17" s="1"/>
  <c r="K419" i="17"/>
  <c r="L419" i="17"/>
  <c r="M419" i="17" s="1"/>
  <c r="I420" i="17"/>
  <c r="N420" i="17" s="1" a="1"/>
  <c r="N420" i="17" s="1"/>
  <c r="J420" i="17"/>
  <c r="O420" i="17" s="1" a="1"/>
  <c r="O420" i="17" s="1"/>
  <c r="K420" i="17"/>
  <c r="L420" i="17"/>
  <c r="M420" i="17" s="1"/>
  <c r="I421" i="17"/>
  <c r="N421" i="17" s="1" a="1"/>
  <c r="N421" i="17" s="1"/>
  <c r="J421" i="17"/>
  <c r="O421" i="17" s="1" a="1"/>
  <c r="O421" i="17" s="1"/>
  <c r="K421" i="17"/>
  <c r="L421" i="17"/>
  <c r="M421" i="17" s="1"/>
  <c r="I422" i="17"/>
  <c r="N422" i="17" s="1" a="1"/>
  <c r="N422" i="17" s="1"/>
  <c r="J422" i="17"/>
  <c r="O422" i="17" s="1" a="1"/>
  <c r="O422" i="17" s="1"/>
  <c r="K422" i="17"/>
  <c r="L422" i="17"/>
  <c r="M422" i="17" s="1"/>
  <c r="I423" i="17"/>
  <c r="N423" i="17" s="1" a="1"/>
  <c r="N423" i="17" s="1"/>
  <c r="J423" i="17"/>
  <c r="O423" i="17" s="1" a="1"/>
  <c r="O423" i="17" s="1"/>
  <c r="K423" i="17"/>
  <c r="L423" i="17"/>
  <c r="M423" i="17" s="1"/>
  <c r="I424" i="17"/>
  <c r="N424" i="17" s="1" a="1"/>
  <c r="N424" i="17" s="1"/>
  <c r="J424" i="17"/>
  <c r="O424" i="17" s="1" a="1"/>
  <c r="O424" i="17" s="1"/>
  <c r="K424" i="17"/>
  <c r="L424" i="17"/>
  <c r="M424" i="17" s="1"/>
  <c r="I425" i="17"/>
  <c r="N425" i="17" s="1" a="1"/>
  <c r="N425" i="17" s="1"/>
  <c r="J425" i="17"/>
  <c r="O425" i="17" s="1" a="1"/>
  <c r="O425" i="17" s="1"/>
  <c r="K425" i="17"/>
  <c r="L425" i="17"/>
  <c r="M425" i="17" s="1"/>
  <c r="I426" i="17"/>
  <c r="N426" i="17" s="1" a="1"/>
  <c r="N426" i="17" s="1"/>
  <c r="J426" i="17"/>
  <c r="O426" i="17" s="1" a="1"/>
  <c r="O426" i="17" s="1"/>
  <c r="K426" i="17"/>
  <c r="L426" i="17"/>
  <c r="M426" i="17" s="1"/>
  <c r="I427" i="17"/>
  <c r="N427" i="17" s="1" a="1"/>
  <c r="N427" i="17" s="1"/>
  <c r="J427" i="17"/>
  <c r="O427" i="17" s="1" a="1"/>
  <c r="O427" i="17" s="1"/>
  <c r="K427" i="17"/>
  <c r="L427" i="17"/>
  <c r="M427" i="17" s="1"/>
  <c r="I428" i="17"/>
  <c r="N428" i="17" s="1" a="1"/>
  <c r="N428" i="17" s="1"/>
  <c r="J428" i="17"/>
  <c r="O428" i="17" s="1" a="1"/>
  <c r="O428" i="17" s="1"/>
  <c r="K428" i="17"/>
  <c r="L428" i="17"/>
  <c r="M428" i="17" s="1"/>
  <c r="I429" i="17"/>
  <c r="N429" i="17" s="1" a="1"/>
  <c r="N429" i="17" s="1"/>
  <c r="J429" i="17"/>
  <c r="O429" i="17" s="1" a="1"/>
  <c r="O429" i="17" s="1"/>
  <c r="K429" i="17"/>
  <c r="L429" i="17"/>
  <c r="M429" i="17" s="1"/>
  <c r="I430" i="17"/>
  <c r="N430" i="17" s="1" a="1"/>
  <c r="N430" i="17" s="1"/>
  <c r="J430" i="17"/>
  <c r="O430" i="17" s="1" a="1"/>
  <c r="O430" i="17" s="1"/>
  <c r="K430" i="17"/>
  <c r="L430" i="17"/>
  <c r="M430" i="17" s="1"/>
  <c r="I431" i="17"/>
  <c r="N431" i="17" s="1" a="1"/>
  <c r="N431" i="17" s="1"/>
  <c r="J431" i="17"/>
  <c r="O431" i="17" s="1" a="1"/>
  <c r="O431" i="17" s="1"/>
  <c r="K431" i="17"/>
  <c r="L431" i="17"/>
  <c r="M431" i="17" s="1"/>
  <c r="I432" i="17"/>
  <c r="N432" i="17" s="1" a="1"/>
  <c r="N432" i="17" s="1"/>
  <c r="J432" i="17"/>
  <c r="O432" i="17" s="1" a="1"/>
  <c r="O432" i="17" s="1"/>
  <c r="K432" i="17"/>
  <c r="L432" i="17"/>
  <c r="M432" i="17" s="1"/>
  <c r="I433" i="17"/>
  <c r="N433" i="17" s="1" a="1"/>
  <c r="N433" i="17" s="1"/>
  <c r="J433" i="17"/>
  <c r="O433" i="17" s="1" a="1"/>
  <c r="O433" i="17" s="1"/>
  <c r="K433" i="17"/>
  <c r="L433" i="17"/>
  <c r="M433" i="17" s="1"/>
  <c r="I434" i="17"/>
  <c r="N434" i="17" s="1" a="1"/>
  <c r="N434" i="17" s="1"/>
  <c r="J434" i="17"/>
  <c r="O434" i="17" s="1" a="1"/>
  <c r="O434" i="17" s="1"/>
  <c r="K434" i="17"/>
  <c r="L434" i="17"/>
  <c r="M434" i="17" s="1"/>
  <c r="I435" i="17"/>
  <c r="N435" i="17" s="1" a="1"/>
  <c r="N435" i="17" s="1"/>
  <c r="J435" i="17"/>
  <c r="O435" i="17" s="1" a="1"/>
  <c r="O435" i="17" s="1"/>
  <c r="K435" i="17"/>
  <c r="L435" i="17"/>
  <c r="M435" i="17" s="1"/>
  <c r="I436" i="17"/>
  <c r="N436" i="17" s="1" a="1"/>
  <c r="N436" i="17" s="1"/>
  <c r="J436" i="17"/>
  <c r="O436" i="17" s="1" a="1"/>
  <c r="O436" i="17" s="1"/>
  <c r="K436" i="17"/>
  <c r="L436" i="17"/>
  <c r="M436" i="17" s="1"/>
  <c r="I437" i="17"/>
  <c r="N437" i="17" s="1" a="1"/>
  <c r="N437" i="17" s="1"/>
  <c r="J437" i="17"/>
  <c r="O437" i="17" s="1" a="1"/>
  <c r="O437" i="17" s="1"/>
  <c r="K437" i="17"/>
  <c r="L437" i="17"/>
  <c r="M437" i="17" s="1"/>
  <c r="I438" i="17"/>
  <c r="N438" i="17" s="1" a="1"/>
  <c r="N438" i="17" s="1"/>
  <c r="J438" i="17"/>
  <c r="O438" i="17" s="1" a="1"/>
  <c r="O438" i="17" s="1"/>
  <c r="K438" i="17"/>
  <c r="L438" i="17"/>
  <c r="M438" i="17" s="1"/>
  <c r="I439" i="17"/>
  <c r="N439" i="17" s="1" a="1"/>
  <c r="N439" i="17" s="1"/>
  <c r="J439" i="17"/>
  <c r="O439" i="17" s="1" a="1"/>
  <c r="O439" i="17" s="1"/>
  <c r="K439" i="17"/>
  <c r="L439" i="17"/>
  <c r="M439" i="17" s="1"/>
  <c r="I440" i="17"/>
  <c r="N440" i="17" s="1" a="1"/>
  <c r="N440" i="17" s="1"/>
  <c r="J440" i="17"/>
  <c r="O440" i="17" s="1" a="1"/>
  <c r="O440" i="17" s="1"/>
  <c r="K440" i="17"/>
  <c r="L440" i="17"/>
  <c r="M440" i="17" s="1"/>
  <c r="I441" i="17"/>
  <c r="N441" i="17" s="1" a="1"/>
  <c r="N441" i="17" s="1"/>
  <c r="J441" i="17"/>
  <c r="O441" i="17" s="1" a="1"/>
  <c r="O441" i="17" s="1"/>
  <c r="K441" i="17"/>
  <c r="L441" i="17"/>
  <c r="M441" i="17" s="1"/>
  <c r="I442" i="17"/>
  <c r="N442" i="17" s="1" a="1"/>
  <c r="N442" i="17" s="1"/>
  <c r="J442" i="17"/>
  <c r="O442" i="17" s="1" a="1"/>
  <c r="O442" i="17" s="1"/>
  <c r="K442" i="17"/>
  <c r="L442" i="17"/>
  <c r="M442" i="17" s="1"/>
  <c r="I443" i="17"/>
  <c r="N443" i="17" s="1" a="1"/>
  <c r="N443" i="17" s="1"/>
  <c r="J443" i="17"/>
  <c r="O443" i="17" s="1" a="1"/>
  <c r="O443" i="17" s="1"/>
  <c r="K443" i="17"/>
  <c r="L443" i="17"/>
  <c r="M443" i="17" s="1"/>
  <c r="I444" i="17"/>
  <c r="N444" i="17" s="1" a="1"/>
  <c r="N444" i="17" s="1"/>
  <c r="J444" i="17"/>
  <c r="O444" i="17" s="1" a="1"/>
  <c r="O444" i="17" s="1"/>
  <c r="K444" i="17"/>
  <c r="L444" i="17"/>
  <c r="M444" i="17" s="1"/>
  <c r="I445" i="17"/>
  <c r="N445" i="17" s="1" a="1"/>
  <c r="N445" i="17" s="1"/>
  <c r="J445" i="17"/>
  <c r="O445" i="17" s="1" a="1"/>
  <c r="O445" i="17" s="1"/>
  <c r="K445" i="17"/>
  <c r="L445" i="17"/>
  <c r="M445" i="17" s="1"/>
  <c r="I446" i="17"/>
  <c r="N446" i="17" s="1" a="1"/>
  <c r="N446" i="17" s="1"/>
  <c r="J446" i="17"/>
  <c r="O446" i="17" s="1" a="1"/>
  <c r="O446" i="17" s="1"/>
  <c r="K446" i="17"/>
  <c r="L446" i="17"/>
  <c r="M446" i="17" s="1"/>
  <c r="I447" i="17"/>
  <c r="N447" i="17" s="1" a="1"/>
  <c r="N447" i="17" s="1"/>
  <c r="J447" i="17"/>
  <c r="O447" i="17" s="1" a="1"/>
  <c r="O447" i="17" s="1"/>
  <c r="K447" i="17"/>
  <c r="L447" i="17"/>
  <c r="M447" i="17" s="1"/>
  <c r="I448" i="17"/>
  <c r="N448" i="17" s="1" a="1"/>
  <c r="N448" i="17" s="1"/>
  <c r="J448" i="17"/>
  <c r="O448" i="17" s="1" a="1"/>
  <c r="O448" i="17" s="1"/>
  <c r="K448" i="17"/>
  <c r="L448" i="17"/>
  <c r="M448" i="17" s="1"/>
  <c r="I449" i="17"/>
  <c r="N449" i="17" s="1" a="1"/>
  <c r="N449" i="17" s="1"/>
  <c r="J449" i="17"/>
  <c r="O449" i="17" s="1" a="1"/>
  <c r="O449" i="17" s="1"/>
  <c r="K449" i="17"/>
  <c r="L449" i="17"/>
  <c r="M449" i="17" s="1"/>
  <c r="I450" i="17"/>
  <c r="N450" i="17" s="1" a="1"/>
  <c r="N450" i="17" s="1"/>
  <c r="J450" i="17"/>
  <c r="O450" i="17" s="1" a="1"/>
  <c r="O450" i="17" s="1"/>
  <c r="K450" i="17"/>
  <c r="L450" i="17"/>
  <c r="M450" i="17" s="1"/>
  <c r="I451" i="17"/>
  <c r="N451" i="17" s="1" a="1"/>
  <c r="N451" i="17" s="1"/>
  <c r="J451" i="17"/>
  <c r="O451" i="17" s="1" a="1"/>
  <c r="O451" i="17" s="1"/>
  <c r="K451" i="17"/>
  <c r="L451" i="17"/>
  <c r="M451" i="17" s="1"/>
  <c r="I452" i="17"/>
  <c r="N452" i="17" s="1" a="1"/>
  <c r="N452" i="17" s="1"/>
  <c r="J452" i="17"/>
  <c r="O452" i="17" s="1" a="1"/>
  <c r="O452" i="17" s="1"/>
  <c r="K452" i="17"/>
  <c r="L452" i="17"/>
  <c r="M452" i="17" s="1"/>
  <c r="I453" i="17"/>
  <c r="N453" i="17" s="1" a="1"/>
  <c r="N453" i="17" s="1"/>
  <c r="J453" i="17"/>
  <c r="O453" i="17" s="1" a="1"/>
  <c r="O453" i="17" s="1"/>
  <c r="K453" i="17"/>
  <c r="L453" i="17"/>
  <c r="M453" i="17" s="1"/>
  <c r="I454" i="17"/>
  <c r="N454" i="17" s="1" a="1"/>
  <c r="N454" i="17" s="1"/>
  <c r="J454" i="17"/>
  <c r="O454" i="17" s="1" a="1"/>
  <c r="O454" i="17" s="1"/>
  <c r="K454" i="17"/>
  <c r="L454" i="17"/>
  <c r="M454" i="17" s="1"/>
  <c r="I455" i="17"/>
  <c r="N455" i="17" s="1" a="1"/>
  <c r="N455" i="17" s="1"/>
  <c r="J455" i="17"/>
  <c r="O455" i="17" s="1" a="1"/>
  <c r="O455" i="17" s="1"/>
  <c r="K455" i="17"/>
  <c r="L455" i="17"/>
  <c r="M455" i="17" s="1"/>
  <c r="I456" i="17"/>
  <c r="N456" i="17" s="1" a="1"/>
  <c r="N456" i="17" s="1"/>
  <c r="J456" i="17"/>
  <c r="O456" i="17" s="1" a="1"/>
  <c r="O456" i="17" s="1"/>
  <c r="K456" i="17"/>
  <c r="L456" i="17"/>
  <c r="M456" i="17" s="1"/>
  <c r="I457" i="17"/>
  <c r="N457" i="17" s="1" a="1"/>
  <c r="N457" i="17" s="1"/>
  <c r="J457" i="17"/>
  <c r="O457" i="17" s="1" a="1"/>
  <c r="O457" i="17" s="1"/>
  <c r="K457" i="17"/>
  <c r="L457" i="17"/>
  <c r="M457" i="17" s="1"/>
  <c r="I458" i="17"/>
  <c r="N458" i="17" s="1" a="1"/>
  <c r="N458" i="17" s="1"/>
  <c r="J458" i="17"/>
  <c r="O458" i="17" s="1" a="1"/>
  <c r="O458" i="17" s="1"/>
  <c r="K458" i="17"/>
  <c r="L458" i="17"/>
  <c r="M458" i="17" s="1"/>
  <c r="I459" i="17"/>
  <c r="N459" i="17" s="1" a="1"/>
  <c r="N459" i="17" s="1"/>
  <c r="J459" i="17"/>
  <c r="O459" i="17" s="1" a="1"/>
  <c r="O459" i="17" s="1"/>
  <c r="K459" i="17"/>
  <c r="L459" i="17"/>
  <c r="M459" i="17" s="1"/>
  <c r="I460" i="17"/>
  <c r="N460" i="17" s="1" a="1"/>
  <c r="N460" i="17" s="1"/>
  <c r="J460" i="17"/>
  <c r="O460" i="17" s="1" a="1"/>
  <c r="O460" i="17" s="1"/>
  <c r="K460" i="17"/>
  <c r="L460" i="17"/>
  <c r="M460" i="17" s="1"/>
  <c r="I461" i="17"/>
  <c r="N461" i="17" s="1" a="1"/>
  <c r="N461" i="17" s="1"/>
  <c r="J461" i="17"/>
  <c r="O461" i="17" s="1" a="1"/>
  <c r="O461" i="17" s="1"/>
  <c r="K461" i="17"/>
  <c r="L461" i="17"/>
  <c r="M461" i="17" s="1"/>
  <c r="I462" i="17"/>
  <c r="N462" i="17" s="1" a="1"/>
  <c r="N462" i="17" s="1"/>
  <c r="J462" i="17"/>
  <c r="O462" i="17" s="1" a="1"/>
  <c r="O462" i="17" s="1"/>
  <c r="K462" i="17"/>
  <c r="L462" i="17"/>
  <c r="M462" i="17" s="1"/>
  <c r="I463" i="17"/>
  <c r="N463" i="17" s="1" a="1"/>
  <c r="N463" i="17" s="1"/>
  <c r="J463" i="17"/>
  <c r="O463" i="17" s="1" a="1"/>
  <c r="O463" i="17" s="1"/>
  <c r="K463" i="17"/>
  <c r="L463" i="17"/>
  <c r="M463" i="17" s="1"/>
  <c r="I464" i="17"/>
  <c r="N464" i="17" s="1" a="1"/>
  <c r="N464" i="17" s="1"/>
  <c r="J464" i="17"/>
  <c r="O464" i="17" s="1" a="1"/>
  <c r="O464" i="17" s="1"/>
  <c r="K464" i="17"/>
  <c r="L464" i="17"/>
  <c r="M464" i="17" s="1"/>
  <c r="I465" i="17"/>
  <c r="N465" i="17" s="1" a="1"/>
  <c r="N465" i="17" s="1"/>
  <c r="J465" i="17"/>
  <c r="O465" i="17" s="1" a="1"/>
  <c r="O465" i="17" s="1"/>
  <c r="K465" i="17"/>
  <c r="L465" i="17"/>
  <c r="M465" i="17" s="1"/>
  <c r="I466" i="17"/>
  <c r="N466" i="17" s="1" a="1"/>
  <c r="N466" i="17" s="1"/>
  <c r="J466" i="17"/>
  <c r="O466" i="17" s="1" a="1"/>
  <c r="O466" i="17" s="1"/>
  <c r="K466" i="17"/>
  <c r="L466" i="17"/>
  <c r="M466" i="17" s="1"/>
  <c r="I467" i="17"/>
  <c r="N467" i="17" s="1" a="1"/>
  <c r="N467" i="17" s="1"/>
  <c r="J467" i="17"/>
  <c r="O467" i="17" s="1" a="1"/>
  <c r="O467" i="17" s="1"/>
  <c r="K467" i="17"/>
  <c r="L467" i="17"/>
  <c r="M467" i="17" s="1"/>
  <c r="I468" i="17"/>
  <c r="N468" i="17" s="1" a="1"/>
  <c r="N468" i="17" s="1"/>
  <c r="J468" i="17"/>
  <c r="O468" i="17" s="1" a="1"/>
  <c r="O468" i="17" s="1"/>
  <c r="K468" i="17"/>
  <c r="L468" i="17"/>
  <c r="M468" i="17" s="1"/>
  <c r="I469" i="17"/>
  <c r="N469" i="17" s="1" a="1"/>
  <c r="N469" i="17" s="1"/>
  <c r="J469" i="17"/>
  <c r="O469" i="17" s="1" a="1"/>
  <c r="O469" i="17" s="1"/>
  <c r="K469" i="17"/>
  <c r="L469" i="17"/>
  <c r="M469" i="17" s="1"/>
  <c r="I470" i="17"/>
  <c r="N470" i="17" s="1" a="1"/>
  <c r="N470" i="17" s="1"/>
  <c r="J470" i="17"/>
  <c r="O470" i="17" s="1" a="1"/>
  <c r="O470" i="17" s="1"/>
  <c r="K470" i="17"/>
  <c r="L470" i="17"/>
  <c r="M470" i="17" s="1"/>
  <c r="I471" i="17"/>
  <c r="N471" i="17" s="1" a="1"/>
  <c r="N471" i="17" s="1"/>
  <c r="J471" i="17"/>
  <c r="O471" i="17" s="1" a="1"/>
  <c r="O471" i="17" s="1"/>
  <c r="K471" i="17"/>
  <c r="L471" i="17"/>
  <c r="M471" i="17" s="1"/>
  <c r="I472" i="17"/>
  <c r="N472" i="17" s="1" a="1"/>
  <c r="N472" i="17" s="1"/>
  <c r="J472" i="17"/>
  <c r="O472" i="17" s="1" a="1"/>
  <c r="O472" i="17" s="1"/>
  <c r="K472" i="17"/>
  <c r="L472" i="17"/>
  <c r="M472" i="17" s="1"/>
  <c r="I473" i="17"/>
  <c r="N473" i="17" s="1" a="1"/>
  <c r="N473" i="17" s="1"/>
  <c r="J473" i="17"/>
  <c r="O473" i="17" s="1" a="1"/>
  <c r="O473" i="17" s="1"/>
  <c r="K473" i="17"/>
  <c r="L473" i="17"/>
  <c r="M473" i="17" s="1"/>
  <c r="I474" i="17"/>
  <c r="N474" i="17" s="1" a="1"/>
  <c r="N474" i="17" s="1"/>
  <c r="J474" i="17"/>
  <c r="O474" i="17" s="1" a="1"/>
  <c r="O474" i="17" s="1"/>
  <c r="K474" i="17"/>
  <c r="L474" i="17"/>
  <c r="M474" i="17" s="1"/>
  <c r="I475" i="17"/>
  <c r="N475" i="17" s="1" a="1"/>
  <c r="N475" i="17" s="1"/>
  <c r="J475" i="17"/>
  <c r="O475" i="17" s="1" a="1"/>
  <c r="O475" i="17" s="1"/>
  <c r="K475" i="17"/>
  <c r="L475" i="17"/>
  <c r="M475" i="17" s="1"/>
  <c r="I476" i="17"/>
  <c r="N476" i="17" s="1" a="1"/>
  <c r="N476" i="17" s="1"/>
  <c r="J476" i="17"/>
  <c r="O476" i="17" s="1" a="1"/>
  <c r="O476" i="17" s="1"/>
  <c r="K476" i="17"/>
  <c r="L476" i="17"/>
  <c r="M476" i="17" s="1"/>
  <c r="I477" i="17"/>
  <c r="N477" i="17" s="1" a="1"/>
  <c r="N477" i="17" s="1"/>
  <c r="J477" i="17"/>
  <c r="O477" i="17" s="1" a="1"/>
  <c r="O477" i="17" s="1"/>
  <c r="K477" i="17"/>
  <c r="L477" i="17"/>
  <c r="M477" i="17" s="1"/>
  <c r="I478" i="17"/>
  <c r="N478" i="17" s="1" a="1"/>
  <c r="N478" i="17" s="1"/>
  <c r="J478" i="17"/>
  <c r="O478" i="17" s="1" a="1"/>
  <c r="O478" i="17" s="1"/>
  <c r="K478" i="17"/>
  <c r="L478" i="17"/>
  <c r="M478" i="17" s="1"/>
  <c r="I479" i="17"/>
  <c r="N479" i="17" s="1" a="1"/>
  <c r="N479" i="17" s="1"/>
  <c r="J479" i="17"/>
  <c r="O479" i="17" s="1" a="1"/>
  <c r="O479" i="17" s="1"/>
  <c r="K479" i="17"/>
  <c r="L479" i="17"/>
  <c r="M479" i="17" s="1"/>
  <c r="I480" i="17"/>
  <c r="N480" i="17" s="1" a="1"/>
  <c r="N480" i="17" s="1"/>
  <c r="J480" i="17"/>
  <c r="O480" i="17" s="1" a="1"/>
  <c r="O480" i="17" s="1"/>
  <c r="K480" i="17"/>
  <c r="L480" i="17"/>
  <c r="M480" i="17" s="1"/>
  <c r="I481" i="17"/>
  <c r="N481" i="17" s="1" a="1"/>
  <c r="N481" i="17" s="1"/>
  <c r="J481" i="17"/>
  <c r="O481" i="17" s="1" a="1"/>
  <c r="O481" i="17" s="1"/>
  <c r="K481" i="17"/>
  <c r="L481" i="17"/>
  <c r="M481" i="17" s="1"/>
  <c r="I482" i="17"/>
  <c r="N482" i="17" s="1" a="1"/>
  <c r="N482" i="17" s="1"/>
  <c r="J482" i="17"/>
  <c r="O482" i="17" s="1" a="1"/>
  <c r="O482" i="17" s="1"/>
  <c r="K482" i="17"/>
  <c r="L482" i="17"/>
  <c r="M482" i="17" s="1"/>
  <c r="I483" i="17"/>
  <c r="N483" i="17" s="1" a="1"/>
  <c r="N483" i="17" s="1"/>
  <c r="J483" i="17"/>
  <c r="O483" i="17" s="1" a="1"/>
  <c r="O483" i="17" s="1"/>
  <c r="K483" i="17"/>
  <c r="L483" i="17"/>
  <c r="M483" i="17" s="1"/>
  <c r="I484" i="17"/>
  <c r="N484" i="17" s="1" a="1"/>
  <c r="N484" i="17" s="1"/>
  <c r="J484" i="17"/>
  <c r="O484" i="17" s="1" a="1"/>
  <c r="O484" i="17" s="1"/>
  <c r="K484" i="17"/>
  <c r="L484" i="17"/>
  <c r="M484" i="17" s="1"/>
  <c r="I485" i="17"/>
  <c r="N485" i="17" s="1" a="1"/>
  <c r="N485" i="17" s="1"/>
  <c r="J485" i="17"/>
  <c r="O485" i="17" s="1" a="1"/>
  <c r="O485" i="17" s="1"/>
  <c r="K485" i="17"/>
  <c r="L485" i="17"/>
  <c r="M485" i="17" s="1"/>
  <c r="I486" i="17"/>
  <c r="N486" i="17" s="1" a="1"/>
  <c r="N486" i="17" s="1"/>
  <c r="J486" i="17"/>
  <c r="O486" i="17" s="1" a="1"/>
  <c r="O486" i="17" s="1"/>
  <c r="K486" i="17"/>
  <c r="L486" i="17"/>
  <c r="M486" i="17" s="1"/>
  <c r="I487" i="17"/>
  <c r="N487" i="17" s="1" a="1"/>
  <c r="N487" i="17" s="1"/>
  <c r="J487" i="17"/>
  <c r="O487" i="17" s="1" a="1"/>
  <c r="O487" i="17" s="1"/>
  <c r="K487" i="17"/>
  <c r="L487" i="17"/>
  <c r="M487" i="17" s="1"/>
  <c r="I488" i="17"/>
  <c r="N488" i="17" s="1" a="1"/>
  <c r="N488" i="17" s="1"/>
  <c r="J488" i="17"/>
  <c r="O488" i="17" s="1" a="1"/>
  <c r="O488" i="17" s="1"/>
  <c r="K488" i="17"/>
  <c r="L488" i="17"/>
  <c r="M488" i="17" s="1"/>
  <c r="I489" i="17"/>
  <c r="N489" i="17" s="1" a="1"/>
  <c r="N489" i="17" s="1"/>
  <c r="J489" i="17"/>
  <c r="O489" i="17" s="1" a="1"/>
  <c r="O489" i="17" s="1"/>
  <c r="K489" i="17"/>
  <c r="L489" i="17"/>
  <c r="M489" i="17" s="1"/>
  <c r="I490" i="17"/>
  <c r="N490" i="17" s="1" a="1"/>
  <c r="N490" i="17" s="1"/>
  <c r="J490" i="17"/>
  <c r="O490" i="17" s="1" a="1"/>
  <c r="O490" i="17" s="1"/>
  <c r="K490" i="17"/>
  <c r="L490" i="17"/>
  <c r="M490" i="17" s="1"/>
  <c r="I491" i="17"/>
  <c r="N491" i="17" s="1" a="1"/>
  <c r="N491" i="17" s="1"/>
  <c r="J491" i="17"/>
  <c r="O491" i="17" s="1" a="1"/>
  <c r="O491" i="17" s="1"/>
  <c r="K491" i="17"/>
  <c r="L491" i="17"/>
  <c r="M491" i="17" s="1"/>
  <c r="I492" i="17"/>
  <c r="N492" i="17" s="1" a="1"/>
  <c r="N492" i="17" s="1"/>
  <c r="J492" i="17"/>
  <c r="O492" i="17" s="1" a="1"/>
  <c r="O492" i="17" s="1"/>
  <c r="K492" i="17"/>
  <c r="L492" i="17"/>
  <c r="M492" i="17" s="1"/>
  <c r="I493" i="17"/>
  <c r="N493" i="17" s="1" a="1"/>
  <c r="N493" i="17" s="1"/>
  <c r="J493" i="17"/>
  <c r="O493" i="17" s="1" a="1"/>
  <c r="O493" i="17" s="1"/>
  <c r="K493" i="17"/>
  <c r="L493" i="17"/>
  <c r="M493" i="17" s="1"/>
  <c r="I494" i="17"/>
  <c r="N494" i="17" s="1" a="1"/>
  <c r="N494" i="17" s="1"/>
  <c r="J494" i="17"/>
  <c r="O494" i="17" s="1" a="1"/>
  <c r="O494" i="17" s="1"/>
  <c r="K494" i="17"/>
  <c r="L494" i="17"/>
  <c r="M494" i="17" s="1"/>
  <c r="I495" i="17"/>
  <c r="N495" i="17" s="1" a="1"/>
  <c r="N495" i="17" s="1"/>
  <c r="J495" i="17"/>
  <c r="O495" i="17" s="1" a="1"/>
  <c r="O495" i="17" s="1"/>
  <c r="K495" i="17"/>
  <c r="L495" i="17"/>
  <c r="M495" i="17" s="1"/>
  <c r="I496" i="17"/>
  <c r="N496" i="17" s="1" a="1"/>
  <c r="N496" i="17" s="1"/>
  <c r="J496" i="17"/>
  <c r="O496" i="17" s="1" a="1"/>
  <c r="O496" i="17" s="1"/>
  <c r="K496" i="17"/>
  <c r="L496" i="17"/>
  <c r="M496" i="17" s="1"/>
  <c r="I497" i="17"/>
  <c r="N497" i="17" s="1" a="1"/>
  <c r="N497" i="17" s="1"/>
  <c r="J497" i="17"/>
  <c r="O497" i="17" s="1" a="1"/>
  <c r="O497" i="17" s="1"/>
  <c r="K497" i="17"/>
  <c r="L497" i="17"/>
  <c r="M497" i="17" s="1"/>
  <c r="I498" i="17"/>
  <c r="N498" i="17" s="1" a="1"/>
  <c r="N498" i="17" s="1"/>
  <c r="J498" i="17"/>
  <c r="O498" i="17" s="1" a="1"/>
  <c r="O498" i="17" s="1"/>
  <c r="K498" i="17"/>
  <c r="L498" i="17"/>
  <c r="M498" i="17" s="1"/>
  <c r="I499" i="17"/>
  <c r="N499" i="17" s="1" a="1"/>
  <c r="N499" i="17" s="1"/>
  <c r="J499" i="17"/>
  <c r="O499" i="17" s="1" a="1"/>
  <c r="O499" i="17" s="1"/>
  <c r="K499" i="17"/>
  <c r="L499" i="17"/>
  <c r="M499" i="17" s="1"/>
  <c r="I500" i="17"/>
  <c r="N500" i="17" s="1" a="1"/>
  <c r="N500" i="17" s="1"/>
  <c r="J500" i="17"/>
  <c r="O500" i="17" s="1" a="1"/>
  <c r="O500" i="17" s="1"/>
  <c r="K500" i="17"/>
  <c r="L500" i="17"/>
  <c r="M500" i="17" s="1"/>
  <c r="I501" i="17"/>
  <c r="N501" i="17" s="1" a="1"/>
  <c r="N501" i="17" s="1"/>
  <c r="J501" i="17"/>
  <c r="O501" i="17" s="1" a="1"/>
  <c r="O501" i="17" s="1"/>
  <c r="K501" i="17"/>
  <c r="L501" i="17"/>
  <c r="M501" i="17" s="1"/>
  <c r="I502" i="17"/>
  <c r="N502" i="17" s="1" a="1"/>
  <c r="N502" i="17" s="1"/>
  <c r="J502" i="17"/>
  <c r="O502" i="17" s="1" a="1"/>
  <c r="O502" i="17" s="1"/>
  <c r="K502" i="17"/>
  <c r="L502" i="17"/>
  <c r="M502" i="17" s="1"/>
  <c r="I503" i="17"/>
  <c r="N503" i="17" s="1" a="1"/>
  <c r="N503" i="17" s="1"/>
  <c r="J503" i="17"/>
  <c r="O503" i="17" s="1" a="1"/>
  <c r="O503" i="17" s="1"/>
  <c r="K503" i="17"/>
  <c r="L503" i="17"/>
  <c r="M503" i="17" s="1"/>
  <c r="I504" i="17"/>
  <c r="N504" i="17" s="1" a="1"/>
  <c r="N504" i="17" s="1"/>
  <c r="J504" i="17"/>
  <c r="O504" i="17" s="1" a="1"/>
  <c r="O504" i="17" s="1"/>
  <c r="K504" i="17"/>
  <c r="L504" i="17"/>
  <c r="M504" i="17" s="1"/>
  <c r="I505" i="17"/>
  <c r="N505" i="17" s="1" a="1"/>
  <c r="N505" i="17" s="1"/>
  <c r="J505" i="17"/>
  <c r="O505" i="17" s="1" a="1"/>
  <c r="O505" i="17" s="1"/>
  <c r="K505" i="17"/>
  <c r="L505" i="17"/>
  <c r="M505" i="17" s="1"/>
  <c r="I506" i="17"/>
  <c r="N506" i="17" s="1" a="1"/>
  <c r="N506" i="17" s="1"/>
  <c r="J506" i="17"/>
  <c r="O506" i="17" s="1" a="1"/>
  <c r="O506" i="17" s="1"/>
  <c r="K506" i="17"/>
  <c r="L506" i="17"/>
  <c r="M506" i="17" s="1"/>
  <c r="I507" i="17"/>
  <c r="N507" i="17" s="1" a="1"/>
  <c r="N507" i="17" s="1"/>
  <c r="J507" i="17"/>
  <c r="O507" i="17" s="1" a="1"/>
  <c r="O507" i="17" s="1"/>
  <c r="K507" i="17"/>
  <c r="L507" i="17"/>
  <c r="M507" i="17" s="1"/>
  <c r="I508" i="17"/>
  <c r="N508" i="17" s="1" a="1"/>
  <c r="N508" i="17" s="1"/>
  <c r="J508" i="17"/>
  <c r="O508" i="17" s="1" a="1"/>
  <c r="O508" i="17" s="1"/>
  <c r="K508" i="17"/>
  <c r="L508" i="17"/>
  <c r="M508" i="17" s="1"/>
  <c r="I509" i="17"/>
  <c r="N509" i="17" s="1" a="1"/>
  <c r="N509" i="17" s="1"/>
  <c r="J509" i="17"/>
  <c r="O509" i="17" s="1" a="1"/>
  <c r="O509" i="17" s="1"/>
  <c r="K509" i="17"/>
  <c r="L509" i="17"/>
  <c r="M509" i="17" s="1"/>
  <c r="I510" i="17"/>
  <c r="N510" i="17" s="1" a="1"/>
  <c r="N510" i="17" s="1"/>
  <c r="J510" i="17"/>
  <c r="O510" i="17" s="1" a="1"/>
  <c r="O510" i="17" s="1"/>
  <c r="K510" i="17"/>
  <c r="L510" i="17"/>
  <c r="M510" i="17" s="1"/>
  <c r="I511" i="17"/>
  <c r="N511" i="17" s="1" a="1"/>
  <c r="N511" i="17" s="1"/>
  <c r="J511" i="17"/>
  <c r="O511" i="17" s="1" a="1"/>
  <c r="O511" i="17" s="1"/>
  <c r="K511" i="17"/>
  <c r="L511" i="17"/>
  <c r="M511" i="17" s="1"/>
  <c r="I512" i="17"/>
  <c r="N512" i="17" s="1" a="1"/>
  <c r="N512" i="17" s="1"/>
  <c r="J512" i="17"/>
  <c r="O512" i="17" s="1" a="1"/>
  <c r="O512" i="17" s="1"/>
  <c r="K512" i="17"/>
  <c r="L512" i="17"/>
  <c r="M512" i="17" s="1"/>
  <c r="I513" i="17"/>
  <c r="N513" i="17" s="1" a="1"/>
  <c r="N513" i="17" s="1"/>
  <c r="J513" i="17"/>
  <c r="O513" i="17" s="1" a="1"/>
  <c r="O513" i="17" s="1"/>
  <c r="K513" i="17"/>
  <c r="L513" i="17"/>
  <c r="M513" i="17" s="1"/>
  <c r="I514" i="17"/>
  <c r="N514" i="17" s="1" a="1"/>
  <c r="N514" i="17" s="1"/>
  <c r="J514" i="17"/>
  <c r="O514" i="17" s="1" a="1"/>
  <c r="O514" i="17" s="1"/>
  <c r="K514" i="17"/>
  <c r="L514" i="17"/>
  <c r="M514" i="17" s="1"/>
  <c r="I515" i="17"/>
  <c r="N515" i="17" s="1" a="1"/>
  <c r="N515" i="17" s="1"/>
  <c r="J515" i="17"/>
  <c r="O515" i="17" s="1" a="1"/>
  <c r="O515" i="17" s="1"/>
  <c r="K515" i="17"/>
  <c r="L515" i="17"/>
  <c r="M515" i="17" s="1"/>
  <c r="I516" i="17"/>
  <c r="N516" i="17" s="1" a="1"/>
  <c r="N516" i="17" s="1"/>
  <c r="J516" i="17"/>
  <c r="O516" i="17" s="1" a="1"/>
  <c r="O516" i="17" s="1"/>
  <c r="K516" i="17"/>
  <c r="L516" i="17"/>
  <c r="M516" i="17" s="1"/>
  <c r="I517" i="17"/>
  <c r="N517" i="17" s="1" a="1"/>
  <c r="N517" i="17" s="1"/>
  <c r="J517" i="17"/>
  <c r="O517" i="17" s="1" a="1"/>
  <c r="O517" i="17" s="1"/>
  <c r="K517" i="17"/>
  <c r="L517" i="17"/>
  <c r="M517" i="17" s="1"/>
  <c r="I518" i="17"/>
  <c r="N518" i="17" s="1" a="1"/>
  <c r="N518" i="17" s="1"/>
  <c r="J518" i="17"/>
  <c r="O518" i="17" s="1" a="1"/>
  <c r="O518" i="17" s="1"/>
  <c r="K518" i="17"/>
  <c r="L518" i="17"/>
  <c r="M518" i="17" s="1"/>
  <c r="I519" i="17"/>
  <c r="N519" i="17" s="1" a="1"/>
  <c r="N519" i="17" s="1"/>
  <c r="J519" i="17"/>
  <c r="O519" i="17" s="1" a="1"/>
  <c r="O519" i="17" s="1"/>
  <c r="K519" i="17"/>
  <c r="L519" i="17"/>
  <c r="M519" i="17" s="1"/>
  <c r="I520" i="17"/>
  <c r="N520" i="17" s="1" a="1"/>
  <c r="N520" i="17" s="1"/>
  <c r="J520" i="17"/>
  <c r="O520" i="17" s="1" a="1"/>
  <c r="O520" i="17" s="1"/>
  <c r="K520" i="17"/>
  <c r="L520" i="17"/>
  <c r="M520" i="17" s="1"/>
  <c r="I521" i="17"/>
  <c r="N521" i="17" s="1" a="1"/>
  <c r="N521" i="17" s="1"/>
  <c r="J521" i="17"/>
  <c r="O521" i="17" s="1" a="1"/>
  <c r="O521" i="17" s="1"/>
  <c r="K521" i="17"/>
  <c r="L521" i="17"/>
  <c r="M521" i="17" s="1"/>
  <c r="I522" i="17"/>
  <c r="N522" i="17" s="1" a="1"/>
  <c r="N522" i="17" s="1"/>
  <c r="J522" i="17"/>
  <c r="O522" i="17" s="1" a="1"/>
  <c r="O522" i="17" s="1"/>
  <c r="K522" i="17"/>
  <c r="L522" i="17"/>
  <c r="M522" i="17" s="1"/>
  <c r="I523" i="17"/>
  <c r="N523" i="17" s="1" a="1"/>
  <c r="N523" i="17" s="1"/>
  <c r="J523" i="17"/>
  <c r="O523" i="17" s="1" a="1"/>
  <c r="O523" i="17" s="1"/>
  <c r="K523" i="17"/>
  <c r="L523" i="17"/>
  <c r="M523" i="17" s="1"/>
  <c r="I524" i="17"/>
  <c r="N524" i="17" s="1" a="1"/>
  <c r="N524" i="17" s="1"/>
  <c r="J524" i="17"/>
  <c r="O524" i="17" s="1" a="1"/>
  <c r="O524" i="17" s="1"/>
  <c r="K524" i="17"/>
  <c r="L524" i="17"/>
  <c r="M524" i="17" s="1"/>
  <c r="I525" i="17"/>
  <c r="N525" i="17" s="1" a="1"/>
  <c r="N525" i="17" s="1"/>
  <c r="J525" i="17"/>
  <c r="O525" i="17" s="1" a="1"/>
  <c r="O525" i="17" s="1"/>
  <c r="K525" i="17"/>
  <c r="L525" i="17"/>
  <c r="M525" i="17" s="1"/>
  <c r="I526" i="17"/>
  <c r="N526" i="17" s="1" a="1"/>
  <c r="N526" i="17" s="1"/>
  <c r="J526" i="17"/>
  <c r="O526" i="17" s="1" a="1"/>
  <c r="O526" i="17" s="1"/>
  <c r="K526" i="17"/>
  <c r="L526" i="17"/>
  <c r="M526" i="17" s="1"/>
  <c r="I527" i="17"/>
  <c r="N527" i="17" s="1" a="1"/>
  <c r="N527" i="17" s="1"/>
  <c r="J527" i="17"/>
  <c r="O527" i="17" s="1" a="1"/>
  <c r="O527" i="17" s="1"/>
  <c r="K527" i="17"/>
  <c r="L527" i="17"/>
  <c r="M527" i="17" s="1"/>
  <c r="I528" i="17"/>
  <c r="N528" i="17" s="1" a="1"/>
  <c r="N528" i="17" s="1"/>
  <c r="J528" i="17"/>
  <c r="O528" i="17" s="1" a="1"/>
  <c r="O528" i="17" s="1"/>
  <c r="K528" i="17"/>
  <c r="L528" i="17"/>
  <c r="M528" i="17" s="1"/>
  <c r="I529" i="17"/>
  <c r="N529" i="17" s="1" a="1"/>
  <c r="N529" i="17" s="1"/>
  <c r="J529" i="17"/>
  <c r="O529" i="17" s="1" a="1"/>
  <c r="O529" i="17" s="1"/>
  <c r="K529" i="17"/>
  <c r="L529" i="17"/>
  <c r="M529" i="17" s="1"/>
  <c r="I530" i="17"/>
  <c r="N530" i="17" s="1" a="1"/>
  <c r="N530" i="17" s="1"/>
  <c r="J530" i="17"/>
  <c r="O530" i="17" s="1" a="1"/>
  <c r="O530" i="17" s="1"/>
  <c r="K530" i="17"/>
  <c r="L530" i="17"/>
  <c r="M530" i="17" s="1"/>
  <c r="I531" i="17"/>
  <c r="N531" i="17" s="1" a="1"/>
  <c r="N531" i="17" s="1"/>
  <c r="J531" i="17"/>
  <c r="O531" i="17" s="1" a="1"/>
  <c r="O531" i="17" s="1"/>
  <c r="K531" i="17"/>
  <c r="L531" i="17"/>
  <c r="M531" i="17" s="1"/>
  <c r="I532" i="17"/>
  <c r="N532" i="17" s="1" a="1"/>
  <c r="N532" i="17" s="1"/>
  <c r="J532" i="17"/>
  <c r="O532" i="17" s="1" a="1"/>
  <c r="O532" i="17" s="1"/>
  <c r="K532" i="17"/>
  <c r="L532" i="17"/>
  <c r="M532" i="17" s="1"/>
  <c r="I533" i="17"/>
  <c r="N533" i="17" s="1" a="1"/>
  <c r="N533" i="17" s="1"/>
  <c r="J533" i="17"/>
  <c r="O533" i="17" s="1" a="1"/>
  <c r="O533" i="17" s="1"/>
  <c r="K533" i="17"/>
  <c r="L533" i="17"/>
  <c r="M533" i="17" s="1"/>
  <c r="I534" i="17"/>
  <c r="N534" i="17" s="1" a="1"/>
  <c r="N534" i="17" s="1"/>
  <c r="J534" i="17"/>
  <c r="O534" i="17" s="1" a="1"/>
  <c r="O534" i="17" s="1"/>
  <c r="K534" i="17"/>
  <c r="L534" i="17"/>
  <c r="M534" i="17" s="1"/>
  <c r="I535" i="17"/>
  <c r="N535" i="17" s="1" a="1"/>
  <c r="N535" i="17" s="1"/>
  <c r="J535" i="17"/>
  <c r="O535" i="17" s="1" a="1"/>
  <c r="O535" i="17" s="1"/>
  <c r="K535" i="17"/>
  <c r="L535" i="17"/>
  <c r="M535" i="17" s="1"/>
  <c r="I536" i="17"/>
  <c r="N536" i="17" s="1" a="1"/>
  <c r="N536" i="17" s="1"/>
  <c r="J536" i="17"/>
  <c r="O536" i="17" s="1" a="1"/>
  <c r="O536" i="17" s="1"/>
  <c r="K536" i="17"/>
  <c r="L536" i="17"/>
  <c r="M536" i="17" s="1"/>
  <c r="I537" i="17"/>
  <c r="N537" i="17" s="1" a="1"/>
  <c r="N537" i="17" s="1"/>
  <c r="J537" i="17"/>
  <c r="O537" i="17" s="1" a="1"/>
  <c r="O537" i="17" s="1"/>
  <c r="K537" i="17"/>
  <c r="L537" i="17"/>
  <c r="M537" i="17" s="1"/>
  <c r="I538" i="17"/>
  <c r="N538" i="17" s="1" a="1"/>
  <c r="N538" i="17" s="1"/>
  <c r="J538" i="17"/>
  <c r="O538" i="17" s="1" a="1"/>
  <c r="O538" i="17" s="1"/>
  <c r="K538" i="17"/>
  <c r="L538" i="17"/>
  <c r="M538" i="17" s="1"/>
  <c r="I539" i="17"/>
  <c r="N539" i="17" s="1" a="1"/>
  <c r="N539" i="17" s="1"/>
  <c r="J539" i="17"/>
  <c r="O539" i="17" s="1" a="1"/>
  <c r="O539" i="17" s="1"/>
  <c r="K539" i="17"/>
  <c r="L539" i="17"/>
  <c r="M539" i="17" s="1"/>
  <c r="I540" i="17"/>
  <c r="N540" i="17" s="1" a="1"/>
  <c r="N540" i="17" s="1"/>
  <c r="J540" i="17"/>
  <c r="O540" i="17" s="1" a="1"/>
  <c r="O540" i="17" s="1"/>
  <c r="K540" i="17"/>
  <c r="L540" i="17"/>
  <c r="M540" i="17" s="1"/>
  <c r="I541" i="17"/>
  <c r="N541" i="17" s="1" a="1"/>
  <c r="N541" i="17" s="1"/>
  <c r="J541" i="17"/>
  <c r="O541" i="17" s="1" a="1"/>
  <c r="O541" i="17" s="1"/>
  <c r="K541" i="17"/>
  <c r="L541" i="17"/>
  <c r="M541" i="17" s="1"/>
  <c r="I542" i="17"/>
  <c r="N542" i="17" s="1" a="1"/>
  <c r="N542" i="17" s="1"/>
  <c r="J542" i="17"/>
  <c r="O542" i="17" s="1" a="1"/>
  <c r="O542" i="17" s="1"/>
  <c r="K542" i="17"/>
  <c r="L542" i="17"/>
  <c r="M542" i="17" s="1"/>
  <c r="I543" i="17"/>
  <c r="N543" i="17" s="1" a="1"/>
  <c r="N543" i="17" s="1"/>
  <c r="J543" i="17"/>
  <c r="O543" i="17" s="1" a="1"/>
  <c r="O543" i="17" s="1"/>
  <c r="K543" i="17"/>
  <c r="L543" i="17"/>
  <c r="M543" i="17" s="1"/>
  <c r="I544" i="17"/>
  <c r="N544" i="17" s="1" a="1"/>
  <c r="N544" i="17" s="1"/>
  <c r="J544" i="17"/>
  <c r="O544" i="17" s="1" a="1"/>
  <c r="O544" i="17" s="1"/>
  <c r="K544" i="17"/>
  <c r="L544" i="17"/>
  <c r="M544" i="17" s="1"/>
  <c r="I545" i="17"/>
  <c r="N545" i="17" s="1" a="1"/>
  <c r="N545" i="17" s="1"/>
  <c r="J545" i="17"/>
  <c r="O545" i="17" s="1" a="1"/>
  <c r="O545" i="17" s="1"/>
  <c r="K545" i="17"/>
  <c r="L545" i="17"/>
  <c r="M545" i="17" s="1"/>
  <c r="I546" i="17"/>
  <c r="N546" i="17" s="1" a="1"/>
  <c r="N546" i="17" s="1"/>
  <c r="J546" i="17"/>
  <c r="O546" i="17" s="1" a="1"/>
  <c r="O546" i="17" s="1"/>
  <c r="K546" i="17"/>
  <c r="L546" i="17"/>
  <c r="M546" i="17" s="1"/>
  <c r="I547" i="17"/>
  <c r="N547" i="17" s="1" a="1"/>
  <c r="N547" i="17" s="1"/>
  <c r="J547" i="17"/>
  <c r="O547" i="17" s="1" a="1"/>
  <c r="O547" i="17" s="1"/>
  <c r="K547" i="17"/>
  <c r="L547" i="17"/>
  <c r="M547" i="17" s="1"/>
  <c r="I548" i="17"/>
  <c r="N548" i="17" s="1" a="1"/>
  <c r="N548" i="17" s="1"/>
  <c r="J548" i="17"/>
  <c r="O548" i="17" s="1" a="1"/>
  <c r="O548" i="17" s="1"/>
  <c r="K548" i="17"/>
  <c r="L548" i="17"/>
  <c r="M548" i="17" s="1"/>
  <c r="I549" i="17"/>
  <c r="N549" i="17" s="1" a="1"/>
  <c r="N549" i="17" s="1"/>
  <c r="J549" i="17"/>
  <c r="O549" i="17" s="1" a="1"/>
  <c r="O549" i="17" s="1"/>
  <c r="K549" i="17"/>
  <c r="L549" i="17"/>
  <c r="M549" i="17" s="1"/>
  <c r="I550" i="17"/>
  <c r="N550" i="17" s="1" a="1"/>
  <c r="N550" i="17" s="1"/>
  <c r="J550" i="17"/>
  <c r="O550" i="17" s="1" a="1"/>
  <c r="O550" i="17" s="1"/>
  <c r="K550" i="17"/>
  <c r="L550" i="17"/>
  <c r="M550" i="17" s="1"/>
  <c r="I551" i="17"/>
  <c r="N551" i="17" s="1" a="1"/>
  <c r="N551" i="17" s="1"/>
  <c r="J551" i="17"/>
  <c r="O551" i="17" s="1" a="1"/>
  <c r="O551" i="17" s="1"/>
  <c r="K551" i="17"/>
  <c r="L551" i="17"/>
  <c r="M551" i="17" s="1"/>
  <c r="I552" i="17"/>
  <c r="N552" i="17" s="1" a="1"/>
  <c r="N552" i="17" s="1"/>
  <c r="J552" i="17"/>
  <c r="O552" i="17" s="1" a="1"/>
  <c r="O552" i="17" s="1"/>
  <c r="K552" i="17"/>
  <c r="L552" i="17"/>
  <c r="M552" i="17" s="1"/>
  <c r="I553" i="17"/>
  <c r="N553" i="17" s="1" a="1"/>
  <c r="N553" i="17" s="1"/>
  <c r="J553" i="17"/>
  <c r="O553" i="17" s="1" a="1"/>
  <c r="O553" i="17" s="1"/>
  <c r="K553" i="17"/>
  <c r="L553" i="17"/>
  <c r="M553" i="17" s="1"/>
  <c r="I554" i="17"/>
  <c r="N554" i="17" s="1" a="1"/>
  <c r="N554" i="17" s="1"/>
  <c r="J554" i="17"/>
  <c r="O554" i="17" s="1" a="1"/>
  <c r="O554" i="17" s="1"/>
  <c r="K554" i="17"/>
  <c r="L554" i="17"/>
  <c r="M554" i="17" s="1"/>
  <c r="I555" i="17"/>
  <c r="N555" i="17" s="1" a="1"/>
  <c r="N555" i="17" s="1"/>
  <c r="J555" i="17"/>
  <c r="O555" i="17" s="1" a="1"/>
  <c r="O555" i="17" s="1"/>
  <c r="K555" i="17"/>
  <c r="L555" i="17"/>
  <c r="M555" i="17" s="1"/>
  <c r="I556" i="17"/>
  <c r="N556" i="17" s="1" a="1"/>
  <c r="N556" i="17" s="1"/>
  <c r="J556" i="17"/>
  <c r="O556" i="17" s="1" a="1"/>
  <c r="O556" i="17" s="1"/>
  <c r="K556" i="17"/>
  <c r="L556" i="17"/>
  <c r="M556" i="17" s="1"/>
  <c r="I557" i="17"/>
  <c r="N557" i="17" s="1" a="1"/>
  <c r="N557" i="17" s="1"/>
  <c r="J557" i="17"/>
  <c r="O557" i="17" s="1" a="1"/>
  <c r="O557" i="17" s="1"/>
  <c r="K557" i="17"/>
  <c r="L557" i="17"/>
  <c r="M557" i="17" s="1"/>
  <c r="I558" i="17"/>
  <c r="N558" i="17" s="1" a="1"/>
  <c r="N558" i="17" s="1"/>
  <c r="J558" i="17"/>
  <c r="O558" i="17" s="1" a="1"/>
  <c r="O558" i="17" s="1"/>
  <c r="K558" i="17"/>
  <c r="L558" i="17"/>
  <c r="M558" i="17" s="1"/>
  <c r="I559" i="17"/>
  <c r="N559" i="17" s="1" a="1"/>
  <c r="N559" i="17" s="1"/>
  <c r="J559" i="17"/>
  <c r="O559" i="17" s="1" a="1"/>
  <c r="O559" i="17" s="1"/>
  <c r="K559" i="17"/>
  <c r="L559" i="17"/>
  <c r="M559" i="17" s="1"/>
  <c r="I560" i="17"/>
  <c r="N560" i="17" s="1" a="1"/>
  <c r="N560" i="17" s="1"/>
  <c r="J560" i="17"/>
  <c r="O560" i="17" s="1" a="1"/>
  <c r="O560" i="17" s="1"/>
  <c r="K560" i="17"/>
  <c r="L560" i="17"/>
  <c r="M560" i="17" s="1"/>
  <c r="I561" i="17"/>
  <c r="N561" i="17" s="1" a="1"/>
  <c r="N561" i="17" s="1"/>
  <c r="J561" i="17"/>
  <c r="O561" i="17" s="1" a="1"/>
  <c r="O561" i="17" s="1"/>
  <c r="K561" i="17"/>
  <c r="L561" i="17"/>
  <c r="M561" i="17" s="1"/>
  <c r="I562" i="17"/>
  <c r="N562" i="17" s="1" a="1"/>
  <c r="N562" i="17" s="1"/>
  <c r="J562" i="17"/>
  <c r="O562" i="17" s="1" a="1"/>
  <c r="O562" i="17" s="1"/>
  <c r="K562" i="17"/>
  <c r="L562" i="17"/>
  <c r="M562" i="17" s="1"/>
  <c r="I563" i="17"/>
  <c r="N563" i="17" s="1" a="1"/>
  <c r="N563" i="17" s="1"/>
  <c r="J563" i="17"/>
  <c r="O563" i="17" s="1" a="1"/>
  <c r="O563" i="17" s="1"/>
  <c r="K563" i="17"/>
  <c r="L563" i="17"/>
  <c r="M563" i="17" s="1"/>
  <c r="I564" i="17"/>
  <c r="N564" i="17" s="1" a="1"/>
  <c r="N564" i="17" s="1"/>
  <c r="J564" i="17"/>
  <c r="O564" i="17" s="1" a="1"/>
  <c r="O564" i="17" s="1"/>
  <c r="K564" i="17"/>
  <c r="L564" i="17"/>
  <c r="M564" i="17" s="1"/>
  <c r="I565" i="17"/>
  <c r="N565" i="17" s="1" a="1"/>
  <c r="N565" i="17" s="1"/>
  <c r="J565" i="17"/>
  <c r="O565" i="17" s="1" a="1"/>
  <c r="O565" i="17" s="1"/>
  <c r="K565" i="17"/>
  <c r="L565" i="17"/>
  <c r="M565" i="17" s="1"/>
  <c r="I566" i="17"/>
  <c r="N566" i="17" s="1" a="1"/>
  <c r="N566" i="17" s="1"/>
  <c r="J566" i="17"/>
  <c r="O566" i="17" s="1" a="1"/>
  <c r="O566" i="17" s="1"/>
  <c r="K566" i="17"/>
  <c r="L566" i="17"/>
  <c r="M566" i="17" s="1"/>
  <c r="I567" i="17"/>
  <c r="N567" i="17" s="1" a="1"/>
  <c r="N567" i="17" s="1"/>
  <c r="J567" i="17"/>
  <c r="O567" i="17" s="1" a="1"/>
  <c r="O567" i="17" s="1"/>
  <c r="K567" i="17"/>
  <c r="L567" i="17"/>
  <c r="M567" i="17" s="1"/>
  <c r="I568" i="17"/>
  <c r="N568" i="17" s="1" a="1"/>
  <c r="N568" i="17" s="1"/>
  <c r="J568" i="17"/>
  <c r="O568" i="17" s="1" a="1"/>
  <c r="O568" i="17" s="1"/>
  <c r="K568" i="17"/>
  <c r="L568" i="17"/>
  <c r="M568" i="17" s="1"/>
  <c r="I569" i="17"/>
  <c r="N569" i="17" s="1" a="1"/>
  <c r="N569" i="17" s="1"/>
  <c r="J569" i="17"/>
  <c r="O569" i="17" s="1" a="1"/>
  <c r="O569" i="17" s="1"/>
  <c r="K569" i="17"/>
  <c r="L569" i="17"/>
  <c r="M569" i="17" s="1"/>
  <c r="I570" i="17"/>
  <c r="N570" i="17" s="1" a="1"/>
  <c r="N570" i="17" s="1"/>
  <c r="J570" i="17"/>
  <c r="O570" i="17" s="1" a="1"/>
  <c r="O570" i="17" s="1"/>
  <c r="K570" i="17"/>
  <c r="L570" i="17"/>
  <c r="M570" i="17" s="1"/>
  <c r="I571" i="17"/>
  <c r="N571" i="17" s="1" a="1"/>
  <c r="N571" i="17" s="1"/>
  <c r="J571" i="17"/>
  <c r="O571" i="17" s="1" a="1"/>
  <c r="O571" i="17" s="1"/>
  <c r="K571" i="17"/>
  <c r="L571" i="17"/>
  <c r="M571" i="17" s="1"/>
  <c r="I572" i="17"/>
  <c r="N572" i="17" s="1" a="1"/>
  <c r="N572" i="17" s="1"/>
  <c r="J572" i="17"/>
  <c r="O572" i="17" s="1" a="1"/>
  <c r="O572" i="17" s="1"/>
  <c r="K572" i="17"/>
  <c r="L572" i="17"/>
  <c r="M572" i="17" s="1"/>
  <c r="I573" i="17"/>
  <c r="N573" i="17" s="1" a="1"/>
  <c r="N573" i="17" s="1"/>
  <c r="J573" i="17"/>
  <c r="O573" i="17" s="1" a="1"/>
  <c r="O573" i="17" s="1"/>
  <c r="K573" i="17"/>
  <c r="L573" i="17"/>
  <c r="M573" i="17" s="1"/>
  <c r="I574" i="17"/>
  <c r="N574" i="17" s="1" a="1"/>
  <c r="N574" i="17" s="1"/>
  <c r="J574" i="17"/>
  <c r="O574" i="17" s="1" a="1"/>
  <c r="O574" i="17" s="1"/>
  <c r="K574" i="17"/>
  <c r="L574" i="17"/>
  <c r="M574" i="17" s="1"/>
  <c r="I575" i="17"/>
  <c r="N575" i="17" s="1" a="1"/>
  <c r="N575" i="17" s="1"/>
  <c r="J575" i="17"/>
  <c r="O575" i="17" s="1" a="1"/>
  <c r="O575" i="17" s="1"/>
  <c r="K575" i="17"/>
  <c r="L575" i="17"/>
  <c r="M575" i="17" s="1"/>
  <c r="I576" i="17"/>
  <c r="N576" i="17" s="1" a="1"/>
  <c r="N576" i="17" s="1"/>
  <c r="J576" i="17"/>
  <c r="O576" i="17" s="1" a="1"/>
  <c r="O576" i="17" s="1"/>
  <c r="K576" i="17"/>
  <c r="L576" i="17"/>
  <c r="M576" i="17" s="1"/>
  <c r="I577" i="17"/>
  <c r="N577" i="17" s="1" a="1"/>
  <c r="N577" i="17" s="1"/>
  <c r="J577" i="17"/>
  <c r="O577" i="17" s="1" a="1"/>
  <c r="O577" i="17" s="1"/>
  <c r="K577" i="17"/>
  <c r="L577" i="17"/>
  <c r="M577" i="17" s="1"/>
  <c r="I578" i="17"/>
  <c r="N578" i="17" s="1" a="1"/>
  <c r="N578" i="17" s="1"/>
  <c r="J578" i="17"/>
  <c r="O578" i="17" s="1" a="1"/>
  <c r="O578" i="17" s="1"/>
  <c r="K578" i="17"/>
  <c r="L578" i="17"/>
  <c r="M578" i="17" s="1"/>
  <c r="I579" i="17"/>
  <c r="N579" i="17" s="1" a="1"/>
  <c r="N579" i="17" s="1"/>
  <c r="J579" i="17"/>
  <c r="O579" i="17" s="1" a="1"/>
  <c r="O579" i="17" s="1"/>
  <c r="K579" i="17"/>
  <c r="L579" i="17"/>
  <c r="M579" i="17" s="1"/>
  <c r="I580" i="17"/>
  <c r="N580" i="17" s="1" a="1"/>
  <c r="N580" i="17" s="1"/>
  <c r="J580" i="17"/>
  <c r="O580" i="17" s="1" a="1"/>
  <c r="O580" i="17" s="1"/>
  <c r="K580" i="17"/>
  <c r="L580" i="17"/>
  <c r="M580" i="17" s="1"/>
  <c r="I581" i="17"/>
  <c r="N581" i="17" s="1" a="1"/>
  <c r="N581" i="17" s="1"/>
  <c r="J581" i="17"/>
  <c r="O581" i="17" s="1" a="1"/>
  <c r="O581" i="17" s="1"/>
  <c r="K581" i="17"/>
  <c r="L581" i="17"/>
  <c r="M581" i="17" s="1"/>
  <c r="I582" i="17"/>
  <c r="N582" i="17" s="1" a="1"/>
  <c r="N582" i="17" s="1"/>
  <c r="J582" i="17"/>
  <c r="O582" i="17" s="1" a="1"/>
  <c r="O582" i="17" s="1"/>
  <c r="K582" i="17"/>
  <c r="L582" i="17"/>
  <c r="M582" i="17" s="1"/>
  <c r="I583" i="17"/>
  <c r="N583" i="17" s="1" a="1"/>
  <c r="N583" i="17" s="1"/>
  <c r="J583" i="17"/>
  <c r="O583" i="17" s="1" a="1"/>
  <c r="O583" i="17" s="1"/>
  <c r="K583" i="17"/>
  <c r="L583" i="17"/>
  <c r="M583" i="17" s="1"/>
  <c r="I584" i="17"/>
  <c r="N584" i="17" s="1" a="1"/>
  <c r="N584" i="17" s="1"/>
  <c r="J584" i="17"/>
  <c r="O584" i="17" s="1" a="1"/>
  <c r="O584" i="17" s="1"/>
  <c r="K584" i="17"/>
  <c r="L584" i="17"/>
  <c r="M584" i="17" s="1"/>
  <c r="I585" i="17"/>
  <c r="N585" i="17" s="1" a="1"/>
  <c r="N585" i="17" s="1"/>
  <c r="J585" i="17"/>
  <c r="O585" i="17" s="1" a="1"/>
  <c r="O585" i="17" s="1"/>
  <c r="K585" i="17"/>
  <c r="L585" i="17"/>
  <c r="M585" i="17" s="1"/>
  <c r="I586" i="17"/>
  <c r="N586" i="17" s="1" a="1"/>
  <c r="N586" i="17" s="1"/>
  <c r="J586" i="17"/>
  <c r="O586" i="17" s="1" a="1"/>
  <c r="O586" i="17" s="1"/>
  <c r="K586" i="17"/>
  <c r="L586" i="17"/>
  <c r="M586" i="17" s="1"/>
  <c r="I587" i="17"/>
  <c r="N587" i="17" s="1" a="1"/>
  <c r="N587" i="17" s="1"/>
  <c r="J587" i="17"/>
  <c r="O587" i="17" s="1" a="1"/>
  <c r="O587" i="17" s="1"/>
  <c r="K587" i="17"/>
  <c r="L587" i="17"/>
  <c r="M587" i="17" s="1"/>
  <c r="I588" i="17"/>
  <c r="N588" i="17" s="1" a="1"/>
  <c r="N588" i="17" s="1"/>
  <c r="J588" i="17"/>
  <c r="O588" i="17" s="1" a="1"/>
  <c r="O588" i="17" s="1"/>
  <c r="K588" i="17"/>
  <c r="L588" i="17"/>
  <c r="M588" i="17" s="1"/>
  <c r="I589" i="17"/>
  <c r="N589" i="17" s="1" a="1"/>
  <c r="N589" i="17" s="1"/>
  <c r="J589" i="17"/>
  <c r="O589" i="17" s="1" a="1"/>
  <c r="O589" i="17" s="1"/>
  <c r="K589" i="17"/>
  <c r="L589" i="17"/>
  <c r="M589" i="17" s="1"/>
  <c r="I590" i="17"/>
  <c r="N590" i="17" s="1" a="1"/>
  <c r="N590" i="17" s="1"/>
  <c r="J590" i="17"/>
  <c r="O590" i="17" s="1" a="1"/>
  <c r="O590" i="17" s="1"/>
  <c r="K590" i="17"/>
  <c r="L590" i="17"/>
  <c r="M590" i="17" s="1"/>
  <c r="I591" i="17"/>
  <c r="N591" i="17" s="1" a="1"/>
  <c r="N591" i="17" s="1"/>
  <c r="J591" i="17"/>
  <c r="O591" i="17" s="1" a="1"/>
  <c r="O591" i="17" s="1"/>
  <c r="K591" i="17"/>
  <c r="L591" i="17"/>
  <c r="M591" i="17" s="1"/>
  <c r="I592" i="17"/>
  <c r="N592" i="17" s="1" a="1"/>
  <c r="N592" i="17" s="1"/>
  <c r="J592" i="17"/>
  <c r="O592" i="17" s="1" a="1"/>
  <c r="O592" i="17" s="1"/>
  <c r="K592" i="17"/>
  <c r="L592" i="17"/>
  <c r="M592" i="17" s="1"/>
  <c r="I593" i="17"/>
  <c r="N593" i="17" s="1" a="1"/>
  <c r="N593" i="17" s="1"/>
  <c r="J593" i="17"/>
  <c r="O593" i="17" s="1" a="1"/>
  <c r="O593" i="17" s="1"/>
  <c r="K593" i="17"/>
  <c r="L593" i="17"/>
  <c r="M593" i="17" s="1"/>
  <c r="I594" i="17"/>
  <c r="N594" i="17" s="1" a="1"/>
  <c r="N594" i="17" s="1"/>
  <c r="J594" i="17"/>
  <c r="O594" i="17" s="1" a="1"/>
  <c r="O594" i="17" s="1"/>
  <c r="K594" i="17"/>
  <c r="L594" i="17"/>
  <c r="M594" i="17" s="1"/>
  <c r="I595" i="17"/>
  <c r="N595" i="17" s="1" a="1"/>
  <c r="N595" i="17" s="1"/>
  <c r="J595" i="17"/>
  <c r="O595" i="17" s="1" a="1"/>
  <c r="O595" i="17" s="1"/>
  <c r="K595" i="17"/>
  <c r="L595" i="17"/>
  <c r="M595" i="17" s="1"/>
  <c r="I596" i="17"/>
  <c r="N596" i="17" s="1" a="1"/>
  <c r="N596" i="17" s="1"/>
  <c r="J596" i="17"/>
  <c r="O596" i="17" s="1" a="1"/>
  <c r="O596" i="17" s="1"/>
  <c r="K596" i="17"/>
  <c r="L596" i="17"/>
  <c r="M596" i="17" s="1"/>
  <c r="I597" i="17"/>
  <c r="N597" i="17" s="1" a="1"/>
  <c r="N597" i="17" s="1"/>
  <c r="J597" i="17"/>
  <c r="O597" i="17" s="1" a="1"/>
  <c r="O597" i="17" s="1"/>
  <c r="K597" i="17"/>
  <c r="L597" i="17"/>
  <c r="M597" i="17" s="1"/>
  <c r="I598" i="17"/>
  <c r="N598" i="17" s="1" a="1"/>
  <c r="N598" i="17" s="1"/>
  <c r="J598" i="17"/>
  <c r="O598" i="17" s="1" a="1"/>
  <c r="O598" i="17" s="1"/>
  <c r="K598" i="17"/>
  <c r="L598" i="17"/>
  <c r="M598" i="17" s="1"/>
  <c r="I599" i="17"/>
  <c r="N599" i="17" s="1" a="1"/>
  <c r="N599" i="17" s="1"/>
  <c r="J599" i="17"/>
  <c r="O599" i="17" s="1" a="1"/>
  <c r="O599" i="17" s="1"/>
  <c r="K599" i="17"/>
  <c r="L599" i="17"/>
  <c r="M599" i="17" s="1"/>
  <c r="I600" i="17"/>
  <c r="N600" i="17" s="1" a="1"/>
  <c r="N600" i="17" s="1"/>
  <c r="J600" i="17"/>
  <c r="O600" i="17" s="1" a="1"/>
  <c r="O600" i="17" s="1"/>
  <c r="K600" i="17"/>
  <c r="L600" i="17"/>
  <c r="M600" i="17" s="1"/>
  <c r="I601" i="17"/>
  <c r="N601" i="17" s="1" a="1"/>
  <c r="N601" i="17" s="1"/>
  <c r="J601" i="17"/>
  <c r="O601" i="17" s="1" a="1"/>
  <c r="O601" i="17" s="1"/>
  <c r="K601" i="17"/>
  <c r="L601" i="17"/>
  <c r="M601" i="17" s="1"/>
  <c r="I602" i="17"/>
  <c r="N602" i="17" s="1" a="1"/>
  <c r="N602" i="17" s="1"/>
  <c r="J602" i="17"/>
  <c r="O602" i="17" s="1" a="1"/>
  <c r="O602" i="17" s="1"/>
  <c r="K602" i="17"/>
  <c r="L602" i="17"/>
  <c r="M602" i="17" s="1"/>
  <c r="I603" i="17"/>
  <c r="N603" i="17" s="1" a="1"/>
  <c r="N603" i="17" s="1"/>
  <c r="J603" i="17"/>
  <c r="O603" i="17" s="1" a="1"/>
  <c r="O603" i="17" s="1"/>
  <c r="K603" i="17"/>
  <c r="L603" i="17"/>
  <c r="M603" i="17" s="1"/>
  <c r="I604" i="17"/>
  <c r="N604" i="17" s="1" a="1"/>
  <c r="N604" i="17" s="1"/>
  <c r="J604" i="17"/>
  <c r="O604" i="17" s="1" a="1"/>
  <c r="O604" i="17" s="1"/>
  <c r="K604" i="17"/>
  <c r="L604" i="17"/>
  <c r="M604" i="17" s="1"/>
  <c r="I605" i="17"/>
  <c r="N605" i="17" s="1" a="1"/>
  <c r="N605" i="17" s="1"/>
  <c r="J605" i="17"/>
  <c r="O605" i="17" s="1" a="1"/>
  <c r="O605" i="17" s="1"/>
  <c r="K605" i="17"/>
  <c r="L605" i="17"/>
  <c r="M605" i="17" s="1"/>
  <c r="I606" i="17"/>
  <c r="N606" i="17" s="1" a="1"/>
  <c r="N606" i="17" s="1"/>
  <c r="J606" i="17"/>
  <c r="O606" i="17" s="1" a="1"/>
  <c r="O606" i="17" s="1"/>
  <c r="K606" i="17"/>
  <c r="L606" i="17"/>
  <c r="M606" i="17" s="1"/>
  <c r="I607" i="17"/>
  <c r="N607" i="17" s="1" a="1"/>
  <c r="N607" i="17" s="1"/>
  <c r="J607" i="17"/>
  <c r="O607" i="17" s="1" a="1"/>
  <c r="O607" i="17" s="1"/>
  <c r="K607" i="17"/>
  <c r="L607" i="17"/>
  <c r="M607" i="17" s="1"/>
  <c r="I608" i="17"/>
  <c r="N608" i="17" s="1" a="1"/>
  <c r="N608" i="17" s="1"/>
  <c r="J608" i="17"/>
  <c r="O608" i="17" s="1" a="1"/>
  <c r="O608" i="17" s="1"/>
  <c r="K608" i="17"/>
  <c r="L608" i="17"/>
  <c r="M608" i="17" s="1"/>
  <c r="I609" i="17"/>
  <c r="N609" i="17" s="1" a="1"/>
  <c r="N609" i="17" s="1"/>
  <c r="J609" i="17"/>
  <c r="O609" i="17" s="1" a="1"/>
  <c r="O609" i="17" s="1"/>
  <c r="K609" i="17"/>
  <c r="L609" i="17"/>
  <c r="M609" i="17" s="1"/>
  <c r="I610" i="17"/>
  <c r="N610" i="17" s="1" a="1"/>
  <c r="N610" i="17" s="1"/>
  <c r="J610" i="17"/>
  <c r="O610" i="17" s="1" a="1"/>
  <c r="O610" i="17" s="1"/>
  <c r="K610" i="17"/>
  <c r="L610" i="17"/>
  <c r="M610" i="17" s="1"/>
  <c r="I611" i="17"/>
  <c r="N611" i="17" s="1" a="1"/>
  <c r="N611" i="17" s="1"/>
  <c r="J611" i="17"/>
  <c r="O611" i="17" s="1" a="1"/>
  <c r="O611" i="17" s="1"/>
  <c r="K611" i="17"/>
  <c r="L611" i="17"/>
  <c r="M611" i="17" s="1"/>
  <c r="I612" i="17"/>
  <c r="N612" i="17" s="1" a="1"/>
  <c r="N612" i="17" s="1"/>
  <c r="J612" i="17"/>
  <c r="O612" i="17" s="1" a="1"/>
  <c r="O612" i="17" s="1"/>
  <c r="K612" i="17"/>
  <c r="L612" i="17"/>
  <c r="M612" i="17" s="1"/>
  <c r="I613" i="17"/>
  <c r="N613" i="17" s="1" a="1"/>
  <c r="N613" i="17" s="1"/>
  <c r="J613" i="17"/>
  <c r="O613" i="17" s="1" a="1"/>
  <c r="O613" i="17" s="1"/>
  <c r="K613" i="17"/>
  <c r="L613" i="17"/>
  <c r="M613" i="17" s="1"/>
  <c r="I614" i="17"/>
  <c r="N614" i="17" s="1" a="1"/>
  <c r="N614" i="17" s="1"/>
  <c r="J614" i="17"/>
  <c r="O614" i="17" s="1" a="1"/>
  <c r="O614" i="17" s="1"/>
  <c r="K614" i="17"/>
  <c r="L614" i="17"/>
  <c r="M614" i="17" s="1"/>
  <c r="I615" i="17"/>
  <c r="N615" i="17" s="1" a="1"/>
  <c r="N615" i="17" s="1"/>
  <c r="J615" i="17"/>
  <c r="O615" i="17" s="1" a="1"/>
  <c r="O615" i="17" s="1"/>
  <c r="K615" i="17"/>
  <c r="L615" i="17"/>
  <c r="M615" i="17" s="1"/>
  <c r="I616" i="17"/>
  <c r="N616" i="17" s="1" a="1"/>
  <c r="N616" i="17" s="1"/>
  <c r="J616" i="17"/>
  <c r="O616" i="17" s="1" a="1"/>
  <c r="O616" i="17" s="1"/>
  <c r="K616" i="17"/>
  <c r="L616" i="17"/>
  <c r="M616" i="17" s="1"/>
  <c r="I617" i="17"/>
  <c r="N617" i="17" s="1" a="1"/>
  <c r="N617" i="17" s="1"/>
  <c r="J617" i="17"/>
  <c r="O617" i="17" s="1" a="1"/>
  <c r="O617" i="17" s="1"/>
  <c r="K617" i="17"/>
  <c r="L617" i="17"/>
  <c r="M617" i="17" s="1"/>
  <c r="I618" i="17"/>
  <c r="N618" i="17" s="1" a="1"/>
  <c r="N618" i="17" s="1"/>
  <c r="J618" i="17"/>
  <c r="O618" i="17" s="1" a="1"/>
  <c r="O618" i="17" s="1"/>
  <c r="K618" i="17"/>
  <c r="L618" i="17"/>
  <c r="M618" i="17" s="1"/>
  <c r="I619" i="17"/>
  <c r="N619" i="17" s="1" a="1"/>
  <c r="N619" i="17" s="1"/>
  <c r="J619" i="17"/>
  <c r="O619" i="17" s="1" a="1"/>
  <c r="O619" i="17" s="1"/>
  <c r="K619" i="17"/>
  <c r="L619" i="17"/>
  <c r="M619" i="17" s="1"/>
  <c r="I620" i="17"/>
  <c r="N620" i="17" s="1" a="1"/>
  <c r="N620" i="17" s="1"/>
  <c r="J620" i="17"/>
  <c r="O620" i="17" s="1" a="1"/>
  <c r="O620" i="17" s="1"/>
  <c r="K620" i="17"/>
  <c r="L620" i="17"/>
  <c r="M620" i="17" s="1"/>
  <c r="I621" i="17"/>
  <c r="N621" i="17" s="1" a="1"/>
  <c r="N621" i="17" s="1"/>
  <c r="J621" i="17"/>
  <c r="O621" i="17" s="1" a="1"/>
  <c r="O621" i="17" s="1"/>
  <c r="K621" i="17"/>
  <c r="L621" i="17"/>
  <c r="M621" i="17" s="1"/>
  <c r="I622" i="17"/>
  <c r="N622" i="17" s="1" a="1"/>
  <c r="N622" i="17" s="1"/>
  <c r="J622" i="17"/>
  <c r="O622" i="17" s="1" a="1"/>
  <c r="O622" i="17" s="1"/>
  <c r="K622" i="17"/>
  <c r="L622" i="17"/>
  <c r="M622" i="17" s="1"/>
  <c r="I623" i="17"/>
  <c r="N623" i="17" s="1" a="1"/>
  <c r="N623" i="17" s="1"/>
  <c r="J623" i="17"/>
  <c r="O623" i="17" s="1" a="1"/>
  <c r="O623" i="17" s="1"/>
  <c r="K623" i="17"/>
  <c r="L623" i="17"/>
  <c r="M623" i="17" s="1"/>
  <c r="I624" i="17"/>
  <c r="N624" i="17" s="1" a="1"/>
  <c r="N624" i="17" s="1"/>
  <c r="J624" i="17"/>
  <c r="O624" i="17" s="1" a="1"/>
  <c r="O624" i="17" s="1"/>
  <c r="K624" i="17"/>
  <c r="L624" i="17"/>
  <c r="M624" i="17" s="1"/>
  <c r="I625" i="17"/>
  <c r="N625" i="17" s="1" a="1"/>
  <c r="N625" i="17" s="1"/>
  <c r="J625" i="17"/>
  <c r="O625" i="17" s="1" a="1"/>
  <c r="O625" i="17" s="1"/>
  <c r="K625" i="17"/>
  <c r="L625" i="17"/>
  <c r="M625" i="17" s="1"/>
  <c r="I626" i="17"/>
  <c r="N626" i="17" s="1" a="1"/>
  <c r="N626" i="17" s="1"/>
  <c r="J626" i="17"/>
  <c r="O626" i="17" s="1" a="1"/>
  <c r="O626" i="17" s="1"/>
  <c r="K626" i="17"/>
  <c r="L626" i="17"/>
  <c r="M626" i="17" s="1"/>
  <c r="I627" i="17"/>
  <c r="N627" i="17" s="1" a="1"/>
  <c r="N627" i="17" s="1"/>
  <c r="J627" i="17"/>
  <c r="O627" i="17" s="1" a="1"/>
  <c r="O627" i="17" s="1"/>
  <c r="K627" i="17"/>
  <c r="L627" i="17"/>
  <c r="M627" i="17" s="1"/>
  <c r="I628" i="17"/>
  <c r="N628" i="17" s="1" a="1"/>
  <c r="N628" i="17" s="1"/>
  <c r="J628" i="17"/>
  <c r="O628" i="17" s="1" a="1"/>
  <c r="O628" i="17" s="1"/>
  <c r="K628" i="17"/>
  <c r="L628" i="17"/>
  <c r="M628" i="17" s="1"/>
  <c r="I629" i="17"/>
  <c r="N629" i="17" s="1" a="1"/>
  <c r="N629" i="17" s="1"/>
  <c r="J629" i="17"/>
  <c r="O629" i="17" s="1" a="1"/>
  <c r="O629" i="17" s="1"/>
  <c r="K629" i="17"/>
  <c r="L629" i="17"/>
  <c r="M629" i="17" s="1"/>
  <c r="I630" i="17"/>
  <c r="N630" i="17" s="1" a="1"/>
  <c r="N630" i="17" s="1"/>
  <c r="J630" i="17"/>
  <c r="O630" i="17" s="1" a="1"/>
  <c r="O630" i="17" s="1"/>
  <c r="K630" i="17"/>
  <c r="L630" i="17"/>
  <c r="M630" i="17" s="1"/>
  <c r="I631" i="17"/>
  <c r="N631" i="17" s="1" a="1"/>
  <c r="N631" i="17" s="1"/>
  <c r="J631" i="17"/>
  <c r="O631" i="17" s="1" a="1"/>
  <c r="O631" i="17" s="1"/>
  <c r="K631" i="17"/>
  <c r="L631" i="17"/>
  <c r="M631" i="17" s="1"/>
  <c r="I632" i="17"/>
  <c r="N632" i="17" s="1" a="1"/>
  <c r="N632" i="17" s="1"/>
  <c r="J632" i="17"/>
  <c r="O632" i="17" s="1" a="1"/>
  <c r="O632" i="17" s="1"/>
  <c r="K632" i="17"/>
  <c r="L632" i="17"/>
  <c r="M632" i="17" s="1"/>
  <c r="I633" i="17"/>
  <c r="N633" i="17" s="1" a="1"/>
  <c r="N633" i="17" s="1"/>
  <c r="J633" i="17"/>
  <c r="O633" i="17" s="1" a="1"/>
  <c r="O633" i="17" s="1"/>
  <c r="K633" i="17"/>
  <c r="L633" i="17"/>
  <c r="M633" i="17" s="1"/>
  <c r="I634" i="17"/>
  <c r="N634" i="17" s="1" a="1"/>
  <c r="N634" i="17" s="1"/>
  <c r="J634" i="17"/>
  <c r="O634" i="17" s="1" a="1"/>
  <c r="O634" i="17" s="1"/>
  <c r="K634" i="17"/>
  <c r="L634" i="17"/>
  <c r="M634" i="17" s="1"/>
  <c r="I635" i="17"/>
  <c r="N635" i="17" s="1" a="1"/>
  <c r="N635" i="17" s="1"/>
  <c r="J635" i="17"/>
  <c r="O635" i="17" s="1" a="1"/>
  <c r="O635" i="17" s="1"/>
  <c r="K635" i="17"/>
  <c r="L635" i="17"/>
  <c r="M635" i="17" s="1"/>
  <c r="I636" i="17"/>
  <c r="N636" i="17" s="1" a="1"/>
  <c r="N636" i="17" s="1"/>
  <c r="J636" i="17"/>
  <c r="O636" i="17" s="1" a="1"/>
  <c r="O636" i="17" s="1"/>
  <c r="K636" i="17"/>
  <c r="L636" i="17"/>
  <c r="M636" i="17" s="1"/>
  <c r="I637" i="17"/>
  <c r="N637" i="17" s="1" a="1"/>
  <c r="N637" i="17" s="1"/>
  <c r="J637" i="17"/>
  <c r="O637" i="17" s="1" a="1"/>
  <c r="O637" i="17" s="1"/>
  <c r="K637" i="17"/>
  <c r="L637" i="17"/>
  <c r="M637" i="17" s="1"/>
  <c r="I638" i="17"/>
  <c r="N638" i="17" s="1" a="1"/>
  <c r="N638" i="17" s="1"/>
  <c r="J638" i="17"/>
  <c r="O638" i="17" s="1" a="1"/>
  <c r="O638" i="17" s="1"/>
  <c r="K638" i="17"/>
  <c r="L638" i="17"/>
  <c r="M638" i="17" s="1"/>
  <c r="I639" i="17"/>
  <c r="N639" i="17" s="1" a="1"/>
  <c r="N639" i="17" s="1"/>
  <c r="J639" i="17"/>
  <c r="O639" i="17" s="1" a="1"/>
  <c r="O639" i="17" s="1"/>
  <c r="K639" i="17"/>
  <c r="L639" i="17"/>
  <c r="M639" i="17" s="1"/>
  <c r="I640" i="17"/>
  <c r="N640" i="17" s="1" a="1"/>
  <c r="N640" i="17" s="1"/>
  <c r="J640" i="17"/>
  <c r="O640" i="17" s="1" a="1"/>
  <c r="O640" i="17" s="1"/>
  <c r="K640" i="17"/>
  <c r="L640" i="17"/>
  <c r="M640" i="17" s="1"/>
  <c r="I641" i="17"/>
  <c r="N641" i="17" s="1" a="1"/>
  <c r="N641" i="17" s="1"/>
  <c r="J641" i="17"/>
  <c r="O641" i="17" s="1" a="1"/>
  <c r="O641" i="17" s="1"/>
  <c r="K641" i="17"/>
  <c r="L641" i="17"/>
  <c r="M641" i="17" s="1"/>
  <c r="I642" i="17"/>
  <c r="N642" i="17" s="1" a="1"/>
  <c r="N642" i="17" s="1"/>
  <c r="J642" i="17"/>
  <c r="O642" i="17" s="1" a="1"/>
  <c r="O642" i="17" s="1"/>
  <c r="K642" i="17"/>
  <c r="L642" i="17"/>
  <c r="M642" i="17" s="1"/>
  <c r="I643" i="17"/>
  <c r="N643" i="17" s="1" a="1"/>
  <c r="N643" i="17" s="1"/>
  <c r="J643" i="17"/>
  <c r="O643" i="17" s="1" a="1"/>
  <c r="O643" i="17" s="1"/>
  <c r="K643" i="17"/>
  <c r="L643" i="17"/>
  <c r="M643" i="17" s="1"/>
  <c r="I644" i="17"/>
  <c r="N644" i="17" s="1" a="1"/>
  <c r="N644" i="17" s="1"/>
  <c r="J644" i="17"/>
  <c r="O644" i="17" s="1" a="1"/>
  <c r="O644" i="17" s="1"/>
  <c r="K644" i="17"/>
  <c r="L644" i="17"/>
  <c r="M644" i="17" s="1"/>
  <c r="I645" i="17"/>
  <c r="N645" i="17" s="1" a="1"/>
  <c r="N645" i="17" s="1"/>
  <c r="J645" i="17"/>
  <c r="O645" i="17" s="1" a="1"/>
  <c r="O645" i="17" s="1"/>
  <c r="K645" i="17"/>
  <c r="L645" i="17"/>
  <c r="M645" i="17" s="1"/>
  <c r="I646" i="17"/>
  <c r="N646" i="17" s="1" a="1"/>
  <c r="N646" i="17" s="1"/>
  <c r="J646" i="17"/>
  <c r="O646" i="17" s="1" a="1"/>
  <c r="O646" i="17" s="1"/>
  <c r="K646" i="17"/>
  <c r="L646" i="17"/>
  <c r="M646" i="17" s="1"/>
  <c r="I647" i="17"/>
  <c r="N647" i="17" s="1" a="1"/>
  <c r="N647" i="17" s="1"/>
  <c r="J647" i="17"/>
  <c r="O647" i="17" s="1" a="1"/>
  <c r="O647" i="17" s="1"/>
  <c r="K647" i="17"/>
  <c r="L647" i="17"/>
  <c r="M647" i="17" s="1"/>
  <c r="I648" i="17"/>
  <c r="N648" i="17" s="1" a="1"/>
  <c r="N648" i="17" s="1"/>
  <c r="J648" i="17"/>
  <c r="O648" i="17" s="1" a="1"/>
  <c r="O648" i="17" s="1"/>
  <c r="K648" i="17"/>
  <c r="L648" i="17"/>
  <c r="M648" i="17" s="1"/>
  <c r="I649" i="17"/>
  <c r="N649" i="17" s="1" a="1"/>
  <c r="N649" i="17" s="1"/>
  <c r="J649" i="17"/>
  <c r="O649" i="17" s="1" a="1"/>
  <c r="O649" i="17" s="1"/>
  <c r="K649" i="17"/>
  <c r="L649" i="17"/>
  <c r="M649" i="17" s="1"/>
  <c r="I650" i="17"/>
  <c r="N650" i="17" s="1" a="1"/>
  <c r="N650" i="17" s="1"/>
  <c r="J650" i="17"/>
  <c r="O650" i="17" s="1" a="1"/>
  <c r="O650" i="17" s="1"/>
  <c r="K650" i="17"/>
  <c r="L650" i="17"/>
  <c r="M650" i="17" s="1"/>
  <c r="I651" i="17"/>
  <c r="N651" i="17" s="1" a="1"/>
  <c r="N651" i="17" s="1"/>
  <c r="J651" i="17"/>
  <c r="O651" i="17" s="1" a="1"/>
  <c r="O651" i="17" s="1"/>
  <c r="K651" i="17"/>
  <c r="L651" i="17"/>
  <c r="M651" i="17" s="1"/>
  <c r="I652" i="17"/>
  <c r="N652" i="17" s="1" a="1"/>
  <c r="N652" i="17" s="1"/>
  <c r="J652" i="17"/>
  <c r="O652" i="17" s="1" a="1"/>
  <c r="O652" i="17" s="1"/>
  <c r="K652" i="17"/>
  <c r="L652" i="17"/>
  <c r="M652" i="17" s="1"/>
  <c r="I653" i="17"/>
  <c r="N653" i="17" s="1" a="1"/>
  <c r="N653" i="17" s="1"/>
  <c r="J653" i="17"/>
  <c r="O653" i="17" s="1" a="1"/>
  <c r="O653" i="17" s="1"/>
  <c r="K653" i="17"/>
  <c r="L653" i="17"/>
  <c r="M653" i="17" s="1"/>
  <c r="I654" i="17"/>
  <c r="N654" i="17" s="1" a="1"/>
  <c r="N654" i="17" s="1"/>
  <c r="J654" i="17"/>
  <c r="O654" i="17" s="1" a="1"/>
  <c r="O654" i="17" s="1"/>
  <c r="K654" i="17"/>
  <c r="L654" i="17"/>
  <c r="M654" i="17" s="1"/>
  <c r="I655" i="17"/>
  <c r="N655" i="17" s="1" a="1"/>
  <c r="N655" i="17" s="1"/>
  <c r="J655" i="17"/>
  <c r="O655" i="17" s="1" a="1"/>
  <c r="O655" i="17" s="1"/>
  <c r="K655" i="17"/>
  <c r="L655" i="17"/>
  <c r="M655" i="17" s="1"/>
  <c r="I656" i="17"/>
  <c r="N656" i="17" s="1" a="1"/>
  <c r="N656" i="17" s="1"/>
  <c r="J656" i="17"/>
  <c r="O656" i="17" s="1" a="1"/>
  <c r="O656" i="17" s="1"/>
  <c r="K656" i="17"/>
  <c r="L656" i="17"/>
  <c r="M656" i="17" s="1"/>
  <c r="I657" i="17"/>
  <c r="N657" i="17" s="1" a="1"/>
  <c r="N657" i="17" s="1"/>
  <c r="J657" i="17"/>
  <c r="O657" i="17" s="1" a="1"/>
  <c r="O657" i="17" s="1"/>
  <c r="K657" i="17"/>
  <c r="L657" i="17"/>
  <c r="M657" i="17" s="1"/>
  <c r="I658" i="17"/>
  <c r="N658" i="17" s="1" a="1"/>
  <c r="N658" i="17" s="1"/>
  <c r="J658" i="17"/>
  <c r="O658" i="17" s="1" a="1"/>
  <c r="O658" i="17" s="1"/>
  <c r="K658" i="17"/>
  <c r="L658" i="17"/>
  <c r="M658" i="17" s="1"/>
  <c r="I659" i="17"/>
  <c r="N659" i="17" s="1" a="1"/>
  <c r="N659" i="17" s="1"/>
  <c r="J659" i="17"/>
  <c r="O659" i="17" s="1" a="1"/>
  <c r="O659" i="17" s="1"/>
  <c r="K659" i="17"/>
  <c r="L659" i="17"/>
  <c r="M659" i="17" s="1"/>
  <c r="I660" i="17"/>
  <c r="N660" i="17" s="1" a="1"/>
  <c r="N660" i="17" s="1"/>
  <c r="J660" i="17"/>
  <c r="O660" i="17" s="1" a="1"/>
  <c r="O660" i="17" s="1"/>
  <c r="K660" i="17"/>
  <c r="L660" i="17"/>
  <c r="M660" i="17" s="1"/>
  <c r="I661" i="17"/>
  <c r="N661" i="17" s="1" a="1"/>
  <c r="N661" i="17" s="1"/>
  <c r="J661" i="17"/>
  <c r="O661" i="17" s="1" a="1"/>
  <c r="O661" i="17" s="1"/>
  <c r="K661" i="17"/>
  <c r="L661" i="17"/>
  <c r="M661" i="17" s="1"/>
  <c r="I662" i="17"/>
  <c r="N662" i="17" s="1" a="1"/>
  <c r="N662" i="17" s="1"/>
  <c r="J662" i="17"/>
  <c r="O662" i="17" s="1" a="1"/>
  <c r="O662" i="17" s="1"/>
  <c r="K662" i="17"/>
  <c r="L662" i="17"/>
  <c r="M662" i="17" s="1"/>
  <c r="I663" i="17"/>
  <c r="N663" i="17" s="1" a="1"/>
  <c r="N663" i="17" s="1"/>
  <c r="J663" i="17"/>
  <c r="O663" i="17" s="1" a="1"/>
  <c r="O663" i="17" s="1"/>
  <c r="K663" i="17"/>
  <c r="L663" i="17"/>
  <c r="M663" i="17" s="1"/>
  <c r="I664" i="17"/>
  <c r="N664" i="17" s="1" a="1"/>
  <c r="N664" i="17" s="1"/>
  <c r="J664" i="17"/>
  <c r="O664" i="17" s="1" a="1"/>
  <c r="O664" i="17" s="1"/>
  <c r="K664" i="17"/>
  <c r="L664" i="17"/>
  <c r="M664" i="17" s="1"/>
  <c r="I665" i="17"/>
  <c r="N665" i="17" s="1" a="1"/>
  <c r="N665" i="17" s="1"/>
  <c r="J665" i="17"/>
  <c r="O665" i="17" s="1" a="1"/>
  <c r="O665" i="17" s="1"/>
  <c r="K665" i="17"/>
  <c r="L665" i="17"/>
  <c r="M665" i="17" s="1"/>
  <c r="I666" i="17"/>
  <c r="N666" i="17" s="1" a="1"/>
  <c r="N666" i="17" s="1"/>
  <c r="J666" i="17"/>
  <c r="O666" i="17" s="1" a="1"/>
  <c r="O666" i="17" s="1"/>
  <c r="K666" i="17"/>
  <c r="L666" i="17"/>
  <c r="M666" i="17" s="1"/>
  <c r="I667" i="17"/>
  <c r="N667" i="17" s="1" a="1"/>
  <c r="N667" i="17" s="1"/>
  <c r="J667" i="17"/>
  <c r="O667" i="17" s="1" a="1"/>
  <c r="O667" i="17" s="1"/>
  <c r="K667" i="17"/>
  <c r="L667" i="17"/>
  <c r="M667" i="17" s="1"/>
  <c r="I668" i="17"/>
  <c r="N668" i="17" s="1" a="1"/>
  <c r="N668" i="17" s="1"/>
  <c r="J668" i="17"/>
  <c r="O668" i="17" s="1" a="1"/>
  <c r="O668" i="17" s="1"/>
  <c r="K668" i="17"/>
  <c r="L668" i="17"/>
  <c r="M668" i="17" s="1"/>
  <c r="I669" i="17"/>
  <c r="N669" i="17" s="1" a="1"/>
  <c r="N669" i="17" s="1"/>
  <c r="J669" i="17"/>
  <c r="O669" i="17" s="1" a="1"/>
  <c r="O669" i="17" s="1"/>
  <c r="K669" i="17"/>
  <c r="L669" i="17"/>
  <c r="M669" i="17" s="1"/>
  <c r="I670" i="17"/>
  <c r="N670" i="17" s="1" a="1"/>
  <c r="N670" i="17" s="1"/>
  <c r="J670" i="17"/>
  <c r="O670" i="17" s="1" a="1"/>
  <c r="O670" i="17" s="1"/>
  <c r="K670" i="17"/>
  <c r="L670" i="17"/>
  <c r="M670" i="17" s="1"/>
  <c r="I671" i="17"/>
  <c r="N671" i="17" s="1" a="1"/>
  <c r="N671" i="17" s="1"/>
  <c r="J671" i="17"/>
  <c r="O671" i="17" s="1" a="1"/>
  <c r="O671" i="17" s="1"/>
  <c r="K671" i="17"/>
  <c r="L671" i="17"/>
  <c r="M671" i="17" s="1"/>
  <c r="I672" i="17"/>
  <c r="N672" i="17" s="1" a="1"/>
  <c r="N672" i="17" s="1"/>
  <c r="J672" i="17"/>
  <c r="O672" i="17" s="1" a="1"/>
  <c r="O672" i="17" s="1"/>
  <c r="K672" i="17"/>
  <c r="L672" i="17"/>
  <c r="M672" i="17" s="1"/>
  <c r="I673" i="17"/>
  <c r="N673" i="17" s="1" a="1"/>
  <c r="N673" i="17" s="1"/>
  <c r="J673" i="17"/>
  <c r="O673" i="17" s="1" a="1"/>
  <c r="O673" i="17" s="1"/>
  <c r="K673" i="17"/>
  <c r="L673" i="17"/>
  <c r="M673" i="17" s="1"/>
  <c r="I674" i="17"/>
  <c r="N674" i="17" s="1" a="1"/>
  <c r="N674" i="17" s="1"/>
  <c r="J674" i="17"/>
  <c r="O674" i="17" s="1" a="1"/>
  <c r="O674" i="17" s="1"/>
  <c r="K674" i="17"/>
  <c r="L674" i="17"/>
  <c r="M674" i="17" s="1"/>
  <c r="I675" i="17"/>
  <c r="N675" i="17" s="1" a="1"/>
  <c r="N675" i="17" s="1"/>
  <c r="J675" i="17"/>
  <c r="O675" i="17" s="1" a="1"/>
  <c r="O675" i="17" s="1"/>
  <c r="K675" i="17"/>
  <c r="L675" i="17"/>
  <c r="M675" i="17" s="1"/>
  <c r="I676" i="17"/>
  <c r="N676" i="17" s="1" a="1"/>
  <c r="N676" i="17" s="1"/>
  <c r="J676" i="17"/>
  <c r="O676" i="17" s="1" a="1"/>
  <c r="O676" i="17" s="1"/>
  <c r="K676" i="17"/>
  <c r="L676" i="17"/>
  <c r="M676" i="17" s="1"/>
  <c r="I677" i="17"/>
  <c r="N677" i="17" s="1" a="1"/>
  <c r="N677" i="17" s="1"/>
  <c r="J677" i="17"/>
  <c r="O677" i="17" s="1" a="1"/>
  <c r="O677" i="17" s="1"/>
  <c r="K677" i="17"/>
  <c r="L677" i="17"/>
  <c r="M677" i="17" s="1"/>
  <c r="I678" i="17"/>
  <c r="N678" i="17" s="1" a="1"/>
  <c r="N678" i="17" s="1"/>
  <c r="J678" i="17"/>
  <c r="O678" i="17" s="1" a="1"/>
  <c r="O678" i="17" s="1"/>
  <c r="K678" i="17"/>
  <c r="L678" i="17"/>
  <c r="M678" i="17" s="1"/>
  <c r="I679" i="17"/>
  <c r="N679" i="17" s="1" a="1"/>
  <c r="N679" i="17" s="1"/>
  <c r="J679" i="17"/>
  <c r="O679" i="17" s="1" a="1"/>
  <c r="O679" i="17" s="1"/>
  <c r="K679" i="17"/>
  <c r="L679" i="17"/>
  <c r="M679" i="17" s="1"/>
  <c r="I680" i="17"/>
  <c r="N680" i="17" s="1" a="1"/>
  <c r="N680" i="17" s="1"/>
  <c r="J680" i="17"/>
  <c r="O680" i="17" s="1" a="1"/>
  <c r="O680" i="17" s="1"/>
  <c r="K680" i="17"/>
  <c r="L680" i="17"/>
  <c r="M680" i="17" s="1"/>
  <c r="I681" i="17"/>
  <c r="N681" i="17" s="1" a="1"/>
  <c r="N681" i="17" s="1"/>
  <c r="J681" i="17"/>
  <c r="O681" i="17" s="1" a="1"/>
  <c r="O681" i="17" s="1"/>
  <c r="K681" i="17"/>
  <c r="L681" i="17"/>
  <c r="M681" i="17" s="1"/>
  <c r="I682" i="17"/>
  <c r="N682" i="17" s="1" a="1"/>
  <c r="N682" i="17" s="1"/>
  <c r="J682" i="17"/>
  <c r="O682" i="17" s="1" a="1"/>
  <c r="O682" i="17" s="1"/>
  <c r="K682" i="17"/>
  <c r="L682" i="17"/>
  <c r="M682" i="17" s="1"/>
  <c r="I683" i="17"/>
  <c r="N683" i="17" s="1" a="1"/>
  <c r="N683" i="17" s="1"/>
  <c r="J683" i="17"/>
  <c r="O683" i="17" s="1" a="1"/>
  <c r="O683" i="17" s="1"/>
  <c r="K683" i="17"/>
  <c r="L683" i="17"/>
  <c r="M683" i="17" s="1"/>
  <c r="I684" i="17"/>
  <c r="N684" i="17" s="1" a="1"/>
  <c r="N684" i="17" s="1"/>
  <c r="J684" i="17"/>
  <c r="O684" i="17" s="1" a="1"/>
  <c r="O684" i="17" s="1"/>
  <c r="K684" i="17"/>
  <c r="L684" i="17"/>
  <c r="M684" i="17" s="1"/>
  <c r="I685" i="17"/>
  <c r="N685" i="17" s="1" a="1"/>
  <c r="N685" i="17" s="1"/>
  <c r="J685" i="17"/>
  <c r="O685" i="17" s="1" a="1"/>
  <c r="O685" i="17" s="1"/>
  <c r="K685" i="17"/>
  <c r="L685" i="17"/>
  <c r="M685" i="17" s="1"/>
  <c r="I686" i="17"/>
  <c r="N686" i="17" s="1" a="1"/>
  <c r="N686" i="17" s="1"/>
  <c r="J686" i="17"/>
  <c r="O686" i="17" s="1" a="1"/>
  <c r="O686" i="17" s="1"/>
  <c r="K686" i="17"/>
  <c r="L686" i="17"/>
  <c r="M686" i="17" s="1"/>
  <c r="I687" i="17"/>
  <c r="N687" i="17" s="1" a="1"/>
  <c r="N687" i="17" s="1"/>
  <c r="J687" i="17"/>
  <c r="O687" i="17" s="1" a="1"/>
  <c r="O687" i="17" s="1"/>
  <c r="K687" i="17"/>
  <c r="L687" i="17"/>
  <c r="M687" i="17" s="1"/>
  <c r="I688" i="17"/>
  <c r="N688" i="17" s="1" a="1"/>
  <c r="N688" i="17" s="1"/>
  <c r="J688" i="17"/>
  <c r="O688" i="17" s="1" a="1"/>
  <c r="O688" i="17" s="1"/>
  <c r="K688" i="17"/>
  <c r="L688" i="17"/>
  <c r="M688" i="17" s="1"/>
  <c r="I689" i="17"/>
  <c r="N689" i="17" s="1" a="1"/>
  <c r="N689" i="17" s="1"/>
  <c r="J689" i="17"/>
  <c r="O689" i="17" s="1" a="1"/>
  <c r="O689" i="17" s="1"/>
  <c r="K689" i="17"/>
  <c r="L689" i="17"/>
  <c r="M689" i="17" s="1"/>
  <c r="I690" i="17"/>
  <c r="N690" i="17" s="1" a="1"/>
  <c r="N690" i="17" s="1"/>
  <c r="J690" i="17"/>
  <c r="O690" i="17" s="1" a="1"/>
  <c r="O690" i="17" s="1"/>
  <c r="K690" i="17"/>
  <c r="L690" i="17"/>
  <c r="M690" i="17" s="1"/>
  <c r="I691" i="17"/>
  <c r="N691" i="17" s="1" a="1"/>
  <c r="N691" i="17" s="1"/>
  <c r="J691" i="17"/>
  <c r="O691" i="17" s="1" a="1"/>
  <c r="O691" i="17" s="1"/>
  <c r="K691" i="17"/>
  <c r="L691" i="17"/>
  <c r="M691" i="17" s="1"/>
  <c r="I692" i="17"/>
  <c r="N692" i="17" s="1" a="1"/>
  <c r="N692" i="17" s="1"/>
  <c r="J692" i="17"/>
  <c r="O692" i="17" s="1" a="1"/>
  <c r="O692" i="17" s="1"/>
  <c r="K692" i="17"/>
  <c r="L692" i="17"/>
  <c r="M692" i="17" s="1"/>
  <c r="I693" i="17"/>
  <c r="N693" i="17" s="1" a="1"/>
  <c r="N693" i="17" s="1"/>
  <c r="J693" i="17"/>
  <c r="O693" i="17" s="1" a="1"/>
  <c r="O693" i="17" s="1"/>
  <c r="K693" i="17"/>
  <c r="L693" i="17"/>
  <c r="M693" i="17" s="1"/>
  <c r="I694" i="17"/>
  <c r="N694" i="17" s="1" a="1"/>
  <c r="N694" i="17" s="1"/>
  <c r="J694" i="17"/>
  <c r="O694" i="17" s="1" a="1"/>
  <c r="O694" i="17" s="1"/>
  <c r="K694" i="17"/>
  <c r="L694" i="17"/>
  <c r="M694" i="17" s="1"/>
  <c r="I695" i="17"/>
  <c r="N695" i="17" s="1" a="1"/>
  <c r="N695" i="17" s="1"/>
  <c r="J695" i="17"/>
  <c r="O695" i="17" s="1" a="1"/>
  <c r="O695" i="17" s="1"/>
  <c r="K695" i="17"/>
  <c r="L695" i="17"/>
  <c r="M695" i="17" s="1"/>
  <c r="I696" i="17"/>
  <c r="N696" i="17" s="1" a="1"/>
  <c r="N696" i="17" s="1"/>
  <c r="J696" i="17"/>
  <c r="O696" i="17" s="1" a="1"/>
  <c r="O696" i="17" s="1"/>
  <c r="K696" i="17"/>
  <c r="L696" i="17"/>
  <c r="M696" i="17" s="1"/>
  <c r="I697" i="17"/>
  <c r="N697" i="17" s="1" a="1"/>
  <c r="N697" i="17" s="1"/>
  <c r="J697" i="17"/>
  <c r="O697" i="17" s="1" a="1"/>
  <c r="O697" i="17" s="1"/>
  <c r="K697" i="17"/>
  <c r="L697" i="17"/>
  <c r="M697" i="17" s="1"/>
  <c r="I698" i="17"/>
  <c r="N698" i="17" s="1" a="1"/>
  <c r="N698" i="17" s="1"/>
  <c r="J698" i="17"/>
  <c r="O698" i="17" s="1" a="1"/>
  <c r="O698" i="17" s="1"/>
  <c r="K698" i="17"/>
  <c r="L698" i="17"/>
  <c r="M698" i="17" s="1"/>
  <c r="I699" i="17"/>
  <c r="N699" i="17" s="1" a="1"/>
  <c r="N699" i="17" s="1"/>
  <c r="J699" i="17"/>
  <c r="O699" i="17" s="1" a="1"/>
  <c r="O699" i="17" s="1"/>
  <c r="K699" i="17"/>
  <c r="L699" i="17"/>
  <c r="M699" i="17" s="1"/>
  <c r="I700" i="17"/>
  <c r="N700" i="17" s="1" a="1"/>
  <c r="N700" i="17" s="1"/>
  <c r="J700" i="17"/>
  <c r="O700" i="17" s="1" a="1"/>
  <c r="O700" i="17" s="1"/>
  <c r="K700" i="17"/>
  <c r="L700" i="17"/>
  <c r="M700" i="17" s="1"/>
  <c r="I701" i="17"/>
  <c r="N701" i="17" s="1" a="1"/>
  <c r="N701" i="17" s="1"/>
  <c r="J701" i="17"/>
  <c r="O701" i="17" s="1" a="1"/>
  <c r="O701" i="17" s="1"/>
  <c r="K701" i="17"/>
  <c r="L701" i="17"/>
  <c r="M701" i="17" s="1"/>
  <c r="I702" i="17"/>
  <c r="N702" i="17" s="1" a="1"/>
  <c r="N702" i="17" s="1"/>
  <c r="J702" i="17"/>
  <c r="O702" i="17" s="1" a="1"/>
  <c r="O702" i="17" s="1"/>
  <c r="K702" i="17"/>
  <c r="L702" i="17"/>
  <c r="M702" i="17" s="1"/>
  <c r="I703" i="17"/>
  <c r="N703" i="17" s="1" a="1"/>
  <c r="N703" i="17" s="1"/>
  <c r="J703" i="17"/>
  <c r="O703" i="17" s="1" a="1"/>
  <c r="O703" i="17" s="1"/>
  <c r="K703" i="17"/>
  <c r="L703" i="17"/>
  <c r="M703" i="17" s="1"/>
  <c r="I704" i="17"/>
  <c r="N704" i="17" s="1" a="1"/>
  <c r="N704" i="17" s="1"/>
  <c r="J704" i="17"/>
  <c r="O704" i="17" s="1" a="1"/>
  <c r="O704" i="17" s="1"/>
  <c r="K704" i="17"/>
  <c r="L704" i="17"/>
  <c r="M704" i="17" s="1"/>
  <c r="I705" i="17"/>
  <c r="N705" i="17" s="1" a="1"/>
  <c r="N705" i="17" s="1"/>
  <c r="J705" i="17"/>
  <c r="O705" i="17" s="1" a="1"/>
  <c r="O705" i="17" s="1"/>
  <c r="K705" i="17"/>
  <c r="L705" i="17"/>
  <c r="M705" i="17" s="1"/>
  <c r="I706" i="17"/>
  <c r="N706" i="17" s="1" a="1"/>
  <c r="N706" i="17" s="1"/>
  <c r="J706" i="17"/>
  <c r="O706" i="17" s="1" a="1"/>
  <c r="O706" i="17" s="1"/>
  <c r="K706" i="17"/>
  <c r="L706" i="17"/>
  <c r="M706" i="17" s="1"/>
  <c r="I707" i="17"/>
  <c r="N707" i="17" s="1" a="1"/>
  <c r="N707" i="17" s="1"/>
  <c r="J707" i="17"/>
  <c r="O707" i="17" s="1" a="1"/>
  <c r="O707" i="17" s="1"/>
  <c r="K707" i="17"/>
  <c r="L707" i="17"/>
  <c r="M707" i="17" s="1"/>
  <c r="I708" i="17"/>
  <c r="N708" i="17" s="1" a="1"/>
  <c r="N708" i="17" s="1"/>
  <c r="J708" i="17"/>
  <c r="O708" i="17" s="1" a="1"/>
  <c r="O708" i="17" s="1"/>
  <c r="K708" i="17"/>
  <c r="L708" i="17"/>
  <c r="M708" i="17" s="1"/>
  <c r="I709" i="17"/>
  <c r="N709" i="17" s="1" a="1"/>
  <c r="N709" i="17" s="1"/>
  <c r="J709" i="17"/>
  <c r="O709" i="17" s="1" a="1"/>
  <c r="O709" i="17" s="1"/>
  <c r="K709" i="17"/>
  <c r="L709" i="17"/>
  <c r="M709" i="17" s="1"/>
  <c r="I710" i="17"/>
  <c r="N710" i="17" s="1" a="1"/>
  <c r="N710" i="17" s="1"/>
  <c r="J710" i="17"/>
  <c r="O710" i="17" s="1" a="1"/>
  <c r="O710" i="17" s="1"/>
  <c r="K710" i="17"/>
  <c r="L710" i="17"/>
  <c r="M710" i="17" s="1"/>
  <c r="I711" i="17"/>
  <c r="N711" i="17" s="1" a="1"/>
  <c r="N711" i="17" s="1"/>
  <c r="J711" i="17"/>
  <c r="O711" i="17" s="1" a="1"/>
  <c r="O711" i="17" s="1"/>
  <c r="K711" i="17"/>
  <c r="L711" i="17"/>
  <c r="M711" i="17" s="1"/>
  <c r="I712" i="17"/>
  <c r="N712" i="17" s="1" a="1"/>
  <c r="N712" i="17" s="1"/>
  <c r="J712" i="17"/>
  <c r="O712" i="17" s="1" a="1"/>
  <c r="O712" i="17" s="1"/>
  <c r="K712" i="17"/>
  <c r="L712" i="17"/>
  <c r="M712" i="17" s="1"/>
  <c r="I713" i="17"/>
  <c r="N713" i="17" s="1" a="1"/>
  <c r="N713" i="17" s="1"/>
  <c r="J713" i="17"/>
  <c r="O713" i="17" s="1" a="1"/>
  <c r="O713" i="17" s="1"/>
  <c r="K713" i="17"/>
  <c r="L713" i="17"/>
  <c r="M713" i="17" s="1"/>
  <c r="I714" i="17"/>
  <c r="N714" i="17" s="1" a="1"/>
  <c r="N714" i="17" s="1"/>
  <c r="J714" i="17"/>
  <c r="O714" i="17" s="1" a="1"/>
  <c r="O714" i="17" s="1"/>
  <c r="K714" i="17"/>
  <c r="L714" i="17"/>
  <c r="M714" i="17" s="1"/>
  <c r="I715" i="17"/>
  <c r="N715" i="17" s="1" a="1"/>
  <c r="N715" i="17" s="1"/>
  <c r="J715" i="17"/>
  <c r="O715" i="17" s="1" a="1"/>
  <c r="O715" i="17" s="1"/>
  <c r="K715" i="17"/>
  <c r="L715" i="17"/>
  <c r="M715" i="17" s="1"/>
  <c r="I716" i="17"/>
  <c r="N716" i="17" s="1" a="1"/>
  <c r="N716" i="17" s="1"/>
  <c r="J716" i="17"/>
  <c r="O716" i="17" s="1" a="1"/>
  <c r="O716" i="17" s="1"/>
  <c r="K716" i="17"/>
  <c r="L716" i="17"/>
  <c r="M716" i="17" s="1"/>
  <c r="I717" i="17"/>
  <c r="N717" i="17" s="1" a="1"/>
  <c r="N717" i="17" s="1"/>
  <c r="J717" i="17"/>
  <c r="O717" i="17" s="1" a="1"/>
  <c r="O717" i="17" s="1"/>
  <c r="K717" i="17"/>
  <c r="L717" i="17"/>
  <c r="M717" i="17" s="1"/>
  <c r="I718" i="17"/>
  <c r="N718" i="17" s="1" a="1"/>
  <c r="N718" i="17" s="1"/>
  <c r="J718" i="17"/>
  <c r="O718" i="17" s="1" a="1"/>
  <c r="O718" i="17" s="1"/>
  <c r="K718" i="17"/>
  <c r="L718" i="17"/>
  <c r="M718" i="17" s="1"/>
  <c r="I719" i="17"/>
  <c r="N719" i="17" s="1" a="1"/>
  <c r="N719" i="17" s="1"/>
  <c r="J719" i="17"/>
  <c r="O719" i="17" s="1" a="1"/>
  <c r="O719" i="17" s="1"/>
  <c r="K719" i="17"/>
  <c r="L719" i="17"/>
  <c r="M719" i="17" s="1"/>
  <c r="I720" i="17"/>
  <c r="N720" i="17" s="1" a="1"/>
  <c r="N720" i="17" s="1"/>
  <c r="J720" i="17"/>
  <c r="O720" i="17" s="1" a="1"/>
  <c r="O720" i="17" s="1"/>
  <c r="K720" i="17"/>
  <c r="L720" i="17"/>
  <c r="M720" i="17" s="1"/>
  <c r="I721" i="17"/>
  <c r="N721" i="17" s="1" a="1"/>
  <c r="N721" i="17" s="1"/>
  <c r="J721" i="17"/>
  <c r="O721" i="17" s="1" a="1"/>
  <c r="O721" i="17" s="1"/>
  <c r="K721" i="17"/>
  <c r="L721" i="17"/>
  <c r="M721" i="17" s="1"/>
  <c r="I722" i="17"/>
  <c r="N722" i="17" s="1" a="1"/>
  <c r="N722" i="17" s="1"/>
  <c r="J722" i="17"/>
  <c r="O722" i="17" s="1" a="1"/>
  <c r="O722" i="17" s="1"/>
  <c r="K722" i="17"/>
  <c r="L722" i="17"/>
  <c r="M722" i="17" s="1"/>
  <c r="I723" i="17"/>
  <c r="N723" i="17" s="1" a="1"/>
  <c r="N723" i="17" s="1"/>
  <c r="J723" i="17"/>
  <c r="O723" i="17" s="1" a="1"/>
  <c r="O723" i="17" s="1"/>
  <c r="K723" i="17"/>
  <c r="L723" i="17"/>
  <c r="M723" i="17" s="1"/>
  <c r="I724" i="17"/>
  <c r="N724" i="17" s="1" a="1"/>
  <c r="N724" i="17" s="1"/>
  <c r="J724" i="17"/>
  <c r="O724" i="17" s="1" a="1"/>
  <c r="O724" i="17" s="1"/>
  <c r="K724" i="17"/>
  <c r="L724" i="17"/>
  <c r="M724" i="17" s="1"/>
  <c r="I725" i="17"/>
  <c r="N725" i="17" s="1" a="1"/>
  <c r="N725" i="17" s="1"/>
  <c r="J725" i="17"/>
  <c r="O725" i="17" s="1" a="1"/>
  <c r="O725" i="17" s="1"/>
  <c r="K725" i="17"/>
  <c r="L725" i="17"/>
  <c r="M725" i="17" s="1"/>
  <c r="I726" i="17"/>
  <c r="N726" i="17" s="1" a="1"/>
  <c r="N726" i="17" s="1"/>
  <c r="J726" i="17"/>
  <c r="O726" i="17" s="1" a="1"/>
  <c r="O726" i="17" s="1"/>
  <c r="K726" i="17"/>
  <c r="L726" i="17"/>
  <c r="M726" i="17" s="1"/>
  <c r="I727" i="17"/>
  <c r="N727" i="17" s="1" a="1"/>
  <c r="N727" i="17" s="1"/>
  <c r="J727" i="17"/>
  <c r="O727" i="17" s="1" a="1"/>
  <c r="O727" i="17" s="1"/>
  <c r="K727" i="17"/>
  <c r="L727" i="17"/>
  <c r="M727" i="17" s="1"/>
  <c r="I728" i="17"/>
  <c r="N728" i="17" s="1" a="1"/>
  <c r="N728" i="17" s="1"/>
  <c r="J728" i="17"/>
  <c r="O728" i="17" s="1" a="1"/>
  <c r="O728" i="17" s="1"/>
  <c r="K728" i="17"/>
  <c r="L728" i="17"/>
  <c r="M728" i="17" s="1"/>
  <c r="I729" i="17"/>
  <c r="N729" i="17" s="1" a="1"/>
  <c r="N729" i="17" s="1"/>
  <c r="J729" i="17"/>
  <c r="O729" i="17" s="1" a="1"/>
  <c r="O729" i="17" s="1"/>
  <c r="K729" i="17"/>
  <c r="L729" i="17"/>
  <c r="M729" i="17" s="1"/>
  <c r="I730" i="17"/>
  <c r="N730" i="17" s="1" a="1"/>
  <c r="N730" i="17" s="1"/>
  <c r="J730" i="17"/>
  <c r="O730" i="17" s="1" a="1"/>
  <c r="O730" i="17" s="1"/>
  <c r="K730" i="17"/>
  <c r="L730" i="17"/>
  <c r="M730" i="17" s="1"/>
  <c r="I731" i="17"/>
  <c r="N731" i="17" s="1" a="1"/>
  <c r="N731" i="17" s="1"/>
  <c r="J731" i="17"/>
  <c r="O731" i="17" s="1" a="1"/>
  <c r="O731" i="17" s="1"/>
  <c r="K731" i="17"/>
  <c r="L731" i="17"/>
  <c r="M731" i="17" s="1"/>
  <c r="I732" i="17"/>
  <c r="N732" i="17" s="1" a="1"/>
  <c r="N732" i="17" s="1"/>
  <c r="J732" i="17"/>
  <c r="O732" i="17" s="1" a="1"/>
  <c r="O732" i="17" s="1"/>
  <c r="K732" i="17"/>
  <c r="L732" i="17"/>
  <c r="M732" i="17" s="1"/>
  <c r="I733" i="17"/>
  <c r="N733" i="17" s="1" a="1"/>
  <c r="N733" i="17" s="1"/>
  <c r="J733" i="17"/>
  <c r="O733" i="17" s="1" a="1"/>
  <c r="O733" i="17" s="1"/>
  <c r="K733" i="17"/>
  <c r="L733" i="17"/>
  <c r="M733" i="17" s="1"/>
  <c r="I734" i="17"/>
  <c r="N734" i="17" s="1" a="1"/>
  <c r="N734" i="17" s="1"/>
  <c r="J734" i="17"/>
  <c r="O734" i="17" s="1" a="1"/>
  <c r="O734" i="17" s="1"/>
  <c r="K734" i="17"/>
  <c r="L734" i="17"/>
  <c r="M734" i="17" s="1"/>
  <c r="I735" i="17"/>
  <c r="N735" i="17" s="1" a="1"/>
  <c r="N735" i="17" s="1"/>
  <c r="J735" i="17"/>
  <c r="O735" i="17" s="1" a="1"/>
  <c r="O735" i="17" s="1"/>
  <c r="K735" i="17"/>
  <c r="L735" i="17"/>
  <c r="M735" i="17" s="1"/>
  <c r="I736" i="17"/>
  <c r="N736" i="17" s="1" a="1"/>
  <c r="N736" i="17" s="1"/>
  <c r="J736" i="17"/>
  <c r="O736" i="17" s="1" a="1"/>
  <c r="O736" i="17" s="1"/>
  <c r="K736" i="17"/>
  <c r="L736" i="17"/>
  <c r="M736" i="17" s="1"/>
  <c r="I737" i="17"/>
  <c r="N737" i="17" s="1" a="1"/>
  <c r="N737" i="17" s="1"/>
  <c r="J737" i="17"/>
  <c r="O737" i="17" s="1" a="1"/>
  <c r="O737" i="17" s="1"/>
  <c r="K737" i="17"/>
  <c r="L737" i="17"/>
  <c r="M737" i="17" s="1"/>
  <c r="I738" i="17"/>
  <c r="N738" i="17" s="1" a="1"/>
  <c r="N738" i="17" s="1"/>
  <c r="J738" i="17"/>
  <c r="O738" i="17" s="1" a="1"/>
  <c r="O738" i="17" s="1"/>
  <c r="K738" i="17"/>
  <c r="L738" i="17"/>
  <c r="M738" i="17" s="1"/>
  <c r="I739" i="17"/>
  <c r="N739" i="17" s="1" a="1"/>
  <c r="N739" i="17" s="1"/>
  <c r="J739" i="17"/>
  <c r="O739" i="17" s="1" a="1"/>
  <c r="O739" i="17" s="1"/>
  <c r="K739" i="17"/>
  <c r="L739" i="17"/>
  <c r="M739" i="17" s="1"/>
  <c r="I740" i="17"/>
  <c r="N740" i="17" s="1" a="1"/>
  <c r="N740" i="17" s="1"/>
  <c r="J740" i="17"/>
  <c r="O740" i="17" s="1" a="1"/>
  <c r="O740" i="17" s="1"/>
  <c r="K740" i="17"/>
  <c r="L740" i="17"/>
  <c r="M740" i="17" s="1"/>
  <c r="I741" i="17"/>
  <c r="N741" i="17" s="1" a="1"/>
  <c r="N741" i="17" s="1"/>
  <c r="J741" i="17"/>
  <c r="O741" i="17" s="1" a="1"/>
  <c r="O741" i="17" s="1"/>
  <c r="K741" i="17"/>
  <c r="L741" i="17"/>
  <c r="M741" i="17" s="1"/>
  <c r="I742" i="17"/>
  <c r="N742" i="17" s="1" a="1"/>
  <c r="N742" i="17" s="1"/>
  <c r="J742" i="17"/>
  <c r="O742" i="17" s="1" a="1"/>
  <c r="O742" i="17" s="1"/>
  <c r="K742" i="17"/>
  <c r="L742" i="17"/>
  <c r="M742" i="17" s="1"/>
  <c r="I743" i="17"/>
  <c r="N743" i="17" s="1" a="1"/>
  <c r="N743" i="17" s="1"/>
  <c r="J743" i="17"/>
  <c r="O743" i="17" s="1" a="1"/>
  <c r="O743" i="17" s="1"/>
  <c r="K743" i="17"/>
  <c r="L743" i="17"/>
  <c r="M743" i="17" s="1"/>
  <c r="I744" i="17"/>
  <c r="N744" i="17" s="1" a="1"/>
  <c r="N744" i="17" s="1"/>
  <c r="J744" i="17"/>
  <c r="O744" i="17" s="1" a="1"/>
  <c r="O744" i="17" s="1"/>
  <c r="K744" i="17"/>
  <c r="L744" i="17"/>
  <c r="M744" i="17" s="1"/>
  <c r="I745" i="17"/>
  <c r="N745" i="17" s="1" a="1"/>
  <c r="N745" i="17" s="1"/>
  <c r="J745" i="17"/>
  <c r="O745" i="17" s="1" a="1"/>
  <c r="O745" i="17" s="1"/>
  <c r="K745" i="17"/>
  <c r="L745" i="17"/>
  <c r="M745" i="17" s="1"/>
  <c r="I746" i="17"/>
  <c r="N746" i="17" s="1" a="1"/>
  <c r="N746" i="17" s="1"/>
  <c r="J746" i="17"/>
  <c r="O746" i="17" s="1" a="1"/>
  <c r="O746" i="17" s="1"/>
  <c r="K746" i="17"/>
  <c r="L746" i="17"/>
  <c r="M746" i="17" s="1"/>
  <c r="I747" i="17"/>
  <c r="N747" i="17" s="1" a="1"/>
  <c r="N747" i="17" s="1"/>
  <c r="J747" i="17"/>
  <c r="O747" i="17" s="1" a="1"/>
  <c r="O747" i="17" s="1"/>
  <c r="K747" i="17"/>
  <c r="L747" i="17"/>
  <c r="M747" i="17" s="1"/>
  <c r="I748" i="17"/>
  <c r="N748" i="17" s="1" a="1"/>
  <c r="N748" i="17" s="1"/>
  <c r="J748" i="17"/>
  <c r="O748" i="17" s="1" a="1"/>
  <c r="O748" i="17" s="1"/>
  <c r="K748" i="17"/>
  <c r="L748" i="17"/>
  <c r="M748" i="17" s="1"/>
  <c r="I749" i="17"/>
  <c r="N749" i="17" s="1" a="1"/>
  <c r="N749" i="17" s="1"/>
  <c r="J749" i="17"/>
  <c r="O749" i="17" s="1" a="1"/>
  <c r="O749" i="17" s="1"/>
  <c r="K749" i="17"/>
  <c r="L749" i="17"/>
  <c r="M749" i="17" s="1"/>
  <c r="I750" i="17"/>
  <c r="N750" i="17" s="1" a="1"/>
  <c r="N750" i="17" s="1"/>
  <c r="J750" i="17"/>
  <c r="O750" i="17" s="1" a="1"/>
  <c r="O750" i="17" s="1"/>
  <c r="K750" i="17"/>
  <c r="L750" i="17"/>
  <c r="M750" i="17" s="1"/>
  <c r="I751" i="17"/>
  <c r="N751" i="17" s="1" a="1"/>
  <c r="N751" i="17" s="1"/>
  <c r="J751" i="17"/>
  <c r="O751" i="17" s="1" a="1"/>
  <c r="O751" i="17" s="1"/>
  <c r="K751" i="17"/>
  <c r="L751" i="17"/>
  <c r="M751" i="17" s="1"/>
  <c r="I752" i="17"/>
  <c r="N752" i="17" s="1" a="1"/>
  <c r="N752" i="17" s="1"/>
  <c r="J752" i="17"/>
  <c r="O752" i="17" s="1" a="1"/>
  <c r="O752" i="17" s="1"/>
  <c r="K752" i="17"/>
  <c r="L752" i="17"/>
  <c r="M752" i="17" s="1"/>
  <c r="I753" i="17"/>
  <c r="N753" i="17" s="1" a="1"/>
  <c r="N753" i="17" s="1"/>
  <c r="J753" i="17"/>
  <c r="O753" i="17" s="1" a="1"/>
  <c r="O753" i="17" s="1"/>
  <c r="K753" i="17"/>
  <c r="L753" i="17"/>
  <c r="M753" i="17" s="1"/>
  <c r="I754" i="17"/>
  <c r="N754" i="17" s="1" a="1"/>
  <c r="N754" i="17" s="1"/>
  <c r="J754" i="17"/>
  <c r="O754" i="17" s="1" a="1"/>
  <c r="O754" i="17" s="1"/>
  <c r="K754" i="17"/>
  <c r="L754" i="17"/>
  <c r="M754" i="17" s="1"/>
  <c r="I755" i="17"/>
  <c r="N755" i="17" s="1" a="1"/>
  <c r="N755" i="17" s="1"/>
  <c r="J755" i="17"/>
  <c r="O755" i="17" s="1" a="1"/>
  <c r="O755" i="17" s="1"/>
  <c r="K755" i="17"/>
  <c r="L755" i="17"/>
  <c r="M755" i="17" s="1"/>
  <c r="I756" i="17"/>
  <c r="N756" i="17" s="1" a="1"/>
  <c r="N756" i="17" s="1"/>
  <c r="J756" i="17"/>
  <c r="O756" i="17" s="1" a="1"/>
  <c r="O756" i="17" s="1"/>
  <c r="K756" i="17"/>
  <c r="L756" i="17"/>
  <c r="M756" i="17" s="1"/>
  <c r="I757" i="17"/>
  <c r="N757" i="17" s="1" a="1"/>
  <c r="N757" i="17" s="1"/>
  <c r="J757" i="17"/>
  <c r="O757" i="17" s="1" a="1"/>
  <c r="O757" i="17" s="1"/>
  <c r="K757" i="17"/>
  <c r="L757" i="17"/>
  <c r="M757" i="17" s="1"/>
  <c r="I758" i="17"/>
  <c r="N758" i="17" s="1" a="1"/>
  <c r="N758" i="17" s="1"/>
  <c r="J758" i="17"/>
  <c r="O758" i="17" s="1" a="1"/>
  <c r="O758" i="17" s="1"/>
  <c r="K758" i="17"/>
  <c r="L758" i="17"/>
  <c r="M758" i="17" s="1"/>
  <c r="I759" i="17"/>
  <c r="N759" i="17" s="1" a="1"/>
  <c r="N759" i="17" s="1"/>
  <c r="J759" i="17"/>
  <c r="O759" i="17" s="1" a="1"/>
  <c r="O759" i="17" s="1"/>
  <c r="K759" i="17"/>
  <c r="L759" i="17"/>
  <c r="M759" i="17" s="1"/>
  <c r="I760" i="17"/>
  <c r="N760" i="17" s="1" a="1"/>
  <c r="N760" i="17" s="1"/>
  <c r="J760" i="17"/>
  <c r="O760" i="17" s="1" a="1"/>
  <c r="O760" i="17" s="1"/>
  <c r="K760" i="17"/>
  <c r="L760" i="17"/>
  <c r="M760" i="17" s="1"/>
  <c r="I761" i="17"/>
  <c r="N761" i="17" s="1" a="1"/>
  <c r="N761" i="17" s="1"/>
  <c r="J761" i="17"/>
  <c r="O761" i="17" s="1" a="1"/>
  <c r="O761" i="17" s="1"/>
  <c r="K761" i="17"/>
  <c r="L761" i="17"/>
  <c r="M761" i="17" s="1"/>
  <c r="I762" i="17"/>
  <c r="N762" i="17" s="1" a="1"/>
  <c r="N762" i="17" s="1"/>
  <c r="J762" i="17"/>
  <c r="O762" i="17" s="1" a="1"/>
  <c r="O762" i="17" s="1"/>
  <c r="K762" i="17"/>
  <c r="L762" i="17"/>
  <c r="M762" i="17" s="1"/>
  <c r="I763" i="17"/>
  <c r="N763" i="17" s="1" a="1"/>
  <c r="N763" i="17" s="1"/>
  <c r="J763" i="17"/>
  <c r="O763" i="17" s="1" a="1"/>
  <c r="O763" i="17" s="1"/>
  <c r="K763" i="17"/>
  <c r="L763" i="17"/>
  <c r="M763" i="17" s="1"/>
  <c r="I764" i="17"/>
  <c r="N764" i="17" s="1" a="1"/>
  <c r="N764" i="17" s="1"/>
  <c r="J764" i="17"/>
  <c r="O764" i="17" s="1" a="1"/>
  <c r="O764" i="17" s="1"/>
  <c r="K764" i="17"/>
  <c r="L764" i="17"/>
  <c r="M764" i="17" s="1"/>
  <c r="I765" i="17"/>
  <c r="N765" i="17" s="1" a="1"/>
  <c r="N765" i="17" s="1"/>
  <c r="J765" i="17"/>
  <c r="O765" i="17" s="1" a="1"/>
  <c r="O765" i="17" s="1"/>
  <c r="K765" i="17"/>
  <c r="L765" i="17"/>
  <c r="M765" i="17" s="1"/>
  <c r="I766" i="17"/>
  <c r="N766" i="17" s="1" a="1"/>
  <c r="N766" i="17" s="1"/>
  <c r="J766" i="17"/>
  <c r="O766" i="17" s="1" a="1"/>
  <c r="O766" i="17" s="1"/>
  <c r="K766" i="17"/>
  <c r="L766" i="17"/>
  <c r="M766" i="17" s="1"/>
  <c r="I767" i="17"/>
  <c r="N767" i="17" s="1" a="1"/>
  <c r="N767" i="17" s="1"/>
  <c r="J767" i="17"/>
  <c r="O767" i="17" s="1" a="1"/>
  <c r="O767" i="17" s="1"/>
  <c r="K767" i="17"/>
  <c r="L767" i="17"/>
  <c r="M767" i="17" s="1"/>
  <c r="I768" i="17"/>
  <c r="N768" i="17" s="1" a="1"/>
  <c r="N768" i="17" s="1"/>
  <c r="J768" i="17"/>
  <c r="O768" i="17" s="1" a="1"/>
  <c r="O768" i="17" s="1"/>
  <c r="K768" i="17"/>
  <c r="L768" i="17"/>
  <c r="M768" i="17" s="1"/>
  <c r="I769" i="17"/>
  <c r="N769" i="17" s="1" a="1"/>
  <c r="N769" i="17" s="1"/>
  <c r="J769" i="17"/>
  <c r="O769" i="17" s="1" a="1"/>
  <c r="O769" i="17" s="1"/>
  <c r="K769" i="17"/>
  <c r="L769" i="17"/>
  <c r="M769" i="17" s="1"/>
  <c r="I770" i="17"/>
  <c r="N770" i="17" s="1" a="1"/>
  <c r="N770" i="17" s="1"/>
  <c r="J770" i="17"/>
  <c r="O770" i="17" s="1" a="1"/>
  <c r="O770" i="17" s="1"/>
  <c r="K770" i="17"/>
  <c r="L770" i="17"/>
  <c r="M770" i="17" s="1"/>
  <c r="I771" i="17"/>
  <c r="N771" i="17" s="1" a="1"/>
  <c r="N771" i="17" s="1"/>
  <c r="J771" i="17"/>
  <c r="O771" i="17" s="1" a="1"/>
  <c r="O771" i="17" s="1"/>
  <c r="K771" i="17"/>
  <c r="L771" i="17"/>
  <c r="M771" i="17" s="1"/>
  <c r="I772" i="17"/>
  <c r="N772" i="17" s="1" a="1"/>
  <c r="N772" i="17" s="1"/>
  <c r="J772" i="17"/>
  <c r="O772" i="17" s="1" a="1"/>
  <c r="O772" i="17" s="1"/>
  <c r="K772" i="17"/>
  <c r="L772" i="17"/>
  <c r="M772" i="17" s="1"/>
  <c r="I773" i="17"/>
  <c r="N773" i="17" s="1" a="1"/>
  <c r="N773" i="17" s="1"/>
  <c r="J773" i="17"/>
  <c r="O773" i="17" s="1" a="1"/>
  <c r="O773" i="17" s="1"/>
  <c r="K773" i="17"/>
  <c r="L773" i="17"/>
  <c r="M773" i="17" s="1"/>
  <c r="I774" i="17"/>
  <c r="N774" i="17" s="1" a="1"/>
  <c r="N774" i="17" s="1"/>
  <c r="J774" i="17"/>
  <c r="O774" i="17" s="1" a="1"/>
  <c r="O774" i="17" s="1"/>
  <c r="K774" i="17"/>
  <c r="L774" i="17"/>
  <c r="M774" i="17" s="1"/>
  <c r="I775" i="17"/>
  <c r="N775" i="17" s="1" a="1"/>
  <c r="N775" i="17" s="1"/>
  <c r="J775" i="17"/>
  <c r="O775" i="17" s="1" a="1"/>
  <c r="O775" i="17" s="1"/>
  <c r="K775" i="17"/>
  <c r="L775" i="17"/>
  <c r="M775" i="17" s="1"/>
  <c r="I776" i="17"/>
  <c r="N776" i="17" s="1" a="1"/>
  <c r="N776" i="17" s="1"/>
  <c r="J776" i="17"/>
  <c r="O776" i="17" s="1" a="1"/>
  <c r="O776" i="17" s="1"/>
  <c r="K776" i="17"/>
  <c r="L776" i="17"/>
  <c r="M776" i="17" s="1"/>
  <c r="I777" i="17"/>
  <c r="N777" i="17" s="1" a="1"/>
  <c r="N777" i="17" s="1"/>
  <c r="J777" i="17"/>
  <c r="O777" i="17" s="1" a="1"/>
  <c r="O777" i="17" s="1"/>
  <c r="K777" i="17"/>
  <c r="L777" i="17"/>
  <c r="M777" i="17" s="1"/>
  <c r="I778" i="17"/>
  <c r="N778" i="17" s="1" a="1"/>
  <c r="N778" i="17" s="1"/>
  <c r="J778" i="17"/>
  <c r="O778" i="17" s="1" a="1"/>
  <c r="O778" i="17" s="1"/>
  <c r="K778" i="17"/>
  <c r="L778" i="17"/>
  <c r="M778" i="17" s="1"/>
  <c r="I779" i="17"/>
  <c r="N779" i="17" s="1" a="1"/>
  <c r="N779" i="17" s="1"/>
  <c r="J779" i="17"/>
  <c r="O779" i="17" s="1" a="1"/>
  <c r="O779" i="17" s="1"/>
  <c r="K779" i="17"/>
  <c r="L779" i="17"/>
  <c r="M779" i="17" s="1"/>
  <c r="I780" i="17"/>
  <c r="N780" i="17" s="1" a="1"/>
  <c r="N780" i="17" s="1"/>
  <c r="J780" i="17"/>
  <c r="O780" i="17" s="1" a="1"/>
  <c r="O780" i="17" s="1"/>
  <c r="K780" i="17"/>
  <c r="L780" i="17"/>
  <c r="M780" i="17" s="1"/>
  <c r="I781" i="17"/>
  <c r="N781" i="17" s="1" a="1"/>
  <c r="N781" i="17" s="1"/>
  <c r="J781" i="17"/>
  <c r="O781" i="17" s="1" a="1"/>
  <c r="O781" i="17" s="1"/>
  <c r="K781" i="17"/>
  <c r="L781" i="17"/>
  <c r="M781" i="17" s="1"/>
  <c r="I782" i="17"/>
  <c r="N782" i="17" s="1" a="1"/>
  <c r="N782" i="17" s="1"/>
  <c r="J782" i="17"/>
  <c r="O782" i="17" s="1" a="1"/>
  <c r="O782" i="17" s="1"/>
  <c r="K782" i="17"/>
  <c r="L782" i="17"/>
  <c r="M782" i="17" s="1"/>
  <c r="I783" i="17"/>
  <c r="N783" i="17" s="1" a="1"/>
  <c r="N783" i="17" s="1"/>
  <c r="J783" i="17"/>
  <c r="O783" i="17" s="1" a="1"/>
  <c r="O783" i="17" s="1"/>
  <c r="K783" i="17"/>
  <c r="L783" i="17"/>
  <c r="M783" i="17" s="1"/>
  <c r="I784" i="17"/>
  <c r="N784" i="17" s="1" a="1"/>
  <c r="N784" i="17" s="1"/>
  <c r="J784" i="17"/>
  <c r="O784" i="17" s="1" a="1"/>
  <c r="O784" i="17" s="1"/>
  <c r="K784" i="17"/>
  <c r="L784" i="17"/>
  <c r="M784" i="17" s="1"/>
  <c r="I785" i="17"/>
  <c r="N785" i="17" s="1" a="1"/>
  <c r="N785" i="17" s="1"/>
  <c r="J785" i="17"/>
  <c r="O785" i="17" s="1" a="1"/>
  <c r="O785" i="17" s="1"/>
  <c r="K785" i="17"/>
  <c r="L785" i="17"/>
  <c r="M785" i="17" s="1"/>
  <c r="I786" i="17"/>
  <c r="N786" i="17" s="1" a="1"/>
  <c r="N786" i="17" s="1"/>
  <c r="J786" i="17"/>
  <c r="O786" i="17" s="1" a="1"/>
  <c r="O786" i="17" s="1"/>
  <c r="K786" i="17"/>
  <c r="L786" i="17"/>
  <c r="M786" i="17" s="1"/>
  <c r="I787" i="17"/>
  <c r="N787" i="17" s="1" a="1"/>
  <c r="N787" i="17" s="1"/>
  <c r="J787" i="17"/>
  <c r="O787" i="17" s="1" a="1"/>
  <c r="O787" i="17" s="1"/>
  <c r="K787" i="17"/>
  <c r="L787" i="17"/>
  <c r="M787" i="17" s="1"/>
  <c r="I788" i="17"/>
  <c r="N788" i="17" s="1" a="1"/>
  <c r="N788" i="17" s="1"/>
  <c r="J788" i="17"/>
  <c r="O788" i="17" s="1" a="1"/>
  <c r="O788" i="17" s="1"/>
  <c r="K788" i="17"/>
  <c r="L788" i="17"/>
  <c r="M788" i="17" s="1"/>
  <c r="I789" i="17"/>
  <c r="N789" i="17" s="1" a="1"/>
  <c r="N789" i="17" s="1"/>
  <c r="J789" i="17"/>
  <c r="O789" i="17" s="1" a="1"/>
  <c r="O789" i="17" s="1"/>
  <c r="K789" i="17"/>
  <c r="L789" i="17"/>
  <c r="M789" i="17" s="1"/>
  <c r="I790" i="17"/>
  <c r="N790" i="17" s="1" a="1"/>
  <c r="N790" i="17" s="1"/>
  <c r="J790" i="17"/>
  <c r="O790" i="17" s="1" a="1"/>
  <c r="O790" i="17" s="1"/>
  <c r="K790" i="17"/>
  <c r="L790" i="17"/>
  <c r="M790" i="17" s="1"/>
  <c r="I791" i="17"/>
  <c r="N791" i="17" s="1" a="1"/>
  <c r="N791" i="17" s="1"/>
  <c r="J791" i="17"/>
  <c r="O791" i="17" s="1" a="1"/>
  <c r="O791" i="17" s="1"/>
  <c r="K791" i="17"/>
  <c r="L791" i="17"/>
  <c r="M791" i="17" s="1"/>
  <c r="I792" i="17"/>
  <c r="N792" i="17" s="1" a="1"/>
  <c r="N792" i="17" s="1"/>
  <c r="J792" i="17"/>
  <c r="O792" i="17" s="1" a="1"/>
  <c r="O792" i="17" s="1"/>
  <c r="K792" i="17"/>
  <c r="L792" i="17"/>
  <c r="M792" i="17" s="1"/>
  <c r="I793" i="17"/>
  <c r="N793" i="17" s="1" a="1"/>
  <c r="N793" i="17" s="1"/>
  <c r="J793" i="17"/>
  <c r="O793" i="17" s="1" a="1"/>
  <c r="O793" i="17" s="1"/>
  <c r="K793" i="17"/>
  <c r="L793" i="17"/>
  <c r="M793" i="17" s="1"/>
  <c r="I794" i="17"/>
  <c r="N794" i="17" s="1" a="1"/>
  <c r="N794" i="17" s="1"/>
  <c r="J794" i="17"/>
  <c r="O794" i="17" s="1" a="1"/>
  <c r="O794" i="17" s="1"/>
  <c r="K794" i="17"/>
  <c r="L794" i="17"/>
  <c r="M794" i="17" s="1"/>
  <c r="I795" i="17"/>
  <c r="N795" i="17" s="1" a="1"/>
  <c r="N795" i="17" s="1"/>
  <c r="J795" i="17"/>
  <c r="O795" i="17" s="1" a="1"/>
  <c r="O795" i="17" s="1"/>
  <c r="K795" i="17"/>
  <c r="L795" i="17"/>
  <c r="M795" i="17" s="1"/>
  <c r="I796" i="17"/>
  <c r="N796" i="17" s="1" a="1"/>
  <c r="N796" i="17" s="1"/>
  <c r="J796" i="17"/>
  <c r="O796" i="17" s="1" a="1"/>
  <c r="O796" i="17" s="1"/>
  <c r="K796" i="17"/>
  <c r="L796" i="17"/>
  <c r="M796" i="17" s="1"/>
  <c r="I797" i="17"/>
  <c r="N797" i="17" s="1" a="1"/>
  <c r="N797" i="17" s="1"/>
  <c r="J797" i="17"/>
  <c r="O797" i="17" s="1" a="1"/>
  <c r="O797" i="17" s="1"/>
  <c r="K797" i="17"/>
  <c r="L797" i="17"/>
  <c r="M797" i="17" s="1"/>
  <c r="I798" i="17"/>
  <c r="N798" i="17" s="1" a="1"/>
  <c r="N798" i="17" s="1"/>
  <c r="J798" i="17"/>
  <c r="O798" i="17" s="1" a="1"/>
  <c r="O798" i="17" s="1"/>
  <c r="K798" i="17"/>
  <c r="L798" i="17"/>
  <c r="M798" i="17" s="1"/>
  <c r="I799" i="17"/>
  <c r="N799" i="17" s="1" a="1"/>
  <c r="N799" i="17" s="1"/>
  <c r="J799" i="17"/>
  <c r="O799" i="17" s="1" a="1"/>
  <c r="O799" i="17" s="1"/>
  <c r="K799" i="17"/>
  <c r="L799" i="17"/>
  <c r="M799" i="17" s="1"/>
  <c r="I800" i="17"/>
  <c r="N800" i="17" s="1" a="1"/>
  <c r="N800" i="17" s="1"/>
  <c r="J800" i="17"/>
  <c r="O800" i="17" s="1" a="1"/>
  <c r="O800" i="17" s="1"/>
  <c r="K800" i="17"/>
  <c r="L800" i="17"/>
  <c r="M800" i="17" s="1"/>
  <c r="I801" i="17"/>
  <c r="N801" i="17" s="1" a="1"/>
  <c r="N801" i="17" s="1"/>
  <c r="J801" i="17"/>
  <c r="O801" i="17" s="1" a="1"/>
  <c r="O801" i="17" s="1"/>
  <c r="K801" i="17"/>
  <c r="L801" i="17"/>
  <c r="M801" i="17" s="1"/>
  <c r="I802" i="17"/>
  <c r="N802" i="17" s="1" a="1"/>
  <c r="N802" i="17" s="1"/>
  <c r="J802" i="17"/>
  <c r="O802" i="17" s="1" a="1"/>
  <c r="O802" i="17" s="1"/>
  <c r="K802" i="17"/>
  <c r="L802" i="17"/>
  <c r="M802" i="17" s="1"/>
  <c r="I803" i="17"/>
  <c r="N803" i="17" s="1" a="1"/>
  <c r="N803" i="17" s="1"/>
  <c r="J803" i="17"/>
  <c r="O803" i="17" s="1" a="1"/>
  <c r="O803" i="17" s="1"/>
  <c r="K803" i="17"/>
  <c r="L803" i="17"/>
  <c r="M803" i="17" s="1"/>
  <c r="I804" i="17"/>
  <c r="N804" i="17" s="1" a="1"/>
  <c r="N804" i="17" s="1"/>
  <c r="J804" i="17"/>
  <c r="O804" i="17" s="1" a="1"/>
  <c r="O804" i="17" s="1"/>
  <c r="K804" i="17"/>
  <c r="L804" i="17"/>
  <c r="M804" i="17" s="1"/>
  <c r="I805" i="17"/>
  <c r="N805" i="17" s="1" a="1"/>
  <c r="N805" i="17" s="1"/>
  <c r="J805" i="17"/>
  <c r="O805" i="17" s="1" a="1"/>
  <c r="O805" i="17" s="1"/>
  <c r="K805" i="17"/>
  <c r="L805" i="17"/>
  <c r="M805" i="17" s="1"/>
  <c r="I806" i="17"/>
  <c r="N806" i="17" s="1" a="1"/>
  <c r="N806" i="17" s="1"/>
  <c r="J806" i="17"/>
  <c r="O806" i="17" s="1" a="1"/>
  <c r="O806" i="17" s="1"/>
  <c r="K806" i="17"/>
  <c r="L806" i="17"/>
  <c r="M806" i="17" s="1"/>
  <c r="I807" i="17"/>
  <c r="N807" i="17" s="1" a="1"/>
  <c r="N807" i="17" s="1"/>
  <c r="J807" i="17"/>
  <c r="O807" i="17" s="1" a="1"/>
  <c r="O807" i="17" s="1"/>
  <c r="K807" i="17"/>
  <c r="L807" i="17"/>
  <c r="M807" i="17" s="1"/>
  <c r="I808" i="17"/>
  <c r="N808" i="17" s="1" a="1"/>
  <c r="N808" i="17" s="1"/>
  <c r="J808" i="17"/>
  <c r="O808" i="17" s="1" a="1"/>
  <c r="O808" i="17" s="1"/>
  <c r="K808" i="17"/>
  <c r="L808" i="17"/>
  <c r="M808" i="17" s="1"/>
  <c r="I809" i="17"/>
  <c r="N809" i="17" s="1" a="1"/>
  <c r="N809" i="17" s="1"/>
  <c r="J809" i="17"/>
  <c r="O809" i="17" s="1" a="1"/>
  <c r="O809" i="17" s="1"/>
  <c r="K809" i="17"/>
  <c r="L809" i="17"/>
  <c r="M809" i="17" s="1"/>
  <c r="I810" i="17"/>
  <c r="N810" i="17" s="1" a="1"/>
  <c r="N810" i="17" s="1"/>
  <c r="J810" i="17"/>
  <c r="O810" i="17" s="1" a="1"/>
  <c r="O810" i="17" s="1"/>
  <c r="K810" i="17"/>
  <c r="L810" i="17"/>
  <c r="M810" i="17" s="1"/>
  <c r="I811" i="17"/>
  <c r="N811" i="17" s="1" a="1"/>
  <c r="N811" i="17" s="1"/>
  <c r="J811" i="17"/>
  <c r="O811" i="17" s="1" a="1"/>
  <c r="O811" i="17" s="1"/>
  <c r="K811" i="17"/>
  <c r="L811" i="17"/>
  <c r="M811" i="17" s="1"/>
  <c r="I812" i="17"/>
  <c r="N812" i="17" s="1" a="1"/>
  <c r="N812" i="17" s="1"/>
  <c r="J812" i="17"/>
  <c r="O812" i="17" s="1" a="1"/>
  <c r="O812" i="17" s="1"/>
  <c r="K812" i="17"/>
  <c r="L812" i="17"/>
  <c r="M812" i="17" s="1"/>
  <c r="I813" i="17"/>
  <c r="N813" i="17" s="1" a="1"/>
  <c r="N813" i="17" s="1"/>
  <c r="J813" i="17"/>
  <c r="O813" i="17" s="1" a="1"/>
  <c r="O813" i="17" s="1"/>
  <c r="K813" i="17"/>
  <c r="L813" i="17"/>
  <c r="M813" i="17" s="1"/>
  <c r="I814" i="17"/>
  <c r="N814" i="17" s="1" a="1"/>
  <c r="N814" i="17" s="1"/>
  <c r="J814" i="17"/>
  <c r="O814" i="17" s="1" a="1"/>
  <c r="O814" i="17" s="1"/>
  <c r="K814" i="17"/>
  <c r="L814" i="17"/>
  <c r="M814" i="17" s="1"/>
  <c r="I815" i="17"/>
  <c r="N815" i="17" s="1" a="1"/>
  <c r="N815" i="17" s="1"/>
  <c r="J815" i="17"/>
  <c r="O815" i="17" s="1" a="1"/>
  <c r="O815" i="17" s="1"/>
  <c r="K815" i="17"/>
  <c r="L815" i="17"/>
  <c r="M815" i="17" s="1"/>
  <c r="I816" i="17"/>
  <c r="N816" i="17" s="1" a="1"/>
  <c r="N816" i="17" s="1"/>
  <c r="J816" i="17"/>
  <c r="O816" i="17" s="1" a="1"/>
  <c r="O816" i="17" s="1"/>
  <c r="K816" i="17"/>
  <c r="L816" i="17"/>
  <c r="M816" i="17" s="1"/>
  <c r="I817" i="17"/>
  <c r="N817" i="17" s="1" a="1"/>
  <c r="N817" i="17" s="1"/>
  <c r="J817" i="17"/>
  <c r="O817" i="17" s="1" a="1"/>
  <c r="O817" i="17" s="1"/>
  <c r="K817" i="17"/>
  <c r="L817" i="17"/>
  <c r="M817" i="17" s="1"/>
  <c r="I818" i="17"/>
  <c r="N818" i="17" s="1" a="1"/>
  <c r="N818" i="17" s="1"/>
  <c r="J818" i="17"/>
  <c r="O818" i="17" s="1" a="1"/>
  <c r="O818" i="17" s="1"/>
  <c r="K818" i="17"/>
  <c r="L818" i="17"/>
  <c r="M818" i="17" s="1"/>
  <c r="I819" i="17"/>
  <c r="N819" i="17" s="1" a="1"/>
  <c r="N819" i="17" s="1"/>
  <c r="J819" i="17"/>
  <c r="O819" i="17" s="1" a="1"/>
  <c r="O819" i="17" s="1"/>
  <c r="K819" i="17"/>
  <c r="L819" i="17"/>
  <c r="M819" i="17" s="1"/>
  <c r="I820" i="17"/>
  <c r="N820" i="17" s="1" a="1"/>
  <c r="N820" i="17" s="1"/>
  <c r="J820" i="17"/>
  <c r="O820" i="17" s="1" a="1"/>
  <c r="O820" i="17" s="1"/>
  <c r="K820" i="17"/>
  <c r="L820" i="17"/>
  <c r="M820" i="17" s="1"/>
  <c r="I821" i="17"/>
  <c r="N821" i="17" s="1" a="1"/>
  <c r="N821" i="17" s="1"/>
  <c r="J821" i="17"/>
  <c r="O821" i="17" s="1" a="1"/>
  <c r="O821" i="17" s="1"/>
  <c r="K821" i="17"/>
  <c r="L821" i="17"/>
  <c r="M821" i="17" s="1"/>
  <c r="I822" i="17"/>
  <c r="N822" i="17" s="1" a="1"/>
  <c r="N822" i="17" s="1"/>
  <c r="J822" i="17"/>
  <c r="O822" i="17" s="1" a="1"/>
  <c r="O822" i="17" s="1"/>
  <c r="K822" i="17"/>
  <c r="L822" i="17"/>
  <c r="M822" i="17" s="1"/>
  <c r="I823" i="17"/>
  <c r="N823" i="17" s="1" a="1"/>
  <c r="N823" i="17" s="1"/>
  <c r="J823" i="17"/>
  <c r="O823" i="17" s="1" a="1"/>
  <c r="O823" i="17" s="1"/>
  <c r="K823" i="17"/>
  <c r="L823" i="17"/>
  <c r="M823" i="17" s="1"/>
  <c r="I824" i="17"/>
  <c r="N824" i="17" s="1" a="1"/>
  <c r="N824" i="17" s="1"/>
  <c r="J824" i="17"/>
  <c r="O824" i="17" s="1" a="1"/>
  <c r="O824" i="17" s="1"/>
  <c r="K824" i="17"/>
  <c r="L824" i="17"/>
  <c r="M824" i="17" s="1"/>
  <c r="I825" i="17"/>
  <c r="N825" i="17" s="1" a="1"/>
  <c r="N825" i="17" s="1"/>
  <c r="J825" i="17"/>
  <c r="O825" i="17" s="1" a="1"/>
  <c r="O825" i="17" s="1"/>
  <c r="K825" i="17"/>
  <c r="L825" i="17"/>
  <c r="M825" i="17" s="1"/>
  <c r="I826" i="17"/>
  <c r="N826" i="17" s="1" a="1"/>
  <c r="N826" i="17" s="1"/>
  <c r="J826" i="17"/>
  <c r="O826" i="17" s="1" a="1"/>
  <c r="O826" i="17" s="1"/>
  <c r="K826" i="17"/>
  <c r="L826" i="17"/>
  <c r="M826" i="17" s="1"/>
  <c r="I827" i="17"/>
  <c r="N827" i="17" s="1" a="1"/>
  <c r="N827" i="17" s="1"/>
  <c r="J827" i="17"/>
  <c r="O827" i="17" s="1" a="1"/>
  <c r="O827" i="17" s="1"/>
  <c r="K827" i="17"/>
  <c r="L827" i="17"/>
  <c r="M827" i="17" s="1"/>
  <c r="I828" i="17"/>
  <c r="N828" i="17" s="1" a="1"/>
  <c r="N828" i="17" s="1"/>
  <c r="J828" i="17"/>
  <c r="O828" i="17" s="1" a="1"/>
  <c r="O828" i="17" s="1"/>
  <c r="K828" i="17"/>
  <c r="L828" i="17"/>
  <c r="M828" i="17" s="1"/>
  <c r="I829" i="17"/>
  <c r="N829" i="17" s="1" a="1"/>
  <c r="N829" i="17" s="1"/>
  <c r="J829" i="17"/>
  <c r="O829" i="17" s="1" a="1"/>
  <c r="O829" i="17" s="1"/>
  <c r="K829" i="17"/>
  <c r="L829" i="17"/>
  <c r="M829" i="17" s="1"/>
  <c r="I830" i="17"/>
  <c r="N830" i="17" s="1" a="1"/>
  <c r="N830" i="17" s="1"/>
  <c r="J830" i="17"/>
  <c r="O830" i="17" s="1" a="1"/>
  <c r="O830" i="17" s="1"/>
  <c r="K830" i="17"/>
  <c r="L830" i="17"/>
  <c r="M830" i="17" s="1"/>
  <c r="I831" i="17"/>
  <c r="N831" i="17" s="1" a="1"/>
  <c r="N831" i="17" s="1"/>
  <c r="J831" i="17"/>
  <c r="O831" i="17" s="1" a="1"/>
  <c r="O831" i="17" s="1"/>
  <c r="K831" i="17"/>
  <c r="L831" i="17"/>
  <c r="M831" i="17" s="1"/>
  <c r="I832" i="17"/>
  <c r="N832" i="17" s="1" a="1"/>
  <c r="N832" i="17" s="1"/>
  <c r="J832" i="17"/>
  <c r="O832" i="17" s="1" a="1"/>
  <c r="O832" i="17" s="1"/>
  <c r="K832" i="17"/>
  <c r="L832" i="17"/>
  <c r="M832" i="17" s="1"/>
  <c r="I833" i="17"/>
  <c r="N833" i="17" s="1" a="1"/>
  <c r="N833" i="17" s="1"/>
  <c r="J833" i="17"/>
  <c r="O833" i="17" s="1" a="1"/>
  <c r="O833" i="17" s="1"/>
  <c r="K833" i="17"/>
  <c r="L833" i="17"/>
  <c r="M833" i="17" s="1"/>
  <c r="I834" i="17"/>
  <c r="N834" i="17" s="1" a="1"/>
  <c r="N834" i="17" s="1"/>
  <c r="J834" i="17"/>
  <c r="O834" i="17" s="1" a="1"/>
  <c r="O834" i="17" s="1"/>
  <c r="K834" i="17"/>
  <c r="L834" i="17"/>
  <c r="M834" i="17" s="1"/>
  <c r="I835" i="17"/>
  <c r="N835" i="17" s="1" a="1"/>
  <c r="N835" i="17" s="1"/>
  <c r="J835" i="17"/>
  <c r="O835" i="17" s="1" a="1"/>
  <c r="O835" i="17" s="1"/>
  <c r="K835" i="17"/>
  <c r="L835" i="17"/>
  <c r="M835" i="17" s="1"/>
  <c r="I836" i="17"/>
  <c r="N836" i="17" s="1" a="1"/>
  <c r="N836" i="17" s="1"/>
  <c r="J836" i="17"/>
  <c r="O836" i="17" s="1" a="1"/>
  <c r="O836" i="17" s="1"/>
  <c r="K836" i="17"/>
  <c r="L836" i="17"/>
  <c r="M836" i="17" s="1"/>
  <c r="I837" i="17"/>
  <c r="N837" i="17" s="1" a="1"/>
  <c r="N837" i="17" s="1"/>
  <c r="J837" i="17"/>
  <c r="O837" i="17" s="1" a="1"/>
  <c r="O837" i="17" s="1"/>
  <c r="K837" i="17"/>
  <c r="L837" i="17"/>
  <c r="M837" i="17" s="1"/>
  <c r="I838" i="17"/>
  <c r="N838" i="17" s="1" a="1"/>
  <c r="N838" i="17" s="1"/>
  <c r="J838" i="17"/>
  <c r="O838" i="17" s="1" a="1"/>
  <c r="O838" i="17" s="1"/>
  <c r="K838" i="17"/>
  <c r="L838" i="17"/>
  <c r="M838" i="17" s="1"/>
  <c r="I839" i="17"/>
  <c r="N839" i="17" s="1" a="1"/>
  <c r="N839" i="17" s="1"/>
  <c r="J839" i="17"/>
  <c r="O839" i="17" s="1" a="1"/>
  <c r="O839" i="17" s="1"/>
  <c r="K839" i="17"/>
  <c r="L839" i="17"/>
  <c r="M839" i="17" s="1"/>
  <c r="I840" i="17"/>
  <c r="N840" i="17" s="1" a="1"/>
  <c r="N840" i="17" s="1"/>
  <c r="J840" i="17"/>
  <c r="O840" i="17" s="1" a="1"/>
  <c r="O840" i="17" s="1"/>
  <c r="K840" i="17"/>
  <c r="L840" i="17"/>
  <c r="M840" i="17" s="1"/>
  <c r="I841" i="17"/>
  <c r="N841" i="17" s="1" a="1"/>
  <c r="N841" i="17" s="1"/>
  <c r="J841" i="17"/>
  <c r="O841" i="17" s="1" a="1"/>
  <c r="O841" i="17" s="1"/>
  <c r="K841" i="17"/>
  <c r="L841" i="17"/>
  <c r="M841" i="17" s="1"/>
  <c r="I842" i="17"/>
  <c r="N842" i="17" s="1" a="1"/>
  <c r="N842" i="17" s="1"/>
  <c r="J842" i="17"/>
  <c r="O842" i="17" s="1" a="1"/>
  <c r="O842" i="17" s="1"/>
  <c r="K842" i="17"/>
  <c r="L842" i="17"/>
  <c r="M842" i="17" s="1"/>
  <c r="I843" i="17"/>
  <c r="N843" i="17" s="1" a="1"/>
  <c r="N843" i="17" s="1"/>
  <c r="J843" i="17"/>
  <c r="O843" i="17" s="1" a="1"/>
  <c r="O843" i="17" s="1"/>
  <c r="K843" i="17"/>
  <c r="L843" i="17"/>
  <c r="M843" i="17" s="1"/>
  <c r="I844" i="17"/>
  <c r="N844" i="17" s="1" a="1"/>
  <c r="N844" i="17" s="1"/>
  <c r="J844" i="17"/>
  <c r="O844" i="17" s="1" a="1"/>
  <c r="O844" i="17" s="1"/>
  <c r="K844" i="17"/>
  <c r="L844" i="17"/>
  <c r="M844" i="17" s="1"/>
  <c r="I845" i="17"/>
  <c r="N845" i="17" s="1" a="1"/>
  <c r="N845" i="17" s="1"/>
  <c r="J845" i="17"/>
  <c r="O845" i="17" s="1" a="1"/>
  <c r="O845" i="17" s="1"/>
  <c r="K845" i="17"/>
  <c r="L845" i="17"/>
  <c r="M845" i="17" s="1"/>
  <c r="I846" i="17"/>
  <c r="N846" i="17" s="1" a="1"/>
  <c r="N846" i="17" s="1"/>
  <c r="J846" i="17"/>
  <c r="O846" i="17" s="1" a="1"/>
  <c r="O846" i="17" s="1"/>
  <c r="K846" i="17"/>
  <c r="L846" i="17"/>
  <c r="M846" i="17" s="1"/>
  <c r="I847" i="17"/>
  <c r="N847" i="17" s="1" a="1"/>
  <c r="N847" i="17" s="1"/>
  <c r="J847" i="17"/>
  <c r="O847" i="17" s="1" a="1"/>
  <c r="O847" i="17" s="1"/>
  <c r="K847" i="17"/>
  <c r="L847" i="17"/>
  <c r="M847" i="17" s="1"/>
  <c r="I848" i="17"/>
  <c r="N848" i="17" s="1" a="1"/>
  <c r="N848" i="17" s="1"/>
  <c r="J848" i="17"/>
  <c r="O848" i="17" s="1" a="1"/>
  <c r="O848" i="17" s="1"/>
  <c r="K848" i="17"/>
  <c r="L848" i="17"/>
  <c r="M848" i="17" s="1"/>
  <c r="I849" i="17"/>
  <c r="N849" i="17" s="1" a="1"/>
  <c r="N849" i="17" s="1"/>
  <c r="J849" i="17"/>
  <c r="O849" i="17" s="1" a="1"/>
  <c r="O849" i="17" s="1"/>
  <c r="K849" i="17"/>
  <c r="L849" i="17"/>
  <c r="M849" i="17" s="1"/>
  <c r="I850" i="17"/>
  <c r="N850" i="17" s="1" a="1"/>
  <c r="N850" i="17" s="1"/>
  <c r="J850" i="17"/>
  <c r="O850" i="17" s="1" a="1"/>
  <c r="O850" i="17" s="1"/>
  <c r="K850" i="17"/>
  <c r="L850" i="17"/>
  <c r="M850" i="17" s="1"/>
  <c r="I851" i="17"/>
  <c r="N851" i="17" s="1" a="1"/>
  <c r="N851" i="17" s="1"/>
  <c r="J851" i="17"/>
  <c r="O851" i="17" s="1" a="1"/>
  <c r="O851" i="17" s="1"/>
  <c r="K851" i="17"/>
  <c r="L851" i="17"/>
  <c r="M851" i="17" s="1"/>
  <c r="I852" i="17"/>
  <c r="N852" i="17" s="1" a="1"/>
  <c r="N852" i="17" s="1"/>
  <c r="J852" i="17"/>
  <c r="O852" i="17" s="1" a="1"/>
  <c r="O852" i="17" s="1"/>
  <c r="K852" i="17"/>
  <c r="L852" i="17"/>
  <c r="M852" i="17" s="1"/>
  <c r="I853" i="17"/>
  <c r="N853" i="17" s="1" a="1"/>
  <c r="N853" i="17" s="1"/>
  <c r="J853" i="17"/>
  <c r="O853" i="17" s="1" a="1"/>
  <c r="O853" i="17" s="1"/>
  <c r="K853" i="17"/>
  <c r="L853" i="17"/>
  <c r="M853" i="17" s="1"/>
  <c r="I854" i="17"/>
  <c r="N854" i="17" s="1" a="1"/>
  <c r="N854" i="17" s="1"/>
  <c r="J854" i="17"/>
  <c r="O854" i="17" s="1" a="1"/>
  <c r="O854" i="17" s="1"/>
  <c r="K854" i="17"/>
  <c r="L854" i="17"/>
  <c r="M854" i="17" s="1"/>
  <c r="I855" i="17"/>
  <c r="N855" i="17" s="1" a="1"/>
  <c r="N855" i="17" s="1"/>
  <c r="J855" i="17"/>
  <c r="O855" i="17" s="1" a="1"/>
  <c r="O855" i="17" s="1"/>
  <c r="K855" i="17"/>
  <c r="L855" i="17"/>
  <c r="M855" i="17" s="1"/>
  <c r="I856" i="17"/>
  <c r="N856" i="17" s="1" a="1"/>
  <c r="N856" i="17" s="1"/>
  <c r="J856" i="17"/>
  <c r="O856" i="17" s="1" a="1"/>
  <c r="O856" i="17" s="1"/>
  <c r="K856" i="17"/>
  <c r="L856" i="17"/>
  <c r="M856" i="17" s="1"/>
  <c r="I857" i="17"/>
  <c r="N857" i="17" s="1" a="1"/>
  <c r="N857" i="17" s="1"/>
  <c r="J857" i="17"/>
  <c r="O857" i="17" s="1" a="1"/>
  <c r="O857" i="17" s="1"/>
  <c r="K857" i="17"/>
  <c r="L857" i="17"/>
  <c r="M857" i="17" s="1"/>
  <c r="I858" i="17"/>
  <c r="N858" i="17" s="1" a="1"/>
  <c r="N858" i="17" s="1"/>
  <c r="J858" i="17"/>
  <c r="O858" i="17" s="1" a="1"/>
  <c r="O858" i="17" s="1"/>
  <c r="K858" i="17"/>
  <c r="L858" i="17"/>
  <c r="M858" i="17" s="1"/>
  <c r="I859" i="17"/>
  <c r="N859" i="17" s="1" a="1"/>
  <c r="N859" i="17" s="1"/>
  <c r="J859" i="17"/>
  <c r="O859" i="17" s="1" a="1"/>
  <c r="O859" i="17" s="1"/>
  <c r="K859" i="17"/>
  <c r="L859" i="17"/>
  <c r="M859" i="17" s="1"/>
  <c r="I860" i="17"/>
  <c r="N860" i="17" s="1" a="1"/>
  <c r="N860" i="17" s="1"/>
  <c r="J860" i="17"/>
  <c r="O860" i="17" s="1" a="1"/>
  <c r="O860" i="17" s="1"/>
  <c r="K860" i="17"/>
  <c r="L860" i="17"/>
  <c r="M860" i="17" s="1"/>
  <c r="I861" i="17"/>
  <c r="N861" i="17" s="1" a="1"/>
  <c r="N861" i="17" s="1"/>
  <c r="J861" i="17"/>
  <c r="O861" i="17" s="1" a="1"/>
  <c r="O861" i="17" s="1"/>
  <c r="K861" i="17"/>
  <c r="L861" i="17"/>
  <c r="M861" i="17" s="1"/>
  <c r="I862" i="17"/>
  <c r="N862" i="17" s="1" a="1"/>
  <c r="N862" i="17" s="1"/>
  <c r="J862" i="17"/>
  <c r="O862" i="17" s="1" a="1"/>
  <c r="O862" i="17" s="1"/>
  <c r="K862" i="17"/>
  <c r="L862" i="17"/>
  <c r="M862" i="17" s="1"/>
  <c r="I863" i="17"/>
  <c r="N863" i="17" s="1" a="1"/>
  <c r="N863" i="17" s="1"/>
  <c r="J863" i="17"/>
  <c r="O863" i="17" s="1" a="1"/>
  <c r="O863" i="17" s="1"/>
  <c r="K863" i="17"/>
  <c r="L863" i="17"/>
  <c r="M863" i="17" s="1"/>
  <c r="I864" i="17"/>
  <c r="N864" i="17" s="1" a="1"/>
  <c r="N864" i="17" s="1"/>
  <c r="J864" i="17"/>
  <c r="O864" i="17" s="1" a="1"/>
  <c r="O864" i="17" s="1"/>
  <c r="K864" i="17"/>
  <c r="L864" i="17"/>
  <c r="M864" i="17" s="1"/>
  <c r="I865" i="17"/>
  <c r="N865" i="17" s="1" a="1"/>
  <c r="N865" i="17" s="1"/>
  <c r="J865" i="17"/>
  <c r="O865" i="17" s="1" a="1"/>
  <c r="O865" i="17" s="1"/>
  <c r="K865" i="17"/>
  <c r="L865" i="17"/>
  <c r="M865" i="17" s="1"/>
  <c r="I866" i="17"/>
  <c r="N866" i="17" s="1" a="1"/>
  <c r="N866" i="17" s="1"/>
  <c r="J866" i="17"/>
  <c r="O866" i="17" s="1" a="1"/>
  <c r="O866" i="17" s="1"/>
  <c r="K866" i="17"/>
  <c r="L866" i="17"/>
  <c r="M866" i="17" s="1"/>
  <c r="I867" i="17"/>
  <c r="N867" i="17" s="1" a="1"/>
  <c r="N867" i="17" s="1"/>
  <c r="J867" i="17"/>
  <c r="O867" i="17" s="1" a="1"/>
  <c r="O867" i="17" s="1"/>
  <c r="K867" i="17"/>
  <c r="L867" i="17"/>
  <c r="M867" i="17" s="1"/>
  <c r="I868" i="17"/>
  <c r="N868" i="17" s="1" a="1"/>
  <c r="N868" i="17" s="1"/>
  <c r="J868" i="17"/>
  <c r="O868" i="17" s="1" a="1"/>
  <c r="O868" i="17" s="1"/>
  <c r="K868" i="17"/>
  <c r="L868" i="17"/>
  <c r="M868" i="17" s="1"/>
  <c r="I869" i="17"/>
  <c r="N869" i="17" s="1" a="1"/>
  <c r="N869" i="17" s="1"/>
  <c r="J869" i="17"/>
  <c r="O869" i="17" s="1" a="1"/>
  <c r="O869" i="17" s="1"/>
  <c r="K869" i="17"/>
  <c r="L869" i="17"/>
  <c r="M869" i="17" s="1"/>
  <c r="I870" i="17"/>
  <c r="N870" i="17" s="1" a="1"/>
  <c r="N870" i="17" s="1"/>
  <c r="J870" i="17"/>
  <c r="O870" i="17" s="1" a="1"/>
  <c r="O870" i="17" s="1"/>
  <c r="K870" i="17"/>
  <c r="L870" i="17"/>
  <c r="M870" i="17" s="1"/>
  <c r="I871" i="17"/>
  <c r="N871" i="17" s="1" a="1"/>
  <c r="N871" i="17" s="1"/>
  <c r="J871" i="17"/>
  <c r="O871" i="17" s="1" a="1"/>
  <c r="O871" i="17" s="1"/>
  <c r="K871" i="17"/>
  <c r="L871" i="17"/>
  <c r="M871" i="17" s="1"/>
  <c r="I872" i="17"/>
  <c r="N872" i="17" s="1" a="1"/>
  <c r="N872" i="17" s="1"/>
  <c r="J872" i="17"/>
  <c r="O872" i="17" s="1" a="1"/>
  <c r="O872" i="17" s="1"/>
  <c r="K872" i="17"/>
  <c r="L872" i="17"/>
  <c r="M872" i="17" s="1"/>
  <c r="I873" i="17"/>
  <c r="N873" i="17" s="1" a="1"/>
  <c r="N873" i="17" s="1"/>
  <c r="J873" i="17"/>
  <c r="O873" i="17" s="1" a="1"/>
  <c r="O873" i="17" s="1"/>
  <c r="K873" i="17"/>
  <c r="L873" i="17"/>
  <c r="M873" i="17" s="1"/>
  <c r="I874" i="17"/>
  <c r="N874" i="17" s="1" a="1"/>
  <c r="N874" i="17" s="1"/>
  <c r="J874" i="17"/>
  <c r="O874" i="17" s="1" a="1"/>
  <c r="O874" i="17" s="1"/>
  <c r="K874" i="17"/>
  <c r="L874" i="17"/>
  <c r="M874" i="17" s="1"/>
  <c r="I875" i="17"/>
  <c r="N875" i="17" s="1" a="1"/>
  <c r="N875" i="17" s="1"/>
  <c r="J875" i="17"/>
  <c r="O875" i="17" s="1" a="1"/>
  <c r="O875" i="17" s="1"/>
  <c r="K875" i="17"/>
  <c r="L875" i="17"/>
  <c r="M875" i="17" s="1"/>
  <c r="I876" i="17"/>
  <c r="N876" i="17" s="1" a="1"/>
  <c r="N876" i="17" s="1"/>
  <c r="J876" i="17"/>
  <c r="O876" i="17" s="1" a="1"/>
  <c r="O876" i="17" s="1"/>
  <c r="K876" i="17"/>
  <c r="L876" i="17"/>
  <c r="M876" i="17" s="1"/>
  <c r="I877" i="17"/>
  <c r="N877" i="17" s="1" a="1"/>
  <c r="N877" i="17" s="1"/>
  <c r="J877" i="17"/>
  <c r="O877" i="17" s="1" a="1"/>
  <c r="O877" i="17" s="1"/>
  <c r="K877" i="17"/>
  <c r="L877" i="17"/>
  <c r="M877" i="17" s="1"/>
  <c r="I878" i="17"/>
  <c r="N878" i="17" s="1" a="1"/>
  <c r="N878" i="17" s="1"/>
  <c r="J878" i="17"/>
  <c r="O878" i="17" s="1" a="1"/>
  <c r="O878" i="17" s="1"/>
  <c r="K878" i="17"/>
  <c r="L878" i="17"/>
  <c r="M878" i="17" s="1"/>
  <c r="I879" i="17"/>
  <c r="N879" i="17" s="1" a="1"/>
  <c r="N879" i="17" s="1"/>
  <c r="J879" i="17"/>
  <c r="O879" i="17" s="1" a="1"/>
  <c r="O879" i="17" s="1"/>
  <c r="K879" i="17"/>
  <c r="L879" i="17"/>
  <c r="M879" i="17" s="1"/>
  <c r="I880" i="17"/>
  <c r="N880" i="17" s="1" a="1"/>
  <c r="N880" i="17" s="1"/>
  <c r="J880" i="17"/>
  <c r="O880" i="17" s="1" a="1"/>
  <c r="O880" i="17" s="1"/>
  <c r="K880" i="17"/>
  <c r="L880" i="17"/>
  <c r="M880" i="17" s="1"/>
  <c r="I881" i="17"/>
  <c r="N881" i="17" s="1" a="1"/>
  <c r="N881" i="17" s="1"/>
  <c r="J881" i="17"/>
  <c r="O881" i="17" s="1" a="1"/>
  <c r="O881" i="17" s="1"/>
  <c r="K881" i="17"/>
  <c r="L881" i="17"/>
  <c r="M881" i="17" s="1"/>
  <c r="I882" i="17"/>
  <c r="N882" i="17" s="1" a="1"/>
  <c r="N882" i="17" s="1"/>
  <c r="J882" i="17"/>
  <c r="O882" i="17" s="1" a="1"/>
  <c r="O882" i="17" s="1"/>
  <c r="K882" i="17"/>
  <c r="L882" i="17"/>
  <c r="M882" i="17" s="1"/>
  <c r="I883" i="17"/>
  <c r="N883" i="17" s="1" a="1"/>
  <c r="N883" i="17" s="1"/>
  <c r="J883" i="17"/>
  <c r="O883" i="17" s="1" a="1"/>
  <c r="O883" i="17" s="1"/>
  <c r="K883" i="17"/>
  <c r="L883" i="17"/>
  <c r="M883" i="17" s="1"/>
  <c r="I884" i="17"/>
  <c r="N884" i="17" s="1" a="1"/>
  <c r="N884" i="17" s="1"/>
  <c r="J884" i="17"/>
  <c r="O884" i="17" s="1" a="1"/>
  <c r="O884" i="17" s="1"/>
  <c r="K884" i="17"/>
  <c r="L884" i="17"/>
  <c r="M884" i="17" s="1"/>
  <c r="I885" i="17"/>
  <c r="N885" i="17" s="1" a="1"/>
  <c r="N885" i="17" s="1"/>
  <c r="J885" i="17"/>
  <c r="O885" i="17" s="1" a="1"/>
  <c r="O885" i="17" s="1"/>
  <c r="K885" i="17"/>
  <c r="L885" i="17"/>
  <c r="M885" i="17" s="1"/>
  <c r="I886" i="17"/>
  <c r="N886" i="17" s="1" a="1"/>
  <c r="N886" i="17" s="1"/>
  <c r="J886" i="17"/>
  <c r="O886" i="17" s="1" a="1"/>
  <c r="O886" i="17" s="1"/>
  <c r="K886" i="17"/>
  <c r="L886" i="17"/>
  <c r="M886" i="17" s="1"/>
  <c r="I887" i="17"/>
  <c r="N887" i="17" s="1" a="1"/>
  <c r="N887" i="17" s="1"/>
  <c r="J887" i="17"/>
  <c r="O887" i="17" s="1" a="1"/>
  <c r="O887" i="17" s="1"/>
  <c r="K887" i="17"/>
  <c r="L887" i="17"/>
  <c r="M887" i="17" s="1"/>
  <c r="I888" i="17"/>
  <c r="N888" i="17" s="1" a="1"/>
  <c r="N888" i="17" s="1"/>
  <c r="J888" i="17"/>
  <c r="O888" i="17" s="1" a="1"/>
  <c r="O888" i="17" s="1"/>
  <c r="K888" i="17"/>
  <c r="L888" i="17"/>
  <c r="M888" i="17" s="1"/>
  <c r="I889" i="17"/>
  <c r="N889" i="17" s="1" a="1"/>
  <c r="N889" i="17" s="1"/>
  <c r="J889" i="17"/>
  <c r="O889" i="17" s="1" a="1"/>
  <c r="O889" i="17" s="1"/>
  <c r="K889" i="17"/>
  <c r="L889" i="17"/>
  <c r="M889" i="17" s="1"/>
  <c r="I890" i="17"/>
  <c r="N890" i="17" s="1" a="1"/>
  <c r="N890" i="17" s="1"/>
  <c r="J890" i="17"/>
  <c r="O890" i="17" s="1" a="1"/>
  <c r="O890" i="17" s="1"/>
  <c r="K890" i="17"/>
  <c r="L890" i="17"/>
  <c r="M890" i="17" s="1"/>
  <c r="I891" i="17"/>
  <c r="N891" i="17" s="1" a="1"/>
  <c r="N891" i="17" s="1"/>
  <c r="J891" i="17"/>
  <c r="O891" i="17" s="1" a="1"/>
  <c r="O891" i="17" s="1"/>
  <c r="K891" i="17"/>
  <c r="L891" i="17"/>
  <c r="M891" i="17" s="1"/>
  <c r="I892" i="17"/>
  <c r="N892" i="17" s="1" a="1"/>
  <c r="N892" i="17" s="1"/>
  <c r="J892" i="17"/>
  <c r="O892" i="17" s="1" a="1"/>
  <c r="O892" i="17" s="1"/>
  <c r="K892" i="17"/>
  <c r="L892" i="17"/>
  <c r="M892" i="17" s="1"/>
  <c r="I893" i="17"/>
  <c r="N893" i="17" s="1" a="1"/>
  <c r="N893" i="17" s="1"/>
  <c r="J893" i="17"/>
  <c r="O893" i="17" s="1" a="1"/>
  <c r="O893" i="17" s="1"/>
  <c r="K893" i="17"/>
  <c r="L893" i="17"/>
  <c r="M893" i="17" s="1"/>
  <c r="I894" i="17"/>
  <c r="N894" i="17" s="1" a="1"/>
  <c r="N894" i="17" s="1"/>
  <c r="J894" i="17"/>
  <c r="O894" i="17" s="1" a="1"/>
  <c r="O894" i="17" s="1"/>
  <c r="K894" i="17"/>
  <c r="L894" i="17"/>
  <c r="M894" i="17" s="1"/>
  <c r="I895" i="17"/>
  <c r="N895" i="17" s="1" a="1"/>
  <c r="N895" i="17" s="1"/>
  <c r="J895" i="17"/>
  <c r="O895" i="17" s="1" a="1"/>
  <c r="O895" i="17" s="1"/>
  <c r="K895" i="17"/>
  <c r="L895" i="17"/>
  <c r="M895" i="17" s="1"/>
  <c r="I896" i="17"/>
  <c r="N896" i="17" s="1" a="1"/>
  <c r="N896" i="17" s="1"/>
  <c r="J896" i="17"/>
  <c r="O896" i="17" s="1" a="1"/>
  <c r="O896" i="17" s="1"/>
  <c r="K896" i="17"/>
  <c r="L896" i="17"/>
  <c r="M896" i="17" s="1"/>
  <c r="I897" i="17"/>
  <c r="N897" i="17" s="1" a="1"/>
  <c r="N897" i="17" s="1"/>
  <c r="J897" i="17"/>
  <c r="O897" i="17" s="1" a="1"/>
  <c r="O897" i="17" s="1"/>
  <c r="K897" i="17"/>
  <c r="L897" i="17"/>
  <c r="M897" i="17" s="1"/>
  <c r="I898" i="17"/>
  <c r="N898" i="17" s="1" a="1"/>
  <c r="N898" i="17" s="1"/>
  <c r="J898" i="17"/>
  <c r="O898" i="17" s="1" a="1"/>
  <c r="O898" i="17" s="1"/>
  <c r="K898" i="17"/>
  <c r="L898" i="17"/>
  <c r="M898" i="17" s="1"/>
  <c r="I899" i="17"/>
  <c r="N899" i="17" s="1" a="1"/>
  <c r="N899" i="17" s="1"/>
  <c r="J899" i="17"/>
  <c r="O899" i="17" s="1" a="1"/>
  <c r="O899" i="17" s="1"/>
  <c r="K899" i="17"/>
  <c r="L899" i="17"/>
  <c r="M899" i="17" s="1"/>
  <c r="I900" i="17"/>
  <c r="N900" i="17" s="1" a="1"/>
  <c r="N900" i="17" s="1"/>
  <c r="J900" i="17"/>
  <c r="O900" i="17" s="1" a="1"/>
  <c r="O900" i="17" s="1"/>
  <c r="K900" i="17"/>
  <c r="L900" i="17"/>
  <c r="M900" i="17" s="1"/>
  <c r="I901" i="17"/>
  <c r="N901" i="17" s="1" a="1"/>
  <c r="N901" i="17" s="1"/>
  <c r="J901" i="17"/>
  <c r="O901" i="17" s="1" a="1"/>
  <c r="O901" i="17" s="1"/>
  <c r="K901" i="17"/>
  <c r="L901" i="17"/>
  <c r="M901" i="17" s="1"/>
  <c r="I902" i="17"/>
  <c r="N902" i="17" s="1" a="1"/>
  <c r="N902" i="17" s="1"/>
  <c r="J902" i="17"/>
  <c r="O902" i="17" s="1" a="1"/>
  <c r="O902" i="17" s="1"/>
  <c r="K902" i="17"/>
  <c r="L902" i="17"/>
  <c r="M902" i="17" s="1"/>
  <c r="I903" i="17"/>
  <c r="N903" i="17" s="1" a="1"/>
  <c r="N903" i="17" s="1"/>
  <c r="J903" i="17"/>
  <c r="O903" i="17" s="1" a="1"/>
  <c r="O903" i="17" s="1"/>
  <c r="K903" i="17"/>
  <c r="L903" i="17"/>
  <c r="M903" i="17" s="1"/>
  <c r="I904" i="17"/>
  <c r="N904" i="17" s="1" a="1"/>
  <c r="N904" i="17" s="1"/>
  <c r="J904" i="17"/>
  <c r="O904" i="17" s="1" a="1"/>
  <c r="O904" i="17" s="1"/>
  <c r="K904" i="17"/>
  <c r="L904" i="17"/>
  <c r="M904" i="17" s="1"/>
  <c r="I905" i="17"/>
  <c r="N905" i="17" s="1" a="1"/>
  <c r="N905" i="17" s="1"/>
  <c r="J905" i="17"/>
  <c r="O905" i="17" s="1" a="1"/>
  <c r="O905" i="17" s="1"/>
  <c r="K905" i="17"/>
  <c r="L905" i="17"/>
  <c r="M905" i="17" s="1"/>
  <c r="I906" i="17"/>
  <c r="N906" i="17" s="1" a="1"/>
  <c r="N906" i="17" s="1"/>
  <c r="J906" i="17"/>
  <c r="O906" i="17" s="1" a="1"/>
  <c r="O906" i="17" s="1"/>
  <c r="K906" i="17"/>
  <c r="L906" i="17"/>
  <c r="M906" i="17" s="1"/>
  <c r="I907" i="17"/>
  <c r="N907" i="17" s="1" a="1"/>
  <c r="N907" i="17" s="1"/>
  <c r="J907" i="17"/>
  <c r="O907" i="17" s="1" a="1"/>
  <c r="O907" i="17" s="1"/>
  <c r="K907" i="17"/>
  <c r="L907" i="17"/>
  <c r="M907" i="17" s="1"/>
  <c r="I908" i="17"/>
  <c r="N908" i="17" s="1" a="1"/>
  <c r="N908" i="17" s="1"/>
  <c r="J908" i="17"/>
  <c r="O908" i="17" s="1" a="1"/>
  <c r="O908" i="17" s="1"/>
  <c r="K908" i="17"/>
  <c r="L908" i="17"/>
  <c r="M908" i="17" s="1"/>
  <c r="I909" i="17"/>
  <c r="N909" i="17" s="1" a="1"/>
  <c r="N909" i="17" s="1"/>
  <c r="J909" i="17"/>
  <c r="O909" i="17" s="1" a="1"/>
  <c r="O909" i="17" s="1"/>
  <c r="K909" i="17"/>
  <c r="L909" i="17"/>
  <c r="M909" i="17" s="1"/>
  <c r="I910" i="17"/>
  <c r="N910" i="17" s="1" a="1"/>
  <c r="N910" i="17" s="1"/>
  <c r="J910" i="17"/>
  <c r="O910" i="17" s="1" a="1"/>
  <c r="O910" i="17" s="1"/>
  <c r="K910" i="17"/>
  <c r="L910" i="17"/>
  <c r="M910" i="17" s="1"/>
  <c r="I911" i="17"/>
  <c r="N911" i="17" s="1" a="1"/>
  <c r="N911" i="17" s="1"/>
  <c r="J911" i="17"/>
  <c r="O911" i="17" s="1" a="1"/>
  <c r="O911" i="17" s="1"/>
  <c r="K911" i="17"/>
  <c r="L911" i="17"/>
  <c r="M911" i="17" s="1"/>
  <c r="I912" i="17"/>
  <c r="N912" i="17" s="1" a="1"/>
  <c r="N912" i="17" s="1"/>
  <c r="J912" i="17"/>
  <c r="O912" i="17" s="1" a="1"/>
  <c r="O912" i="17" s="1"/>
  <c r="K912" i="17"/>
  <c r="L912" i="17"/>
  <c r="M912" i="17" s="1"/>
  <c r="I913" i="17"/>
  <c r="N913" i="17" s="1" a="1"/>
  <c r="N913" i="17" s="1"/>
  <c r="J913" i="17"/>
  <c r="O913" i="17" s="1" a="1"/>
  <c r="O913" i="17" s="1"/>
  <c r="K913" i="17"/>
  <c r="L913" i="17"/>
  <c r="M913" i="17" s="1"/>
  <c r="I914" i="17"/>
  <c r="N914" i="17" s="1" a="1"/>
  <c r="N914" i="17" s="1"/>
  <c r="J914" i="17"/>
  <c r="O914" i="17" s="1" a="1"/>
  <c r="O914" i="17" s="1"/>
  <c r="K914" i="17"/>
  <c r="L914" i="17"/>
  <c r="M914" i="17" s="1"/>
  <c r="I915" i="17"/>
  <c r="N915" i="17" s="1" a="1"/>
  <c r="N915" i="17" s="1"/>
  <c r="J915" i="17"/>
  <c r="O915" i="17" s="1" a="1"/>
  <c r="O915" i="17" s="1"/>
  <c r="K915" i="17"/>
  <c r="L915" i="17"/>
  <c r="M915" i="17" s="1"/>
  <c r="I916" i="17"/>
  <c r="N916" i="17" s="1" a="1"/>
  <c r="N916" i="17" s="1"/>
  <c r="J916" i="17"/>
  <c r="O916" i="17" s="1" a="1"/>
  <c r="O916" i="17" s="1"/>
  <c r="K916" i="17"/>
  <c r="L916" i="17"/>
  <c r="M916" i="17" s="1"/>
  <c r="I917" i="17"/>
  <c r="N917" i="17" s="1" a="1"/>
  <c r="N917" i="17" s="1"/>
  <c r="J917" i="17"/>
  <c r="O917" i="17" s="1" a="1"/>
  <c r="O917" i="17" s="1"/>
  <c r="K917" i="17"/>
  <c r="L917" i="17"/>
  <c r="M917" i="17" s="1"/>
  <c r="I918" i="17"/>
  <c r="N918" i="17" s="1" a="1"/>
  <c r="N918" i="17" s="1"/>
  <c r="J918" i="17"/>
  <c r="O918" i="17" s="1" a="1"/>
  <c r="O918" i="17" s="1"/>
  <c r="K918" i="17"/>
  <c r="L918" i="17"/>
  <c r="M918" i="17" s="1"/>
  <c r="I919" i="17"/>
  <c r="N919" i="17" s="1" a="1"/>
  <c r="N919" i="17" s="1"/>
  <c r="J919" i="17"/>
  <c r="O919" i="17" s="1" a="1"/>
  <c r="O919" i="17" s="1"/>
  <c r="K919" i="17"/>
  <c r="L919" i="17"/>
  <c r="M919" i="17" s="1"/>
  <c r="I920" i="17"/>
  <c r="N920" i="17" s="1" a="1"/>
  <c r="N920" i="17" s="1"/>
  <c r="J920" i="17"/>
  <c r="O920" i="17" s="1" a="1"/>
  <c r="O920" i="17" s="1"/>
  <c r="K920" i="17"/>
  <c r="L920" i="17"/>
  <c r="M920" i="17" s="1"/>
  <c r="I921" i="17"/>
  <c r="N921" i="17" s="1" a="1"/>
  <c r="N921" i="17" s="1"/>
  <c r="J921" i="17"/>
  <c r="O921" i="17" s="1" a="1"/>
  <c r="O921" i="17" s="1"/>
  <c r="K921" i="17"/>
  <c r="L921" i="17"/>
  <c r="M921" i="17" s="1"/>
  <c r="I922" i="17"/>
  <c r="N922" i="17" s="1" a="1"/>
  <c r="N922" i="17" s="1"/>
  <c r="J922" i="17"/>
  <c r="O922" i="17" s="1" a="1"/>
  <c r="O922" i="17" s="1"/>
  <c r="K922" i="17"/>
  <c r="L922" i="17"/>
  <c r="M922" i="17" s="1"/>
  <c r="I923" i="17"/>
  <c r="N923" i="17" s="1" a="1"/>
  <c r="N923" i="17" s="1"/>
  <c r="J923" i="17"/>
  <c r="O923" i="17" s="1" a="1"/>
  <c r="O923" i="17" s="1"/>
  <c r="K923" i="17"/>
  <c r="L923" i="17"/>
  <c r="M923" i="17" s="1"/>
  <c r="I924" i="17"/>
  <c r="N924" i="17" s="1" a="1"/>
  <c r="N924" i="17" s="1"/>
  <c r="J924" i="17"/>
  <c r="O924" i="17" s="1" a="1"/>
  <c r="O924" i="17" s="1"/>
  <c r="K924" i="17"/>
  <c r="L924" i="17"/>
  <c r="M924" i="17" s="1"/>
  <c r="I925" i="17"/>
  <c r="N925" i="17" s="1" a="1"/>
  <c r="N925" i="17" s="1"/>
  <c r="J925" i="17"/>
  <c r="O925" i="17" s="1" a="1"/>
  <c r="O925" i="17" s="1"/>
  <c r="K925" i="17"/>
  <c r="L925" i="17"/>
  <c r="M925" i="17" s="1"/>
  <c r="I926" i="17"/>
  <c r="N926" i="17" s="1" a="1"/>
  <c r="N926" i="17" s="1"/>
  <c r="J926" i="17"/>
  <c r="O926" i="17" s="1" a="1"/>
  <c r="O926" i="17" s="1"/>
  <c r="K926" i="17"/>
  <c r="L926" i="17"/>
  <c r="M926" i="17" s="1"/>
  <c r="I927" i="17"/>
  <c r="N927" i="17" s="1" a="1"/>
  <c r="N927" i="17" s="1"/>
  <c r="J927" i="17"/>
  <c r="O927" i="17" s="1" a="1"/>
  <c r="O927" i="17" s="1"/>
  <c r="K927" i="17"/>
  <c r="L927" i="17"/>
  <c r="M927" i="17" s="1"/>
  <c r="I928" i="17"/>
  <c r="N928" i="17" s="1" a="1"/>
  <c r="N928" i="17" s="1"/>
  <c r="J928" i="17"/>
  <c r="O928" i="17" s="1" a="1"/>
  <c r="O928" i="17" s="1"/>
  <c r="K928" i="17"/>
  <c r="L928" i="17"/>
  <c r="M928" i="17" s="1"/>
  <c r="I929" i="17"/>
  <c r="N929" i="17" s="1" a="1"/>
  <c r="N929" i="17" s="1"/>
  <c r="J929" i="17"/>
  <c r="O929" i="17" s="1" a="1"/>
  <c r="O929" i="17" s="1"/>
  <c r="K929" i="17"/>
  <c r="L929" i="17"/>
  <c r="M929" i="17" s="1"/>
  <c r="I930" i="17"/>
  <c r="N930" i="17" s="1" a="1"/>
  <c r="N930" i="17" s="1"/>
  <c r="J930" i="17"/>
  <c r="O930" i="17" s="1" a="1"/>
  <c r="O930" i="17" s="1"/>
  <c r="K930" i="17"/>
  <c r="L930" i="17"/>
  <c r="M930" i="17" s="1"/>
  <c r="I931" i="17"/>
  <c r="N931" i="17" s="1" a="1"/>
  <c r="N931" i="17" s="1"/>
  <c r="J931" i="17"/>
  <c r="O931" i="17" s="1" a="1"/>
  <c r="O931" i="17" s="1"/>
  <c r="K931" i="17"/>
  <c r="L931" i="17"/>
  <c r="M931" i="17" s="1"/>
  <c r="I932" i="17"/>
  <c r="N932" i="17" s="1" a="1"/>
  <c r="N932" i="17" s="1"/>
  <c r="J932" i="17"/>
  <c r="O932" i="17" s="1" a="1"/>
  <c r="O932" i="17" s="1"/>
  <c r="K932" i="17"/>
  <c r="L932" i="17"/>
  <c r="M932" i="17" s="1"/>
  <c r="I933" i="17"/>
  <c r="N933" i="17" s="1" a="1"/>
  <c r="N933" i="17" s="1"/>
  <c r="J933" i="17"/>
  <c r="O933" i="17" s="1" a="1"/>
  <c r="O933" i="17" s="1"/>
  <c r="K933" i="17"/>
  <c r="L933" i="17"/>
  <c r="M933" i="17" s="1"/>
  <c r="I934" i="17"/>
  <c r="N934" i="17" s="1" a="1"/>
  <c r="N934" i="17" s="1"/>
  <c r="J934" i="17"/>
  <c r="O934" i="17" s="1" a="1"/>
  <c r="O934" i="17" s="1"/>
  <c r="K934" i="17"/>
  <c r="L934" i="17"/>
  <c r="M934" i="17" s="1"/>
  <c r="I935" i="17"/>
  <c r="N935" i="17" s="1" a="1"/>
  <c r="N935" i="17" s="1"/>
  <c r="J935" i="17"/>
  <c r="O935" i="17" s="1" a="1"/>
  <c r="O935" i="17" s="1"/>
  <c r="K935" i="17"/>
  <c r="L935" i="17"/>
  <c r="M935" i="17" s="1"/>
  <c r="I936" i="17"/>
  <c r="N936" i="17" s="1" a="1"/>
  <c r="N936" i="17" s="1"/>
  <c r="J936" i="17"/>
  <c r="O936" i="17" s="1" a="1"/>
  <c r="O936" i="17" s="1"/>
  <c r="K936" i="17"/>
  <c r="L936" i="17"/>
  <c r="M936" i="17" s="1"/>
  <c r="I937" i="17"/>
  <c r="N937" i="17" s="1" a="1"/>
  <c r="N937" i="17" s="1"/>
  <c r="J937" i="17"/>
  <c r="O937" i="17" s="1" a="1"/>
  <c r="O937" i="17" s="1"/>
  <c r="K937" i="17"/>
  <c r="L937" i="17"/>
  <c r="M937" i="17" s="1"/>
  <c r="I938" i="17"/>
  <c r="N938" i="17" s="1" a="1"/>
  <c r="N938" i="17" s="1"/>
  <c r="J938" i="17"/>
  <c r="O938" i="17" s="1" a="1"/>
  <c r="O938" i="17" s="1"/>
  <c r="K938" i="17"/>
  <c r="L938" i="17"/>
  <c r="M938" i="17" s="1"/>
  <c r="I939" i="17"/>
  <c r="N939" i="17" s="1" a="1"/>
  <c r="N939" i="17" s="1"/>
  <c r="J939" i="17"/>
  <c r="O939" i="17" s="1" a="1"/>
  <c r="O939" i="17" s="1"/>
  <c r="K939" i="17"/>
  <c r="L939" i="17"/>
  <c r="M939" i="17" s="1"/>
  <c r="I940" i="17"/>
  <c r="N940" i="17" s="1" a="1"/>
  <c r="N940" i="17" s="1"/>
  <c r="J940" i="17"/>
  <c r="O940" i="17" s="1" a="1"/>
  <c r="O940" i="17" s="1"/>
  <c r="K940" i="17"/>
  <c r="L940" i="17"/>
  <c r="M940" i="17" s="1"/>
  <c r="I941" i="17"/>
  <c r="N941" i="17" s="1" a="1"/>
  <c r="N941" i="17" s="1"/>
  <c r="J941" i="17"/>
  <c r="O941" i="17" s="1" a="1"/>
  <c r="O941" i="17" s="1"/>
  <c r="K941" i="17"/>
  <c r="L941" i="17"/>
  <c r="M941" i="17" s="1"/>
  <c r="I942" i="17"/>
  <c r="N942" i="17" s="1" a="1"/>
  <c r="N942" i="17" s="1"/>
  <c r="J942" i="17"/>
  <c r="O942" i="17" s="1" a="1"/>
  <c r="O942" i="17" s="1"/>
  <c r="K942" i="17"/>
  <c r="L942" i="17"/>
  <c r="M942" i="17" s="1"/>
  <c r="I943" i="17"/>
  <c r="N943" i="17" s="1" a="1"/>
  <c r="N943" i="17" s="1"/>
  <c r="J943" i="17"/>
  <c r="O943" i="17" s="1" a="1"/>
  <c r="O943" i="17" s="1"/>
  <c r="K943" i="17"/>
  <c r="L943" i="17"/>
  <c r="M943" i="17" s="1"/>
  <c r="I944" i="17"/>
  <c r="N944" i="17" s="1" a="1"/>
  <c r="N944" i="17" s="1"/>
  <c r="J944" i="17"/>
  <c r="O944" i="17" s="1" a="1"/>
  <c r="O944" i="17" s="1"/>
  <c r="K944" i="17"/>
  <c r="L944" i="17"/>
  <c r="M944" i="17" s="1"/>
  <c r="I945" i="17"/>
  <c r="N945" i="17" s="1" a="1"/>
  <c r="N945" i="17" s="1"/>
  <c r="J945" i="17"/>
  <c r="O945" i="17" s="1" a="1"/>
  <c r="O945" i="17" s="1"/>
  <c r="K945" i="17"/>
  <c r="L945" i="17"/>
  <c r="M945" i="17" s="1"/>
  <c r="I946" i="17"/>
  <c r="N946" i="17" s="1" a="1"/>
  <c r="N946" i="17" s="1"/>
  <c r="J946" i="17"/>
  <c r="O946" i="17" s="1" a="1"/>
  <c r="O946" i="17" s="1"/>
  <c r="K946" i="17"/>
  <c r="L946" i="17"/>
  <c r="M946" i="17" s="1"/>
  <c r="I947" i="17"/>
  <c r="N947" i="17" s="1" a="1"/>
  <c r="N947" i="17" s="1"/>
  <c r="J947" i="17"/>
  <c r="O947" i="17" s="1" a="1"/>
  <c r="O947" i="17" s="1"/>
  <c r="K947" i="17"/>
  <c r="L947" i="17"/>
  <c r="M947" i="17" s="1"/>
  <c r="I948" i="17"/>
  <c r="N948" i="17" s="1" a="1"/>
  <c r="N948" i="17" s="1"/>
  <c r="J948" i="17"/>
  <c r="O948" i="17" s="1" a="1"/>
  <c r="O948" i="17" s="1"/>
  <c r="K948" i="17"/>
  <c r="L948" i="17"/>
  <c r="M948" i="17" s="1"/>
  <c r="I949" i="17"/>
  <c r="N949" i="17" s="1" a="1"/>
  <c r="N949" i="17" s="1"/>
  <c r="J949" i="17"/>
  <c r="O949" i="17" s="1" a="1"/>
  <c r="O949" i="17" s="1"/>
  <c r="K949" i="17"/>
  <c r="L949" i="17"/>
  <c r="M949" i="17" s="1"/>
  <c r="I950" i="17"/>
  <c r="N950" i="17" s="1" a="1"/>
  <c r="N950" i="17" s="1"/>
  <c r="J950" i="17"/>
  <c r="O950" i="17" s="1" a="1"/>
  <c r="O950" i="17" s="1"/>
  <c r="K950" i="17"/>
  <c r="L950" i="17"/>
  <c r="M950" i="17" s="1"/>
  <c r="I951" i="17"/>
  <c r="N951" i="17" s="1" a="1"/>
  <c r="N951" i="17" s="1"/>
  <c r="J951" i="17"/>
  <c r="O951" i="17" s="1" a="1"/>
  <c r="O951" i="17" s="1"/>
  <c r="K951" i="17"/>
  <c r="L951" i="17"/>
  <c r="M951" i="17" s="1"/>
  <c r="I952" i="17"/>
  <c r="N952" i="17" s="1" a="1"/>
  <c r="N952" i="17" s="1"/>
  <c r="J952" i="17"/>
  <c r="O952" i="17" s="1" a="1"/>
  <c r="O952" i="17" s="1"/>
  <c r="K952" i="17"/>
  <c r="L952" i="17"/>
  <c r="M952" i="17" s="1"/>
  <c r="I953" i="17"/>
  <c r="N953" i="17" s="1" a="1"/>
  <c r="N953" i="17" s="1"/>
  <c r="J953" i="17"/>
  <c r="O953" i="17" s="1" a="1"/>
  <c r="O953" i="17" s="1"/>
  <c r="K953" i="17"/>
  <c r="L953" i="17"/>
  <c r="M953" i="17" s="1"/>
  <c r="I954" i="17"/>
  <c r="N954" i="17" s="1" a="1"/>
  <c r="N954" i="17" s="1"/>
  <c r="J954" i="17"/>
  <c r="O954" i="17" s="1" a="1"/>
  <c r="O954" i="17" s="1"/>
  <c r="K954" i="17"/>
  <c r="L954" i="17"/>
  <c r="M954" i="17" s="1"/>
  <c r="I955" i="17"/>
  <c r="N955" i="17" s="1" a="1"/>
  <c r="N955" i="17" s="1"/>
  <c r="J955" i="17"/>
  <c r="O955" i="17" s="1" a="1"/>
  <c r="O955" i="17" s="1"/>
  <c r="K955" i="17"/>
  <c r="L955" i="17"/>
  <c r="M955" i="17" s="1"/>
  <c r="I956" i="17"/>
  <c r="N956" i="17" s="1" a="1"/>
  <c r="N956" i="17" s="1"/>
  <c r="J956" i="17"/>
  <c r="O956" i="17" s="1" a="1"/>
  <c r="O956" i="17" s="1"/>
  <c r="K956" i="17"/>
  <c r="L956" i="17"/>
  <c r="M956" i="17" s="1"/>
  <c r="I957" i="17"/>
  <c r="N957" i="17" s="1" a="1"/>
  <c r="N957" i="17" s="1"/>
  <c r="J957" i="17"/>
  <c r="O957" i="17" s="1" a="1"/>
  <c r="O957" i="17" s="1"/>
  <c r="K957" i="17"/>
  <c r="L957" i="17"/>
  <c r="M957" i="17" s="1"/>
  <c r="I958" i="17"/>
  <c r="N958" i="17" s="1" a="1"/>
  <c r="N958" i="17" s="1"/>
  <c r="J958" i="17"/>
  <c r="O958" i="17" s="1" a="1"/>
  <c r="O958" i="17" s="1"/>
  <c r="K958" i="17"/>
  <c r="L958" i="17"/>
  <c r="M958" i="17" s="1"/>
  <c r="I959" i="17"/>
  <c r="N959" i="17" s="1" a="1"/>
  <c r="N959" i="17" s="1"/>
  <c r="J959" i="17"/>
  <c r="O959" i="17" s="1" a="1"/>
  <c r="O959" i="17" s="1"/>
  <c r="K959" i="17"/>
  <c r="L959" i="17"/>
  <c r="M959" i="17" s="1"/>
  <c r="I960" i="17"/>
  <c r="N960" i="17" s="1" a="1"/>
  <c r="N960" i="17" s="1"/>
  <c r="J960" i="17"/>
  <c r="O960" i="17" s="1" a="1"/>
  <c r="O960" i="17" s="1"/>
  <c r="K960" i="17"/>
  <c r="L960" i="17"/>
  <c r="M960" i="17" s="1"/>
  <c r="I961" i="17"/>
  <c r="N961" i="17" s="1" a="1"/>
  <c r="N961" i="17" s="1"/>
  <c r="J961" i="17"/>
  <c r="O961" i="17" s="1" a="1"/>
  <c r="O961" i="17" s="1"/>
  <c r="K961" i="17"/>
  <c r="L961" i="17"/>
  <c r="M961" i="17" s="1"/>
  <c r="I962" i="17"/>
  <c r="N962" i="17" s="1" a="1"/>
  <c r="N962" i="17" s="1"/>
  <c r="J962" i="17"/>
  <c r="O962" i="17" s="1" a="1"/>
  <c r="O962" i="17" s="1"/>
  <c r="K962" i="17"/>
  <c r="L962" i="17"/>
  <c r="M962" i="17" s="1"/>
  <c r="I963" i="17"/>
  <c r="N963" i="17" s="1" a="1"/>
  <c r="N963" i="17" s="1"/>
  <c r="J963" i="17"/>
  <c r="O963" i="17" s="1" a="1"/>
  <c r="O963" i="17" s="1"/>
  <c r="K963" i="17"/>
  <c r="L963" i="17"/>
  <c r="M963" i="17" s="1"/>
  <c r="I964" i="17"/>
  <c r="N964" i="17" s="1" a="1"/>
  <c r="N964" i="17" s="1"/>
  <c r="J964" i="17"/>
  <c r="O964" i="17" s="1" a="1"/>
  <c r="O964" i="17" s="1"/>
  <c r="K964" i="17"/>
  <c r="L964" i="17"/>
  <c r="M964" i="17" s="1"/>
  <c r="I965" i="17"/>
  <c r="N965" i="17" s="1" a="1"/>
  <c r="N965" i="17" s="1"/>
  <c r="J965" i="17"/>
  <c r="O965" i="17" s="1" a="1"/>
  <c r="O965" i="17" s="1"/>
  <c r="K965" i="17"/>
  <c r="L965" i="17"/>
  <c r="M965" i="17" s="1"/>
  <c r="I966" i="17"/>
  <c r="N966" i="17" s="1" a="1"/>
  <c r="N966" i="17" s="1"/>
  <c r="J966" i="17"/>
  <c r="O966" i="17" s="1" a="1"/>
  <c r="O966" i="17" s="1"/>
  <c r="K966" i="17"/>
  <c r="L966" i="17"/>
  <c r="M966" i="17" s="1"/>
  <c r="I967" i="17"/>
  <c r="N967" i="17" s="1" a="1"/>
  <c r="N967" i="17" s="1"/>
  <c r="J967" i="17"/>
  <c r="O967" i="17" s="1" a="1"/>
  <c r="O967" i="17" s="1"/>
  <c r="K967" i="17"/>
  <c r="L967" i="17"/>
  <c r="M967" i="17" s="1"/>
  <c r="I968" i="17"/>
  <c r="N968" i="17" s="1" a="1"/>
  <c r="N968" i="17" s="1"/>
  <c r="J968" i="17"/>
  <c r="O968" i="17" s="1" a="1"/>
  <c r="O968" i="17" s="1"/>
  <c r="K968" i="17"/>
  <c r="L968" i="17"/>
  <c r="M968" i="17" s="1"/>
  <c r="I969" i="17"/>
  <c r="N969" i="17" s="1" a="1"/>
  <c r="N969" i="17" s="1"/>
  <c r="J969" i="17"/>
  <c r="O969" i="17" s="1" a="1"/>
  <c r="O969" i="17" s="1"/>
  <c r="K969" i="17"/>
  <c r="L969" i="17"/>
  <c r="M969" i="17" s="1"/>
  <c r="I970" i="17"/>
  <c r="N970" i="17" s="1" a="1"/>
  <c r="N970" i="17" s="1"/>
  <c r="J970" i="17"/>
  <c r="O970" i="17" s="1" a="1"/>
  <c r="O970" i="17" s="1"/>
  <c r="K970" i="17"/>
  <c r="L970" i="17"/>
  <c r="M970" i="17" s="1"/>
  <c r="I971" i="17"/>
  <c r="N971" i="17" s="1" a="1"/>
  <c r="N971" i="17" s="1"/>
  <c r="J971" i="17"/>
  <c r="O971" i="17" s="1" a="1"/>
  <c r="O971" i="17" s="1"/>
  <c r="K971" i="17"/>
  <c r="L971" i="17"/>
  <c r="M971" i="17" s="1"/>
  <c r="I972" i="17"/>
  <c r="N972" i="17" s="1" a="1"/>
  <c r="N972" i="17" s="1"/>
  <c r="J972" i="17"/>
  <c r="O972" i="17" s="1" a="1"/>
  <c r="O972" i="17" s="1"/>
  <c r="K972" i="17"/>
  <c r="L972" i="17"/>
  <c r="M972" i="17" s="1"/>
  <c r="I973" i="17"/>
  <c r="N973" i="17" s="1" a="1"/>
  <c r="N973" i="17" s="1"/>
  <c r="J973" i="17"/>
  <c r="O973" i="17" s="1" a="1"/>
  <c r="O973" i="17" s="1"/>
  <c r="K973" i="17"/>
  <c r="L973" i="17"/>
  <c r="M973" i="17" s="1"/>
  <c r="I974" i="17"/>
  <c r="N974" i="17" s="1" a="1"/>
  <c r="N974" i="17" s="1"/>
  <c r="J974" i="17"/>
  <c r="O974" i="17" s="1" a="1"/>
  <c r="O974" i="17" s="1"/>
  <c r="K974" i="17"/>
  <c r="L974" i="17"/>
  <c r="M974" i="17" s="1"/>
  <c r="I975" i="17"/>
  <c r="N975" i="17" s="1" a="1"/>
  <c r="N975" i="17" s="1"/>
  <c r="J975" i="17"/>
  <c r="O975" i="17" s="1" a="1"/>
  <c r="O975" i="17" s="1"/>
  <c r="K975" i="17"/>
  <c r="L975" i="17"/>
  <c r="M975" i="17" s="1"/>
  <c r="I976" i="17"/>
  <c r="N976" i="17" s="1" a="1"/>
  <c r="N976" i="17" s="1"/>
  <c r="J976" i="17"/>
  <c r="O976" i="17" s="1" a="1"/>
  <c r="O976" i="17" s="1"/>
  <c r="K976" i="17"/>
  <c r="L976" i="17"/>
  <c r="M976" i="17" s="1"/>
  <c r="I977" i="17"/>
  <c r="N977" i="17" s="1" a="1"/>
  <c r="N977" i="17" s="1"/>
  <c r="J977" i="17"/>
  <c r="O977" i="17" s="1" a="1"/>
  <c r="O977" i="17" s="1"/>
  <c r="K977" i="17"/>
  <c r="L977" i="17"/>
  <c r="M977" i="17" s="1"/>
  <c r="I978" i="17"/>
  <c r="N978" i="17" s="1" a="1"/>
  <c r="N978" i="17" s="1"/>
  <c r="J978" i="17"/>
  <c r="O978" i="17" s="1" a="1"/>
  <c r="O978" i="17" s="1"/>
  <c r="K978" i="17"/>
  <c r="L978" i="17"/>
  <c r="M978" i="17" s="1"/>
  <c r="I979" i="17"/>
  <c r="N979" i="17" s="1" a="1"/>
  <c r="N979" i="17" s="1"/>
  <c r="J979" i="17"/>
  <c r="O979" i="17" s="1" a="1"/>
  <c r="O979" i="17" s="1"/>
  <c r="K979" i="17"/>
  <c r="L979" i="17"/>
  <c r="M979" i="17" s="1"/>
  <c r="I980" i="17"/>
  <c r="N980" i="17" s="1" a="1"/>
  <c r="N980" i="17" s="1"/>
  <c r="J980" i="17"/>
  <c r="O980" i="17" s="1" a="1"/>
  <c r="O980" i="17" s="1"/>
  <c r="K980" i="17"/>
  <c r="L980" i="17"/>
  <c r="M980" i="17" s="1"/>
  <c r="I981" i="17"/>
  <c r="N981" i="17" s="1" a="1"/>
  <c r="N981" i="17" s="1"/>
  <c r="J981" i="17"/>
  <c r="O981" i="17" s="1" a="1"/>
  <c r="O981" i="17" s="1"/>
  <c r="K981" i="17"/>
  <c r="L981" i="17"/>
  <c r="M981" i="17" s="1"/>
  <c r="I982" i="17"/>
  <c r="N982" i="17" s="1" a="1"/>
  <c r="N982" i="17" s="1"/>
  <c r="J982" i="17"/>
  <c r="O982" i="17" s="1" a="1"/>
  <c r="O982" i="17" s="1"/>
  <c r="K982" i="17"/>
  <c r="L982" i="17"/>
  <c r="M982" i="17" s="1"/>
  <c r="I983" i="17"/>
  <c r="N983" i="17" s="1" a="1"/>
  <c r="N983" i="17" s="1"/>
  <c r="J983" i="17"/>
  <c r="O983" i="17" s="1" a="1"/>
  <c r="O983" i="17" s="1"/>
  <c r="K983" i="17"/>
  <c r="L983" i="17"/>
  <c r="M983" i="17" s="1"/>
  <c r="I984" i="17"/>
  <c r="N984" i="17" s="1" a="1"/>
  <c r="N984" i="17" s="1"/>
  <c r="J984" i="17"/>
  <c r="O984" i="17" s="1" a="1"/>
  <c r="O984" i="17" s="1"/>
  <c r="K984" i="17"/>
  <c r="L984" i="17"/>
  <c r="M984" i="17" s="1"/>
  <c r="I985" i="17"/>
  <c r="N985" i="17" s="1" a="1"/>
  <c r="N985" i="17" s="1"/>
  <c r="J985" i="17"/>
  <c r="O985" i="17" s="1" a="1"/>
  <c r="O985" i="17" s="1"/>
  <c r="K985" i="17"/>
  <c r="L985" i="17"/>
  <c r="M985" i="17" s="1"/>
  <c r="I986" i="17"/>
  <c r="N986" i="17" s="1" a="1"/>
  <c r="N986" i="17" s="1"/>
  <c r="J986" i="17"/>
  <c r="O986" i="17" s="1" a="1"/>
  <c r="O986" i="17" s="1"/>
  <c r="K986" i="17"/>
  <c r="L986" i="17"/>
  <c r="M986" i="17" s="1"/>
  <c r="I987" i="17"/>
  <c r="N987" i="17" s="1" a="1"/>
  <c r="N987" i="17" s="1"/>
  <c r="J987" i="17"/>
  <c r="O987" i="17" s="1" a="1"/>
  <c r="O987" i="17" s="1"/>
  <c r="K987" i="17"/>
  <c r="L987" i="17"/>
  <c r="M987" i="17" s="1"/>
  <c r="I988" i="17"/>
  <c r="N988" i="17" s="1" a="1"/>
  <c r="N988" i="17" s="1"/>
  <c r="J988" i="17"/>
  <c r="O988" i="17" s="1" a="1"/>
  <c r="O988" i="17" s="1"/>
  <c r="K988" i="17"/>
  <c r="L988" i="17"/>
  <c r="M988" i="17" s="1"/>
  <c r="I989" i="17"/>
  <c r="N989" i="17" s="1" a="1"/>
  <c r="N989" i="17" s="1"/>
  <c r="J989" i="17"/>
  <c r="O989" i="17" s="1" a="1"/>
  <c r="O989" i="17" s="1"/>
  <c r="K989" i="17"/>
  <c r="L989" i="17"/>
  <c r="M989" i="17" s="1"/>
  <c r="I990" i="17"/>
  <c r="N990" i="17" s="1" a="1"/>
  <c r="N990" i="17" s="1"/>
  <c r="J990" i="17"/>
  <c r="O990" i="17" s="1" a="1"/>
  <c r="O990" i="17" s="1"/>
  <c r="K990" i="17"/>
  <c r="L990" i="17"/>
  <c r="M990" i="17" s="1"/>
  <c r="I991" i="17"/>
  <c r="N991" i="17" s="1" a="1"/>
  <c r="N991" i="17" s="1"/>
  <c r="J991" i="17"/>
  <c r="O991" i="17" s="1" a="1"/>
  <c r="O991" i="17" s="1"/>
  <c r="K991" i="17"/>
  <c r="L991" i="17"/>
  <c r="M991" i="17" s="1"/>
  <c r="I992" i="17"/>
  <c r="N992" i="17" s="1" a="1"/>
  <c r="N992" i="17" s="1"/>
  <c r="J992" i="17"/>
  <c r="O992" i="17" s="1" a="1"/>
  <c r="O992" i="17" s="1"/>
  <c r="K992" i="17"/>
  <c r="L992" i="17"/>
  <c r="M992" i="17" s="1"/>
  <c r="I993" i="17"/>
  <c r="N993" i="17" s="1" a="1"/>
  <c r="N993" i="17" s="1"/>
  <c r="J993" i="17"/>
  <c r="O993" i="17" s="1" a="1"/>
  <c r="O993" i="17" s="1"/>
  <c r="K993" i="17"/>
  <c r="L993" i="17"/>
  <c r="M993" i="17" s="1"/>
  <c r="I994" i="17"/>
  <c r="N994" i="17" s="1" a="1"/>
  <c r="N994" i="17" s="1"/>
  <c r="J994" i="17"/>
  <c r="O994" i="17" s="1" a="1"/>
  <c r="O994" i="17" s="1"/>
  <c r="K994" i="17"/>
  <c r="L994" i="17"/>
  <c r="M994" i="17" s="1"/>
  <c r="I995" i="17"/>
  <c r="N995" i="17" s="1" a="1"/>
  <c r="N995" i="17" s="1"/>
  <c r="J995" i="17"/>
  <c r="O995" i="17" s="1" a="1"/>
  <c r="O995" i="17" s="1"/>
  <c r="K995" i="17"/>
  <c r="L995" i="17"/>
  <c r="M995" i="17" s="1"/>
  <c r="I996" i="17"/>
  <c r="N996" i="17" s="1" a="1"/>
  <c r="N996" i="17" s="1"/>
  <c r="J996" i="17"/>
  <c r="O996" i="17" s="1" a="1"/>
  <c r="O996" i="17" s="1"/>
  <c r="K996" i="17"/>
  <c r="L996" i="17"/>
  <c r="M996" i="17" s="1"/>
  <c r="I997" i="17"/>
  <c r="N997" i="17" s="1" a="1"/>
  <c r="N997" i="17" s="1"/>
  <c r="J997" i="17"/>
  <c r="O997" i="17" s="1" a="1"/>
  <c r="O997" i="17" s="1"/>
  <c r="K997" i="17"/>
  <c r="L997" i="17"/>
  <c r="M997" i="17" s="1"/>
  <c r="I998" i="17"/>
  <c r="N998" i="17" s="1" a="1"/>
  <c r="N998" i="17" s="1"/>
  <c r="J998" i="17"/>
  <c r="O998" i="17" s="1" a="1"/>
  <c r="O998" i="17" s="1"/>
  <c r="K998" i="17"/>
  <c r="L998" i="17"/>
  <c r="M998" i="17" s="1"/>
  <c r="I999" i="17"/>
  <c r="N999" i="17" s="1" a="1"/>
  <c r="N999" i="17" s="1"/>
  <c r="J999" i="17"/>
  <c r="O999" i="17" s="1" a="1"/>
  <c r="O999" i="17" s="1"/>
  <c r="K999" i="17"/>
  <c r="L999" i="17"/>
  <c r="M999" i="17" s="1"/>
  <c r="I1000" i="17"/>
  <c r="N1000" i="17" s="1" a="1"/>
  <c r="N1000" i="17" s="1"/>
  <c r="J1000" i="17"/>
  <c r="O1000" i="17" s="1" a="1"/>
  <c r="O1000" i="17" s="1"/>
  <c r="K1000" i="17"/>
  <c r="L1000" i="17"/>
  <c r="M1000" i="17" s="1"/>
  <c r="I1001" i="17"/>
  <c r="N1001" i="17" s="1" a="1"/>
  <c r="N1001" i="17" s="1"/>
  <c r="J1001" i="17"/>
  <c r="O1001" i="17" s="1" a="1"/>
  <c r="O1001" i="17" s="1"/>
  <c r="K1001" i="17"/>
  <c r="L1001" i="17"/>
  <c r="M1001" i="17" s="1"/>
  <c r="J2" i="17"/>
  <c r="O2" i="17" s="1" a="1"/>
  <c r="O2" i="17" s="1"/>
  <c r="K2" i="17"/>
  <c r="L2" i="17"/>
  <c r="M2" i="17" s="1"/>
  <c r="G3" i="17" a="1"/>
  <c r="G3" i="17" s="1"/>
  <c r="G4" i="17" a="1"/>
  <c r="G4" i="17" s="1"/>
  <c r="G5" i="17" a="1"/>
  <c r="G5" i="17" s="1"/>
  <c r="G6" i="17" a="1"/>
  <c r="G6" i="17" s="1"/>
  <c r="G7" i="17" a="1"/>
  <c r="G7" i="17" s="1"/>
  <c r="G8" i="17" a="1"/>
  <c r="G8" i="17" s="1"/>
  <c r="G9" i="17" a="1"/>
  <c r="G9" i="17" s="1"/>
  <c r="G10" i="17" a="1"/>
  <c r="G10" i="17" s="1"/>
  <c r="G11" i="17" a="1"/>
  <c r="G11" i="17" s="1"/>
  <c r="G12" i="17" a="1"/>
  <c r="G12" i="17" s="1"/>
  <c r="G13" i="17" a="1"/>
  <c r="G13" i="17" s="1"/>
  <c r="G14" i="17" a="1"/>
  <c r="G14" i="17" s="1"/>
  <c r="G15" i="17" a="1"/>
  <c r="G15" i="17" s="1"/>
  <c r="G16" i="17" a="1"/>
  <c r="G16" i="17" s="1"/>
  <c r="G17" i="17" a="1"/>
  <c r="G17" i="17" s="1"/>
  <c r="G18" i="17" a="1"/>
  <c r="G18" i="17" s="1"/>
  <c r="G19" i="17" a="1"/>
  <c r="G19" i="17" s="1"/>
  <c r="G20" i="17" a="1"/>
  <c r="G20" i="17" s="1"/>
  <c r="G21" i="17" a="1"/>
  <c r="G21" i="17" s="1"/>
  <c r="G22" i="17" a="1"/>
  <c r="G22" i="17" s="1"/>
  <c r="G23" i="17" a="1"/>
  <c r="G23" i="17" s="1"/>
  <c r="G24" i="17" a="1"/>
  <c r="G24" i="17" s="1"/>
  <c r="G25" i="17" a="1"/>
  <c r="G25" i="17" s="1"/>
  <c r="G26" i="17" a="1"/>
  <c r="G26" i="17" s="1"/>
  <c r="G27" i="17" a="1"/>
  <c r="G27" i="17" s="1"/>
  <c r="G28" i="17" a="1"/>
  <c r="G28" i="17" s="1"/>
  <c r="G29" i="17" a="1"/>
  <c r="G29" i="17" s="1"/>
  <c r="G30" i="17" a="1"/>
  <c r="G30" i="17" s="1"/>
  <c r="G31" i="17" a="1"/>
  <c r="G31" i="17" s="1"/>
  <c r="G32" i="17" a="1"/>
  <c r="G32" i="17" s="1"/>
  <c r="G33" i="17" a="1"/>
  <c r="G33" i="17" s="1"/>
  <c r="G34" i="17" a="1"/>
  <c r="G34" i="17" s="1"/>
  <c r="G35" i="17" a="1"/>
  <c r="G35" i="17" s="1"/>
  <c r="G36" i="17" a="1"/>
  <c r="G36" i="17" s="1"/>
  <c r="G37" i="17" a="1"/>
  <c r="G37" i="17" s="1"/>
  <c r="G38" i="17" a="1"/>
  <c r="G38" i="17" s="1"/>
  <c r="G39" i="17" a="1"/>
  <c r="G39" i="17" s="1"/>
  <c r="G40" i="17" a="1"/>
  <c r="G40" i="17" s="1"/>
  <c r="G41" i="17" a="1"/>
  <c r="G41" i="17" s="1"/>
  <c r="G42" i="17" a="1"/>
  <c r="G42" i="17" s="1"/>
  <c r="G43" i="17" a="1"/>
  <c r="G43" i="17" s="1"/>
  <c r="G44" i="17" a="1"/>
  <c r="G44" i="17" s="1"/>
  <c r="G45" i="17" a="1"/>
  <c r="G45" i="17" s="1"/>
  <c r="G46" i="17" a="1"/>
  <c r="G46" i="17" s="1"/>
  <c r="G47" i="17" a="1"/>
  <c r="G47" i="17" s="1"/>
  <c r="G48" i="17" a="1"/>
  <c r="G48" i="17" s="1"/>
  <c r="G49" i="17" a="1"/>
  <c r="G49" i="17" s="1"/>
  <c r="G50" i="17" a="1"/>
  <c r="G50" i="17" s="1"/>
  <c r="G51" i="17" a="1"/>
  <c r="G51" i="17" s="1"/>
  <c r="G52" i="17" a="1"/>
  <c r="G52" i="17" s="1"/>
  <c r="G53" i="17" a="1"/>
  <c r="G53" i="17" s="1"/>
  <c r="G54" i="17" a="1"/>
  <c r="G54" i="17" s="1"/>
  <c r="G55" i="17" a="1"/>
  <c r="G55" i="17" s="1"/>
  <c r="G56" i="17" a="1"/>
  <c r="G56" i="17" s="1"/>
  <c r="G57" i="17" a="1"/>
  <c r="G57" i="17" s="1"/>
  <c r="G58" i="17" a="1"/>
  <c r="G58" i="17" s="1"/>
  <c r="G59" i="17" a="1"/>
  <c r="G59" i="17" s="1"/>
  <c r="G60" i="17" a="1"/>
  <c r="G60" i="17" s="1"/>
  <c r="G61" i="17" a="1"/>
  <c r="G61" i="17" s="1"/>
  <c r="G62" i="17" a="1"/>
  <c r="G62" i="17" s="1"/>
  <c r="G63" i="17" a="1"/>
  <c r="G63" i="17" s="1"/>
  <c r="G64" i="17" a="1"/>
  <c r="G64" i="17" s="1"/>
  <c r="G65" i="17" a="1"/>
  <c r="G65" i="17" s="1"/>
  <c r="G66" i="17" a="1"/>
  <c r="G66" i="17" s="1"/>
  <c r="G67" i="17" a="1"/>
  <c r="G67" i="17" s="1"/>
  <c r="G68" i="17" a="1"/>
  <c r="G68" i="17" s="1"/>
  <c r="G69" i="17" a="1"/>
  <c r="G69" i="17" s="1"/>
  <c r="G70" i="17" a="1"/>
  <c r="G70" i="17" s="1"/>
  <c r="G71" i="17" a="1"/>
  <c r="G71" i="17" s="1"/>
  <c r="G72" i="17" a="1"/>
  <c r="G72" i="17" s="1"/>
  <c r="G73" i="17" a="1"/>
  <c r="G73" i="17" s="1"/>
  <c r="G74" i="17" a="1"/>
  <c r="G74" i="17" s="1"/>
  <c r="G75" i="17" a="1"/>
  <c r="G75" i="17" s="1"/>
  <c r="G76" i="17" a="1"/>
  <c r="G76" i="17" s="1"/>
  <c r="G77" i="17" a="1"/>
  <c r="G77" i="17" s="1"/>
  <c r="G78" i="17" a="1"/>
  <c r="G78" i="17" s="1"/>
  <c r="G79" i="17" a="1"/>
  <c r="G79" i="17" s="1"/>
  <c r="G80" i="17" a="1"/>
  <c r="G80" i="17" s="1"/>
  <c r="G81" i="17" a="1"/>
  <c r="G81" i="17" s="1"/>
  <c r="G82" i="17" a="1"/>
  <c r="G82" i="17" s="1"/>
  <c r="G83" i="17" a="1"/>
  <c r="G83" i="17" s="1"/>
  <c r="G84" i="17" a="1"/>
  <c r="G84" i="17" s="1"/>
  <c r="G85" i="17" a="1"/>
  <c r="G85" i="17" s="1"/>
  <c r="G86" i="17" a="1"/>
  <c r="G86" i="17" s="1"/>
  <c r="G87" i="17" a="1"/>
  <c r="G87" i="17" s="1"/>
  <c r="G88" i="17" a="1"/>
  <c r="G88" i="17" s="1"/>
  <c r="G89" i="17" a="1"/>
  <c r="G89" i="17" s="1"/>
  <c r="G90" i="17" a="1"/>
  <c r="G90" i="17" s="1"/>
  <c r="G91" i="17" a="1"/>
  <c r="G91" i="17" s="1"/>
  <c r="G92" i="17" a="1"/>
  <c r="G92" i="17" s="1"/>
  <c r="G93" i="17" a="1"/>
  <c r="G93" i="17" s="1"/>
  <c r="G94" i="17" a="1"/>
  <c r="G94" i="17" s="1"/>
  <c r="G95" i="17" a="1"/>
  <c r="G95" i="17" s="1"/>
  <c r="G96" i="17" a="1"/>
  <c r="G96" i="17" s="1"/>
  <c r="G97" i="17" a="1"/>
  <c r="G97" i="17" s="1"/>
  <c r="G98" i="17" a="1"/>
  <c r="G98" i="17" s="1"/>
  <c r="G99" i="17" a="1"/>
  <c r="G99" i="17" s="1"/>
  <c r="G100" i="17" a="1"/>
  <c r="G100" i="17" s="1"/>
  <c r="G101" i="17" a="1"/>
  <c r="G101" i="17" s="1"/>
  <c r="G102" i="17" a="1"/>
  <c r="G102" i="17" s="1"/>
  <c r="G103" i="17" a="1"/>
  <c r="G103" i="17" s="1"/>
  <c r="G104" i="17" a="1"/>
  <c r="G104" i="17" s="1"/>
  <c r="G105" i="17" a="1"/>
  <c r="G105" i="17" s="1"/>
  <c r="G106" i="17" a="1"/>
  <c r="G106" i="17" s="1"/>
  <c r="G107" i="17" a="1"/>
  <c r="G107" i="17" s="1"/>
  <c r="G108" i="17" a="1"/>
  <c r="G108" i="17" s="1"/>
  <c r="G109" i="17" a="1"/>
  <c r="G109" i="17" s="1"/>
  <c r="G110" i="17" a="1"/>
  <c r="G110" i="17" s="1"/>
  <c r="G111" i="17" a="1"/>
  <c r="G111" i="17" s="1"/>
  <c r="G112" i="17" a="1"/>
  <c r="G112" i="17" s="1"/>
  <c r="G113" i="17" a="1"/>
  <c r="G113" i="17" s="1"/>
  <c r="G114" i="17" a="1"/>
  <c r="G114" i="17" s="1"/>
  <c r="G115" i="17" a="1"/>
  <c r="G115" i="17" s="1"/>
  <c r="G116" i="17" a="1"/>
  <c r="G116" i="17" s="1"/>
  <c r="G117" i="17" a="1"/>
  <c r="G117" i="17" s="1"/>
  <c r="G118" i="17" a="1"/>
  <c r="G118" i="17" s="1"/>
  <c r="G119" i="17" a="1"/>
  <c r="G119" i="17" s="1"/>
  <c r="G120" i="17" a="1"/>
  <c r="G120" i="17" s="1"/>
  <c r="G121" i="17" a="1"/>
  <c r="G121" i="17" s="1"/>
  <c r="G122" i="17" a="1"/>
  <c r="G122" i="17" s="1"/>
  <c r="G123" i="17" a="1"/>
  <c r="G123" i="17" s="1"/>
  <c r="G124" i="17" a="1"/>
  <c r="G124" i="17" s="1"/>
  <c r="G125" i="17" a="1"/>
  <c r="G125" i="17" s="1"/>
  <c r="G126" i="17" a="1"/>
  <c r="G126" i="17" s="1"/>
  <c r="G127" i="17" a="1"/>
  <c r="G127" i="17" s="1"/>
  <c r="G128" i="17" a="1"/>
  <c r="G128" i="17" s="1"/>
  <c r="G129" i="17" a="1"/>
  <c r="G129" i="17" s="1"/>
  <c r="G130" i="17" a="1"/>
  <c r="G130" i="17" s="1"/>
  <c r="G131" i="17" a="1"/>
  <c r="G131" i="17" s="1"/>
  <c r="G132" i="17" a="1"/>
  <c r="G132" i="17" s="1"/>
  <c r="G133" i="17" a="1"/>
  <c r="G133" i="17" s="1"/>
  <c r="G134" i="17" a="1"/>
  <c r="G134" i="17" s="1"/>
  <c r="G135" i="17" a="1"/>
  <c r="G135" i="17" s="1"/>
  <c r="G136" i="17" a="1"/>
  <c r="G136" i="17" s="1"/>
  <c r="G137" i="17" a="1"/>
  <c r="G137" i="17" s="1"/>
  <c r="G138" i="17" a="1"/>
  <c r="G138" i="17" s="1"/>
  <c r="G139" i="17" a="1"/>
  <c r="G139" i="17" s="1"/>
  <c r="G140" i="17" a="1"/>
  <c r="G140" i="17" s="1"/>
  <c r="G141" i="17" a="1"/>
  <c r="G141" i="17" s="1"/>
  <c r="G142" i="17" a="1"/>
  <c r="G142" i="17" s="1"/>
  <c r="G143" i="17" a="1"/>
  <c r="G143" i="17" s="1"/>
  <c r="G144" i="17" a="1"/>
  <c r="G144" i="17" s="1"/>
  <c r="G145" i="17" a="1"/>
  <c r="G145" i="17" s="1"/>
  <c r="G146" i="17" a="1"/>
  <c r="G146" i="17" s="1"/>
  <c r="G147" i="17" a="1"/>
  <c r="G147" i="17" s="1"/>
  <c r="G148" i="17" a="1"/>
  <c r="G148" i="17" s="1"/>
  <c r="G149" i="17" a="1"/>
  <c r="G149" i="17" s="1"/>
  <c r="G150" i="17" a="1"/>
  <c r="G150" i="17" s="1"/>
  <c r="G151" i="17" a="1"/>
  <c r="G151" i="17" s="1"/>
  <c r="G152" i="17" a="1"/>
  <c r="G152" i="17" s="1"/>
  <c r="G153" i="17" a="1"/>
  <c r="G153" i="17" s="1"/>
  <c r="G154" i="17" a="1"/>
  <c r="G154" i="17" s="1"/>
  <c r="G155" i="17" a="1"/>
  <c r="G155" i="17" s="1"/>
  <c r="G156" i="17" a="1"/>
  <c r="G156" i="17" s="1"/>
  <c r="G157" i="17" a="1"/>
  <c r="G157" i="17" s="1"/>
  <c r="G158" i="17" a="1"/>
  <c r="G158" i="17" s="1"/>
  <c r="G159" i="17" a="1"/>
  <c r="G159" i="17" s="1"/>
  <c r="G160" i="17" a="1"/>
  <c r="G160" i="17" s="1"/>
  <c r="G161" i="17" a="1"/>
  <c r="G161" i="17" s="1"/>
  <c r="G162" i="17" a="1"/>
  <c r="G162" i="17" s="1"/>
  <c r="G163" i="17" a="1"/>
  <c r="G163" i="17" s="1"/>
  <c r="G164" i="17" a="1"/>
  <c r="G164" i="17" s="1"/>
  <c r="G165" i="17" a="1"/>
  <c r="G165" i="17" s="1"/>
  <c r="G166" i="17" a="1"/>
  <c r="G166" i="17" s="1"/>
  <c r="G167" i="17" a="1"/>
  <c r="G167" i="17" s="1"/>
  <c r="G168" i="17" a="1"/>
  <c r="G168" i="17" s="1"/>
  <c r="G169" i="17" a="1"/>
  <c r="G169" i="17" s="1"/>
  <c r="G170" i="17" a="1"/>
  <c r="G170" i="17" s="1"/>
  <c r="G171" i="17" a="1"/>
  <c r="G171" i="17" s="1"/>
  <c r="G172" i="17" a="1"/>
  <c r="G172" i="17" s="1"/>
  <c r="G173" i="17" a="1"/>
  <c r="G173" i="17" s="1"/>
  <c r="G174" i="17" a="1"/>
  <c r="G174" i="17" s="1"/>
  <c r="G175" i="17" a="1"/>
  <c r="G175" i="17" s="1"/>
  <c r="G176" i="17" a="1"/>
  <c r="G176" i="17" s="1"/>
  <c r="G177" i="17" a="1"/>
  <c r="G177" i="17" s="1"/>
  <c r="G178" i="17" a="1"/>
  <c r="G178" i="17" s="1"/>
  <c r="G179" i="17" a="1"/>
  <c r="G179" i="17" s="1"/>
  <c r="G180" i="17" a="1"/>
  <c r="G180" i="17" s="1"/>
  <c r="G181" i="17" a="1"/>
  <c r="G181" i="17" s="1"/>
  <c r="G182" i="17" a="1"/>
  <c r="G182" i="17" s="1"/>
  <c r="G183" i="17" a="1"/>
  <c r="G183" i="17" s="1"/>
  <c r="G184" i="17" a="1"/>
  <c r="G184" i="17" s="1"/>
  <c r="G185" i="17" a="1"/>
  <c r="G185" i="17" s="1"/>
  <c r="G186" i="17" a="1"/>
  <c r="G186" i="17" s="1"/>
  <c r="G187" i="17" a="1"/>
  <c r="G187" i="17" s="1"/>
  <c r="G188" i="17" a="1"/>
  <c r="G188" i="17" s="1"/>
  <c r="G189" i="17" a="1"/>
  <c r="G189" i="17" s="1"/>
  <c r="G190" i="17" a="1"/>
  <c r="G190" i="17" s="1"/>
  <c r="G191" i="17" a="1"/>
  <c r="G191" i="17" s="1"/>
  <c r="G192" i="17" a="1"/>
  <c r="G192" i="17" s="1"/>
  <c r="G193" i="17" a="1"/>
  <c r="G193" i="17" s="1"/>
  <c r="G194" i="17" a="1"/>
  <c r="G194" i="17" s="1"/>
  <c r="G195" i="17" a="1"/>
  <c r="G195" i="17" s="1"/>
  <c r="G196" i="17" a="1"/>
  <c r="G196" i="17" s="1"/>
  <c r="G197" i="17" a="1"/>
  <c r="G197" i="17" s="1"/>
  <c r="G198" i="17" a="1"/>
  <c r="G198" i="17" s="1"/>
  <c r="G199" i="17" a="1"/>
  <c r="G199" i="17" s="1"/>
  <c r="G200" i="17" a="1"/>
  <c r="G200" i="17" s="1"/>
  <c r="G201" i="17" a="1"/>
  <c r="G201" i="17" s="1"/>
  <c r="G202" i="17" a="1"/>
  <c r="G202" i="17" s="1"/>
  <c r="G203" i="17" a="1"/>
  <c r="G203" i="17" s="1"/>
  <c r="G204" i="17" a="1"/>
  <c r="G204" i="17" s="1"/>
  <c r="G205" i="17" a="1"/>
  <c r="G205" i="17" s="1"/>
  <c r="G206" i="17" a="1"/>
  <c r="G206" i="17" s="1"/>
  <c r="G207" i="17" a="1"/>
  <c r="G207" i="17" s="1"/>
  <c r="G208" i="17" a="1"/>
  <c r="G208" i="17" s="1"/>
  <c r="G209" i="17" a="1"/>
  <c r="G209" i="17" s="1"/>
  <c r="G210" i="17" a="1"/>
  <c r="G210" i="17" s="1"/>
  <c r="G211" i="17" a="1"/>
  <c r="G211" i="17" s="1"/>
  <c r="G212" i="17" a="1"/>
  <c r="G212" i="17" s="1"/>
  <c r="G213" i="17" a="1"/>
  <c r="G213" i="17" s="1"/>
  <c r="G214" i="17" a="1"/>
  <c r="G214" i="17" s="1"/>
  <c r="G215" i="17" a="1"/>
  <c r="G215" i="17" s="1"/>
  <c r="G216" i="17" a="1"/>
  <c r="G216" i="17" s="1"/>
  <c r="G217" i="17" a="1"/>
  <c r="G217" i="17" s="1"/>
  <c r="G218" i="17" a="1"/>
  <c r="G218" i="17" s="1"/>
  <c r="G219" i="17" a="1"/>
  <c r="G219" i="17" s="1"/>
  <c r="G220" i="17" a="1"/>
  <c r="G220" i="17" s="1"/>
  <c r="G221" i="17" a="1"/>
  <c r="G221" i="17" s="1"/>
  <c r="G222" i="17" a="1"/>
  <c r="G222" i="17" s="1"/>
  <c r="G223" i="17" a="1"/>
  <c r="G223" i="17" s="1"/>
  <c r="G224" i="17" a="1"/>
  <c r="G224" i="17" s="1"/>
  <c r="G225" i="17" a="1"/>
  <c r="G225" i="17" s="1"/>
  <c r="G226" i="17" a="1"/>
  <c r="G226" i="17" s="1"/>
  <c r="G227" i="17" a="1"/>
  <c r="G227" i="17" s="1"/>
  <c r="G228" i="17" a="1"/>
  <c r="G228" i="17" s="1"/>
  <c r="G229" i="17" a="1"/>
  <c r="G229" i="17" s="1"/>
  <c r="G230" i="17" a="1"/>
  <c r="G230" i="17" s="1"/>
  <c r="G231" i="17" a="1"/>
  <c r="G231" i="17" s="1"/>
  <c r="G232" i="17" a="1"/>
  <c r="G232" i="17" s="1"/>
  <c r="G233" i="17" a="1"/>
  <c r="G233" i="17" s="1"/>
  <c r="G234" i="17" a="1"/>
  <c r="G234" i="17" s="1"/>
  <c r="G235" i="17" a="1"/>
  <c r="G235" i="17" s="1"/>
  <c r="G236" i="17" a="1"/>
  <c r="G236" i="17" s="1"/>
  <c r="G237" i="17" a="1"/>
  <c r="G237" i="17" s="1"/>
  <c r="G238" i="17" a="1"/>
  <c r="G238" i="17" s="1"/>
  <c r="G239" i="17" a="1"/>
  <c r="G239" i="17" s="1"/>
  <c r="G240" i="17" a="1"/>
  <c r="G240" i="17" s="1"/>
  <c r="G241" i="17" a="1"/>
  <c r="G241" i="17" s="1"/>
  <c r="G242" i="17" a="1"/>
  <c r="G242" i="17" s="1"/>
  <c r="G243" i="17" a="1"/>
  <c r="G243" i="17" s="1"/>
  <c r="G244" i="17" a="1"/>
  <c r="G244" i="17" s="1"/>
  <c r="G245" i="17" a="1"/>
  <c r="G245" i="17" s="1"/>
  <c r="G246" i="17" a="1"/>
  <c r="G246" i="17" s="1"/>
  <c r="G247" i="17" a="1"/>
  <c r="G247" i="17" s="1"/>
  <c r="G248" i="17" a="1"/>
  <c r="G248" i="17" s="1"/>
  <c r="G249" i="17" a="1"/>
  <c r="G249" i="17" s="1"/>
  <c r="G250" i="17" a="1"/>
  <c r="G250" i="17" s="1"/>
  <c r="G251" i="17" a="1"/>
  <c r="G251" i="17" s="1"/>
  <c r="G252" i="17" a="1"/>
  <c r="G252" i="17" s="1"/>
  <c r="G253" i="17" a="1"/>
  <c r="G253" i="17" s="1"/>
  <c r="G254" i="17" a="1"/>
  <c r="G254" i="17" s="1"/>
  <c r="G255" i="17" a="1"/>
  <c r="G255" i="17" s="1"/>
  <c r="G256" i="17" a="1"/>
  <c r="G256" i="17" s="1"/>
  <c r="G257" i="17" a="1"/>
  <c r="G257" i="17" s="1"/>
  <c r="G258" i="17" a="1"/>
  <c r="G258" i="17" s="1"/>
  <c r="G259" i="17" a="1"/>
  <c r="G259" i="17" s="1"/>
  <c r="G260" i="17" a="1"/>
  <c r="G260" i="17" s="1"/>
  <c r="G261" i="17" a="1"/>
  <c r="G261" i="17" s="1"/>
  <c r="G262" i="17" a="1"/>
  <c r="G262" i="17" s="1"/>
  <c r="G263" i="17" a="1"/>
  <c r="G263" i="17" s="1"/>
  <c r="G264" i="17" a="1"/>
  <c r="G264" i="17" s="1"/>
  <c r="G265" i="17" a="1"/>
  <c r="G265" i="17" s="1"/>
  <c r="G266" i="17" a="1"/>
  <c r="G266" i="17" s="1"/>
  <c r="G267" i="17" a="1"/>
  <c r="G267" i="17" s="1"/>
  <c r="G268" i="17" a="1"/>
  <c r="G268" i="17" s="1"/>
  <c r="G269" i="17" a="1"/>
  <c r="G269" i="17" s="1"/>
  <c r="G270" i="17" a="1"/>
  <c r="G270" i="17" s="1"/>
  <c r="G271" i="17" a="1"/>
  <c r="G271" i="17" s="1"/>
  <c r="G272" i="17" a="1"/>
  <c r="G272" i="17" s="1"/>
  <c r="G273" i="17" a="1"/>
  <c r="G273" i="17" s="1"/>
  <c r="G274" i="17" a="1"/>
  <c r="G274" i="17" s="1"/>
  <c r="G275" i="17" a="1"/>
  <c r="G275" i="17" s="1"/>
  <c r="G276" i="17" a="1"/>
  <c r="G276" i="17" s="1"/>
  <c r="G277" i="17" a="1"/>
  <c r="G277" i="17" s="1"/>
  <c r="G278" i="17" a="1"/>
  <c r="G278" i="17" s="1"/>
  <c r="G279" i="17" a="1"/>
  <c r="G279" i="17" s="1"/>
  <c r="G280" i="17" a="1"/>
  <c r="G280" i="17" s="1"/>
  <c r="G281" i="17" a="1"/>
  <c r="G281" i="17" s="1"/>
  <c r="G282" i="17" a="1"/>
  <c r="G282" i="17" s="1"/>
  <c r="G283" i="17" a="1"/>
  <c r="G283" i="17" s="1"/>
  <c r="G284" i="17" a="1"/>
  <c r="G284" i="17" s="1"/>
  <c r="G285" i="17" a="1"/>
  <c r="G285" i="17" s="1"/>
  <c r="G286" i="17" a="1"/>
  <c r="G286" i="17" s="1"/>
  <c r="G287" i="17" a="1"/>
  <c r="G287" i="17" s="1"/>
  <c r="G288" i="17" a="1"/>
  <c r="G288" i="17" s="1"/>
  <c r="G289" i="17" a="1"/>
  <c r="G289" i="17" s="1"/>
  <c r="G290" i="17" a="1"/>
  <c r="G290" i="17" s="1"/>
  <c r="G291" i="17" a="1"/>
  <c r="G291" i="17" s="1"/>
  <c r="G292" i="17" a="1"/>
  <c r="G292" i="17" s="1"/>
  <c r="G293" i="17" a="1"/>
  <c r="G293" i="17" s="1"/>
  <c r="G294" i="17" a="1"/>
  <c r="G294" i="17" s="1"/>
  <c r="G295" i="17" a="1"/>
  <c r="G295" i="17" s="1"/>
  <c r="G296" i="17" a="1"/>
  <c r="G296" i="17" s="1"/>
  <c r="G297" i="17" a="1"/>
  <c r="G297" i="17" s="1"/>
  <c r="G298" i="17" a="1"/>
  <c r="G298" i="17" s="1"/>
  <c r="G299" i="17" a="1"/>
  <c r="G299" i="17" s="1"/>
  <c r="G300" i="17" a="1"/>
  <c r="G300" i="17" s="1"/>
  <c r="G301" i="17" a="1"/>
  <c r="G301" i="17" s="1"/>
  <c r="G302" i="17" a="1"/>
  <c r="G302" i="17" s="1"/>
  <c r="G303" i="17" a="1"/>
  <c r="G303" i="17" s="1"/>
  <c r="G304" i="17" a="1"/>
  <c r="G304" i="17" s="1"/>
  <c r="G305" i="17" a="1"/>
  <c r="G305" i="17" s="1"/>
  <c r="G306" i="17" a="1"/>
  <c r="G306" i="17" s="1"/>
  <c r="G307" i="17" a="1"/>
  <c r="G307" i="17" s="1"/>
  <c r="G308" i="17" a="1"/>
  <c r="G308" i="17" s="1"/>
  <c r="G309" i="17" a="1"/>
  <c r="G309" i="17" s="1"/>
  <c r="G310" i="17" a="1"/>
  <c r="G310" i="17" s="1"/>
  <c r="G311" i="17" a="1"/>
  <c r="G311" i="17" s="1"/>
  <c r="G312" i="17" a="1"/>
  <c r="G312" i="17" s="1"/>
  <c r="G313" i="17" a="1"/>
  <c r="G313" i="17" s="1"/>
  <c r="G314" i="17" a="1"/>
  <c r="G314" i="17" s="1"/>
  <c r="G315" i="17" a="1"/>
  <c r="G315" i="17" s="1"/>
  <c r="G316" i="17" a="1"/>
  <c r="G316" i="17" s="1"/>
  <c r="G317" i="17" a="1"/>
  <c r="G317" i="17" s="1"/>
  <c r="G318" i="17" a="1"/>
  <c r="G318" i="17" s="1"/>
  <c r="G319" i="17" a="1"/>
  <c r="G319" i="17" s="1"/>
  <c r="G320" i="17" a="1"/>
  <c r="G320" i="17" s="1"/>
  <c r="G321" i="17" a="1"/>
  <c r="G321" i="17" s="1"/>
  <c r="G322" i="17" a="1"/>
  <c r="G322" i="17" s="1"/>
  <c r="G323" i="17" a="1"/>
  <c r="G323" i="17" s="1"/>
  <c r="G324" i="17" a="1"/>
  <c r="G324" i="17" s="1"/>
  <c r="G325" i="17" a="1"/>
  <c r="G325" i="17" s="1"/>
  <c r="G326" i="17" a="1"/>
  <c r="G326" i="17" s="1"/>
  <c r="G327" i="17" a="1"/>
  <c r="G327" i="17" s="1"/>
  <c r="G328" i="17" a="1"/>
  <c r="G328" i="17" s="1"/>
  <c r="G329" i="17" a="1"/>
  <c r="G329" i="17" s="1"/>
  <c r="G330" i="17" a="1"/>
  <c r="G330" i="17" s="1"/>
  <c r="G331" i="17" a="1"/>
  <c r="G331" i="17" s="1"/>
  <c r="G332" i="17" a="1"/>
  <c r="G332" i="17" s="1"/>
  <c r="G333" i="17" a="1"/>
  <c r="G333" i="17" s="1"/>
  <c r="G334" i="17" a="1"/>
  <c r="G334" i="17" s="1"/>
  <c r="G335" i="17" a="1"/>
  <c r="G335" i="17" s="1"/>
  <c r="G336" i="17" a="1"/>
  <c r="G336" i="17" s="1"/>
  <c r="G337" i="17" a="1"/>
  <c r="G337" i="17" s="1"/>
  <c r="G338" i="17" a="1"/>
  <c r="G338" i="17" s="1"/>
  <c r="G339" i="17" a="1"/>
  <c r="G339" i="17" s="1"/>
  <c r="G340" i="17" a="1"/>
  <c r="G340" i="17" s="1"/>
  <c r="G341" i="17" a="1"/>
  <c r="G341" i="17" s="1"/>
  <c r="G342" i="17" a="1"/>
  <c r="G342" i="17" s="1"/>
  <c r="G343" i="17" a="1"/>
  <c r="G343" i="17" s="1"/>
  <c r="G344" i="17" a="1"/>
  <c r="G344" i="17" s="1"/>
  <c r="G345" i="17" a="1"/>
  <c r="G345" i="17" s="1"/>
  <c r="G346" i="17" a="1"/>
  <c r="G346" i="17" s="1"/>
  <c r="G347" i="17" a="1"/>
  <c r="G347" i="17" s="1"/>
  <c r="G348" i="17" a="1"/>
  <c r="G348" i="17" s="1"/>
  <c r="G349" i="17" a="1"/>
  <c r="G349" i="17" s="1"/>
  <c r="G350" i="17" a="1"/>
  <c r="G350" i="17" s="1"/>
  <c r="G351" i="17" a="1"/>
  <c r="G351" i="17" s="1"/>
  <c r="G352" i="17" a="1"/>
  <c r="G352" i="17" s="1"/>
  <c r="G353" i="17" a="1"/>
  <c r="G353" i="17" s="1"/>
  <c r="G354" i="17" a="1"/>
  <c r="G354" i="17" s="1"/>
  <c r="G355" i="17" a="1"/>
  <c r="G355" i="17" s="1"/>
  <c r="G356" i="17" a="1"/>
  <c r="G356" i="17" s="1"/>
  <c r="G357" i="17" a="1"/>
  <c r="G357" i="17" s="1"/>
  <c r="G358" i="17" a="1"/>
  <c r="G358" i="17" s="1"/>
  <c r="G359" i="17" a="1"/>
  <c r="G359" i="17" s="1"/>
  <c r="G360" i="17" a="1"/>
  <c r="G360" i="17" s="1"/>
  <c r="G361" i="17" a="1"/>
  <c r="G361" i="17" s="1"/>
  <c r="G362" i="17" a="1"/>
  <c r="G362" i="17" s="1"/>
  <c r="G363" i="17" a="1"/>
  <c r="G363" i="17" s="1"/>
  <c r="G364" i="17" a="1"/>
  <c r="G364" i="17" s="1"/>
  <c r="G365" i="17" a="1"/>
  <c r="G365" i="17" s="1"/>
  <c r="G366" i="17" a="1"/>
  <c r="G366" i="17" s="1"/>
  <c r="G367" i="17" a="1"/>
  <c r="G367" i="17" s="1"/>
  <c r="G368" i="17" a="1"/>
  <c r="G368" i="17" s="1"/>
  <c r="G369" i="17" a="1"/>
  <c r="G369" i="17" s="1"/>
  <c r="G370" i="17" a="1"/>
  <c r="G370" i="17" s="1"/>
  <c r="G371" i="17" a="1"/>
  <c r="G371" i="17" s="1"/>
  <c r="G372" i="17" a="1"/>
  <c r="G372" i="17" s="1"/>
  <c r="G373" i="17" a="1"/>
  <c r="G373" i="17" s="1"/>
  <c r="G374" i="17" a="1"/>
  <c r="G374" i="17" s="1"/>
  <c r="G375" i="17" a="1"/>
  <c r="G375" i="17" s="1"/>
  <c r="G376" i="17" a="1"/>
  <c r="G376" i="17" s="1"/>
  <c r="G377" i="17" a="1"/>
  <c r="G377" i="17" s="1"/>
  <c r="G378" i="17" a="1"/>
  <c r="G378" i="17" s="1"/>
  <c r="G379" i="17" a="1"/>
  <c r="G379" i="17" s="1"/>
  <c r="G380" i="17" a="1"/>
  <c r="G380" i="17" s="1"/>
  <c r="G381" i="17" a="1"/>
  <c r="G381" i="17" s="1"/>
  <c r="G382" i="17" a="1"/>
  <c r="G382" i="17" s="1"/>
  <c r="G383" i="17" a="1"/>
  <c r="G383" i="17" s="1"/>
  <c r="G384" i="17" a="1"/>
  <c r="G384" i="17" s="1"/>
  <c r="G385" i="17" a="1"/>
  <c r="G385" i="17" s="1"/>
  <c r="G386" i="17" a="1"/>
  <c r="G386" i="17" s="1"/>
  <c r="G387" i="17" a="1"/>
  <c r="G387" i="17" s="1"/>
  <c r="G388" i="17" a="1"/>
  <c r="G388" i="17" s="1"/>
  <c r="G389" i="17" a="1"/>
  <c r="G389" i="17" s="1"/>
  <c r="G390" i="17" a="1"/>
  <c r="G390" i="17" s="1"/>
  <c r="G391" i="17" a="1"/>
  <c r="G391" i="17" s="1"/>
  <c r="G392" i="17" a="1"/>
  <c r="G392" i="17" s="1"/>
  <c r="G393" i="17" a="1"/>
  <c r="G393" i="17" s="1"/>
  <c r="G394" i="17" a="1"/>
  <c r="G394" i="17" s="1"/>
  <c r="G395" i="17" a="1"/>
  <c r="G395" i="17" s="1"/>
  <c r="G396" i="17" a="1"/>
  <c r="G396" i="17" s="1"/>
  <c r="G397" i="17" a="1"/>
  <c r="G397" i="17" s="1"/>
  <c r="G398" i="17" a="1"/>
  <c r="G398" i="17" s="1"/>
  <c r="G399" i="17" a="1"/>
  <c r="G399" i="17" s="1"/>
  <c r="G400" i="17" a="1"/>
  <c r="G400" i="17" s="1"/>
  <c r="G401" i="17" a="1"/>
  <c r="G401" i="17" s="1"/>
  <c r="G402" i="17" a="1"/>
  <c r="G402" i="17" s="1"/>
  <c r="G403" i="17" a="1"/>
  <c r="G403" i="17" s="1"/>
  <c r="G404" i="17" a="1"/>
  <c r="G404" i="17" s="1"/>
  <c r="G405" i="17" a="1"/>
  <c r="G405" i="17" s="1"/>
  <c r="G406" i="17" a="1"/>
  <c r="G406" i="17" s="1"/>
  <c r="G407" i="17" a="1"/>
  <c r="G407" i="17" s="1"/>
  <c r="G408" i="17" a="1"/>
  <c r="G408" i="17" s="1"/>
  <c r="G409" i="17" a="1"/>
  <c r="G409" i="17" s="1"/>
  <c r="G410" i="17" a="1"/>
  <c r="G410" i="17" s="1"/>
  <c r="G411" i="17" a="1"/>
  <c r="G411" i="17" s="1"/>
  <c r="G412" i="17" a="1"/>
  <c r="G412" i="17" s="1"/>
  <c r="G413" i="17" a="1"/>
  <c r="G413" i="17" s="1"/>
  <c r="G414" i="17" a="1"/>
  <c r="G414" i="17" s="1"/>
  <c r="G415" i="17" a="1"/>
  <c r="G415" i="17" s="1"/>
  <c r="G416" i="17" a="1"/>
  <c r="G416" i="17" s="1"/>
  <c r="G417" i="17" a="1"/>
  <c r="G417" i="17" s="1"/>
  <c r="G418" i="17" a="1"/>
  <c r="G418" i="17" s="1"/>
  <c r="G419" i="17" a="1"/>
  <c r="G419" i="17" s="1"/>
  <c r="G420" i="17" a="1"/>
  <c r="G420" i="17" s="1"/>
  <c r="G421" i="17" a="1"/>
  <c r="G421" i="17" s="1"/>
  <c r="G422" i="17" a="1"/>
  <c r="G422" i="17" s="1"/>
  <c r="G423" i="17" a="1"/>
  <c r="G423" i="17" s="1"/>
  <c r="G424" i="17" a="1"/>
  <c r="G424" i="17" s="1"/>
  <c r="G425" i="17" a="1"/>
  <c r="G425" i="17" s="1"/>
  <c r="G426" i="17" a="1"/>
  <c r="G426" i="17" s="1"/>
  <c r="G427" i="17" a="1"/>
  <c r="G427" i="17" s="1"/>
  <c r="G428" i="17" a="1"/>
  <c r="G428" i="17" s="1"/>
  <c r="G429" i="17" a="1"/>
  <c r="G429" i="17" s="1"/>
  <c r="G430" i="17" a="1"/>
  <c r="G430" i="17" s="1"/>
  <c r="G431" i="17" a="1"/>
  <c r="G431" i="17" s="1"/>
  <c r="G432" i="17" a="1"/>
  <c r="G432" i="17" s="1"/>
  <c r="G433" i="17" a="1"/>
  <c r="G433" i="17" s="1"/>
  <c r="G434" i="17" a="1"/>
  <c r="G434" i="17" s="1"/>
  <c r="G435" i="17" a="1"/>
  <c r="G435" i="17" s="1"/>
  <c r="G436" i="17" a="1"/>
  <c r="G436" i="17" s="1"/>
  <c r="G437" i="17" a="1"/>
  <c r="G437" i="17" s="1"/>
  <c r="G438" i="17" a="1"/>
  <c r="G438" i="17" s="1"/>
  <c r="G439" i="17" a="1"/>
  <c r="G439" i="17" s="1"/>
  <c r="G440" i="17" a="1"/>
  <c r="G440" i="17" s="1"/>
  <c r="G441" i="17" a="1"/>
  <c r="G441" i="17" s="1"/>
  <c r="G442" i="17" a="1"/>
  <c r="G442" i="17" s="1"/>
  <c r="G443" i="17" a="1"/>
  <c r="G443" i="17" s="1"/>
  <c r="G444" i="17" a="1"/>
  <c r="G444" i="17" s="1"/>
  <c r="G445" i="17" a="1"/>
  <c r="G445" i="17" s="1"/>
  <c r="G446" i="17" a="1"/>
  <c r="G446" i="17" s="1"/>
  <c r="G447" i="17" a="1"/>
  <c r="G447" i="17" s="1"/>
  <c r="G448" i="17" a="1"/>
  <c r="G448" i="17" s="1"/>
  <c r="G449" i="17" a="1"/>
  <c r="G449" i="17" s="1"/>
  <c r="G450" i="17" a="1"/>
  <c r="G450" i="17" s="1"/>
  <c r="G451" i="17" a="1"/>
  <c r="G451" i="17" s="1"/>
  <c r="G452" i="17" a="1"/>
  <c r="G452" i="17" s="1"/>
  <c r="G453" i="17" a="1"/>
  <c r="G453" i="17" s="1"/>
  <c r="G454" i="17" a="1"/>
  <c r="G454" i="17" s="1"/>
  <c r="G455" i="17" a="1"/>
  <c r="G455" i="17" s="1"/>
  <c r="G456" i="17" a="1"/>
  <c r="G456" i="17" s="1"/>
  <c r="G457" i="17" a="1"/>
  <c r="G457" i="17" s="1"/>
  <c r="G458" i="17" a="1"/>
  <c r="G458" i="17" s="1"/>
  <c r="G459" i="17" a="1"/>
  <c r="G459" i="17" s="1"/>
  <c r="G460" i="17" a="1"/>
  <c r="G460" i="17" s="1"/>
  <c r="G461" i="17" a="1"/>
  <c r="G461" i="17" s="1"/>
  <c r="G462" i="17" a="1"/>
  <c r="G462" i="17" s="1"/>
  <c r="G463" i="17" a="1"/>
  <c r="G463" i="17" s="1"/>
  <c r="G464" i="17" a="1"/>
  <c r="G464" i="17" s="1"/>
  <c r="G465" i="17" a="1"/>
  <c r="G465" i="17" s="1"/>
  <c r="G466" i="17" a="1"/>
  <c r="G466" i="17" s="1"/>
  <c r="G467" i="17" a="1"/>
  <c r="G467" i="17" s="1"/>
  <c r="G468" i="17" a="1"/>
  <c r="G468" i="17" s="1"/>
  <c r="G469" i="17" a="1"/>
  <c r="G469" i="17" s="1"/>
  <c r="G470" i="17" a="1"/>
  <c r="G470" i="17" s="1"/>
  <c r="G471" i="17" a="1"/>
  <c r="G471" i="17" s="1"/>
  <c r="G472" i="17" a="1"/>
  <c r="G472" i="17" s="1"/>
  <c r="G473" i="17" a="1"/>
  <c r="G473" i="17" s="1"/>
  <c r="G474" i="17" a="1"/>
  <c r="G474" i="17" s="1"/>
  <c r="G475" i="17" a="1"/>
  <c r="G475" i="17" s="1"/>
  <c r="G476" i="17" a="1"/>
  <c r="G476" i="17" s="1"/>
  <c r="G477" i="17" a="1"/>
  <c r="G477" i="17" s="1"/>
  <c r="G478" i="17" a="1"/>
  <c r="G478" i="17" s="1"/>
  <c r="G479" i="17" a="1"/>
  <c r="G479" i="17" s="1"/>
  <c r="G480" i="17" a="1"/>
  <c r="G480" i="17" s="1"/>
  <c r="G481" i="17" a="1"/>
  <c r="G481" i="17" s="1"/>
  <c r="G482" i="17" a="1"/>
  <c r="G482" i="17" s="1"/>
  <c r="G483" i="17" a="1"/>
  <c r="G483" i="17" s="1"/>
  <c r="G484" i="17" a="1"/>
  <c r="G484" i="17" s="1"/>
  <c r="G485" i="17" a="1"/>
  <c r="G485" i="17" s="1"/>
  <c r="G486" i="17" a="1"/>
  <c r="G486" i="17" s="1"/>
  <c r="G487" i="17" a="1"/>
  <c r="G487" i="17" s="1"/>
  <c r="G488" i="17" a="1"/>
  <c r="G488" i="17" s="1"/>
  <c r="G489" i="17" a="1"/>
  <c r="G489" i="17" s="1"/>
  <c r="G490" i="17" a="1"/>
  <c r="G490" i="17" s="1"/>
  <c r="G491" i="17" a="1"/>
  <c r="G491" i="17" s="1"/>
  <c r="G492" i="17" a="1"/>
  <c r="G492" i="17" s="1"/>
  <c r="G493" i="17" a="1"/>
  <c r="G493" i="17" s="1"/>
  <c r="G494" i="17" a="1"/>
  <c r="G494" i="17" s="1"/>
  <c r="G495" i="17" a="1"/>
  <c r="G495" i="17" s="1"/>
  <c r="G496" i="17" a="1"/>
  <c r="G496" i="17" s="1"/>
  <c r="G497" i="17" a="1"/>
  <c r="G497" i="17" s="1"/>
  <c r="G498" i="17" a="1"/>
  <c r="G498" i="17" s="1"/>
  <c r="G499" i="17" a="1"/>
  <c r="G499" i="17" s="1"/>
  <c r="G500" i="17" a="1"/>
  <c r="G500" i="17" s="1"/>
  <c r="G501" i="17" a="1"/>
  <c r="G501" i="17" s="1"/>
  <c r="G502" i="17" a="1"/>
  <c r="G502" i="17" s="1"/>
  <c r="G503" i="17" a="1"/>
  <c r="G503" i="17" s="1"/>
  <c r="G504" i="17" a="1"/>
  <c r="G504" i="17" s="1"/>
  <c r="G505" i="17" a="1"/>
  <c r="G505" i="17" s="1"/>
  <c r="G506" i="17" a="1"/>
  <c r="G506" i="17" s="1"/>
  <c r="G507" i="17" a="1"/>
  <c r="G507" i="17" s="1"/>
  <c r="G508" i="17" a="1"/>
  <c r="G508" i="17" s="1"/>
  <c r="G509" i="17" a="1"/>
  <c r="G509" i="17" s="1"/>
  <c r="G510" i="17" a="1"/>
  <c r="G510" i="17" s="1"/>
  <c r="G511" i="17" a="1"/>
  <c r="G511" i="17" s="1"/>
  <c r="G512" i="17" a="1"/>
  <c r="G512" i="17" s="1"/>
  <c r="G513" i="17" a="1"/>
  <c r="G513" i="17" s="1"/>
  <c r="G514" i="17" a="1"/>
  <c r="G514" i="17" s="1"/>
  <c r="G515" i="17" a="1"/>
  <c r="G515" i="17" s="1"/>
  <c r="G516" i="17" a="1"/>
  <c r="G516" i="17" s="1"/>
  <c r="G517" i="17" a="1"/>
  <c r="G517" i="17" s="1"/>
  <c r="G518" i="17" a="1"/>
  <c r="G518" i="17" s="1"/>
  <c r="G519" i="17" a="1"/>
  <c r="G519" i="17" s="1"/>
  <c r="G520" i="17" a="1"/>
  <c r="G520" i="17" s="1"/>
  <c r="G521" i="17" a="1"/>
  <c r="G521" i="17" s="1"/>
  <c r="G522" i="17" a="1"/>
  <c r="G522" i="17" s="1"/>
  <c r="G523" i="17" a="1"/>
  <c r="G523" i="17" s="1"/>
  <c r="G524" i="17" a="1"/>
  <c r="G524" i="17" s="1"/>
  <c r="G525" i="17" a="1"/>
  <c r="G525" i="17" s="1"/>
  <c r="G526" i="17" a="1"/>
  <c r="G526" i="17" s="1"/>
  <c r="G527" i="17" a="1"/>
  <c r="G527" i="17" s="1"/>
  <c r="G528" i="17" a="1"/>
  <c r="G528" i="17" s="1"/>
  <c r="G529" i="17" a="1"/>
  <c r="G529" i="17" s="1"/>
  <c r="G530" i="17" a="1"/>
  <c r="G530" i="17" s="1"/>
  <c r="G531" i="17" a="1"/>
  <c r="G531" i="17" s="1"/>
  <c r="G532" i="17" a="1"/>
  <c r="G532" i="17" s="1"/>
  <c r="G533" i="17" a="1"/>
  <c r="G533" i="17" s="1"/>
  <c r="G534" i="17" a="1"/>
  <c r="G534" i="17" s="1"/>
  <c r="G535" i="17" a="1"/>
  <c r="G535" i="17" s="1"/>
  <c r="G536" i="17" a="1"/>
  <c r="G536" i="17" s="1"/>
  <c r="G537" i="17" a="1"/>
  <c r="G537" i="17" s="1"/>
  <c r="G538" i="17" a="1"/>
  <c r="G538" i="17" s="1"/>
  <c r="G539" i="17" a="1"/>
  <c r="G539" i="17" s="1"/>
  <c r="G540" i="17" a="1"/>
  <c r="G540" i="17" s="1"/>
  <c r="G541" i="17" a="1"/>
  <c r="G541" i="17" s="1"/>
  <c r="G542" i="17" a="1"/>
  <c r="G542" i="17" s="1"/>
  <c r="G543" i="17" a="1"/>
  <c r="G543" i="17" s="1"/>
  <c r="G544" i="17" a="1"/>
  <c r="G544" i="17" s="1"/>
  <c r="G545" i="17" a="1"/>
  <c r="G545" i="17" s="1"/>
  <c r="G546" i="17" a="1"/>
  <c r="G546" i="17" s="1"/>
  <c r="G547" i="17" a="1"/>
  <c r="G547" i="17" s="1"/>
  <c r="G548" i="17" a="1"/>
  <c r="G548" i="17" s="1"/>
  <c r="G549" i="17" a="1"/>
  <c r="G549" i="17" s="1"/>
  <c r="G550" i="17" a="1"/>
  <c r="G550" i="17" s="1"/>
  <c r="G551" i="17" a="1"/>
  <c r="G551" i="17" s="1"/>
  <c r="G552" i="17" a="1"/>
  <c r="G552" i="17" s="1"/>
  <c r="G553" i="17" a="1"/>
  <c r="G553" i="17" s="1"/>
  <c r="G554" i="17" a="1"/>
  <c r="G554" i="17" s="1"/>
  <c r="G555" i="17" a="1"/>
  <c r="G555" i="17" s="1"/>
  <c r="G556" i="17" a="1"/>
  <c r="G556" i="17" s="1"/>
  <c r="G557" i="17" a="1"/>
  <c r="G557" i="17" s="1"/>
  <c r="G558" i="17" a="1"/>
  <c r="G558" i="17" s="1"/>
  <c r="G559" i="17" a="1"/>
  <c r="G559" i="17" s="1"/>
  <c r="G560" i="17" a="1"/>
  <c r="G560" i="17" s="1"/>
  <c r="G561" i="17" a="1"/>
  <c r="G561" i="17" s="1"/>
  <c r="G562" i="17" a="1"/>
  <c r="G562" i="17" s="1"/>
  <c r="G563" i="17" a="1"/>
  <c r="G563" i="17" s="1"/>
  <c r="G564" i="17" a="1"/>
  <c r="G564" i="17" s="1"/>
  <c r="G565" i="17" a="1"/>
  <c r="G565" i="17" s="1"/>
  <c r="G566" i="17" a="1"/>
  <c r="G566" i="17" s="1"/>
  <c r="G567" i="17" a="1"/>
  <c r="G567" i="17" s="1"/>
  <c r="G568" i="17" a="1"/>
  <c r="G568" i="17" s="1"/>
  <c r="G569" i="17" a="1"/>
  <c r="G569" i="17" s="1"/>
  <c r="G570" i="17" a="1"/>
  <c r="G570" i="17" s="1"/>
  <c r="G571" i="17" a="1"/>
  <c r="G571" i="17" s="1"/>
  <c r="G572" i="17" a="1"/>
  <c r="G572" i="17" s="1"/>
  <c r="G573" i="17" a="1"/>
  <c r="G573" i="17" s="1"/>
  <c r="G574" i="17" a="1"/>
  <c r="G574" i="17" s="1"/>
  <c r="G575" i="17" a="1"/>
  <c r="G575" i="17" s="1"/>
  <c r="G576" i="17" a="1"/>
  <c r="G576" i="17" s="1"/>
  <c r="G577" i="17" a="1"/>
  <c r="G577" i="17" s="1"/>
  <c r="G578" i="17" a="1"/>
  <c r="G578" i="17" s="1"/>
  <c r="G579" i="17" a="1"/>
  <c r="G579" i="17" s="1"/>
  <c r="G580" i="17" a="1"/>
  <c r="G580" i="17" s="1"/>
  <c r="G581" i="17" a="1"/>
  <c r="G581" i="17" s="1"/>
  <c r="G582" i="17" a="1"/>
  <c r="G582" i="17" s="1"/>
  <c r="G583" i="17" a="1"/>
  <c r="G583" i="17" s="1"/>
  <c r="G584" i="17" a="1"/>
  <c r="G584" i="17" s="1"/>
  <c r="G585" i="17" a="1"/>
  <c r="G585" i="17" s="1"/>
  <c r="G586" i="17" a="1"/>
  <c r="G586" i="17" s="1"/>
  <c r="G587" i="17" a="1"/>
  <c r="G587" i="17" s="1"/>
  <c r="G588" i="17" a="1"/>
  <c r="G588" i="17" s="1"/>
  <c r="G589" i="17" a="1"/>
  <c r="G589" i="17" s="1"/>
  <c r="G590" i="17" a="1"/>
  <c r="G590" i="17" s="1"/>
  <c r="G591" i="17" a="1"/>
  <c r="G591" i="17" s="1"/>
  <c r="G592" i="17" a="1"/>
  <c r="G592" i="17" s="1"/>
  <c r="G593" i="17" a="1"/>
  <c r="G593" i="17" s="1"/>
  <c r="G594" i="17" a="1"/>
  <c r="G594" i="17" s="1"/>
  <c r="G595" i="17" a="1"/>
  <c r="G595" i="17" s="1"/>
  <c r="G596" i="17" a="1"/>
  <c r="G596" i="17" s="1"/>
  <c r="G597" i="17" a="1"/>
  <c r="G597" i="17" s="1"/>
  <c r="G598" i="17" a="1"/>
  <c r="G598" i="17" s="1"/>
  <c r="G599" i="17" a="1"/>
  <c r="G599" i="17" s="1"/>
  <c r="G600" i="17" a="1"/>
  <c r="G600" i="17" s="1"/>
  <c r="G601" i="17" a="1"/>
  <c r="G601" i="17" s="1"/>
  <c r="G602" i="17" a="1"/>
  <c r="G602" i="17" s="1"/>
  <c r="G603" i="17" a="1"/>
  <c r="G603" i="17" s="1"/>
  <c r="G604" i="17" a="1"/>
  <c r="G604" i="17" s="1"/>
  <c r="G605" i="17" a="1"/>
  <c r="G605" i="17" s="1"/>
  <c r="G606" i="17" a="1"/>
  <c r="G606" i="17" s="1"/>
  <c r="G607" i="17" a="1"/>
  <c r="G607" i="17" s="1"/>
  <c r="G608" i="17" a="1"/>
  <c r="G608" i="17" s="1"/>
  <c r="G609" i="17" a="1"/>
  <c r="G609" i="17" s="1"/>
  <c r="G610" i="17" a="1"/>
  <c r="G610" i="17" s="1"/>
  <c r="G611" i="17" a="1"/>
  <c r="G611" i="17" s="1"/>
  <c r="G612" i="17" a="1"/>
  <c r="G612" i="17" s="1"/>
  <c r="G613" i="17" a="1"/>
  <c r="G613" i="17" s="1"/>
  <c r="G614" i="17" a="1"/>
  <c r="G614" i="17" s="1"/>
  <c r="G615" i="17" a="1"/>
  <c r="G615" i="17" s="1"/>
  <c r="G616" i="17" a="1"/>
  <c r="G616" i="17" s="1"/>
  <c r="G617" i="17" a="1"/>
  <c r="G617" i="17" s="1"/>
  <c r="G618" i="17" a="1"/>
  <c r="G618" i="17" s="1"/>
  <c r="G619" i="17" a="1"/>
  <c r="G619" i="17" s="1"/>
  <c r="G620" i="17" a="1"/>
  <c r="G620" i="17" s="1"/>
  <c r="G621" i="17" a="1"/>
  <c r="G621" i="17" s="1"/>
  <c r="G622" i="17" a="1"/>
  <c r="G622" i="17" s="1"/>
  <c r="G623" i="17" a="1"/>
  <c r="G623" i="17" s="1"/>
  <c r="G624" i="17" a="1"/>
  <c r="G624" i="17" s="1"/>
  <c r="G625" i="17" a="1"/>
  <c r="G625" i="17" s="1"/>
  <c r="G626" i="17" a="1"/>
  <c r="G626" i="17" s="1"/>
  <c r="G627" i="17" a="1"/>
  <c r="G627" i="17" s="1"/>
  <c r="G628" i="17" a="1"/>
  <c r="G628" i="17" s="1"/>
  <c r="G629" i="17" a="1"/>
  <c r="G629" i="17" s="1"/>
  <c r="G630" i="17" a="1"/>
  <c r="G630" i="17" s="1"/>
  <c r="G631" i="17" a="1"/>
  <c r="G631" i="17" s="1"/>
  <c r="G632" i="17" a="1"/>
  <c r="G632" i="17" s="1"/>
  <c r="G633" i="17" a="1"/>
  <c r="G633" i="17" s="1"/>
  <c r="G634" i="17" a="1"/>
  <c r="G634" i="17" s="1"/>
  <c r="G635" i="17" a="1"/>
  <c r="G635" i="17" s="1"/>
  <c r="G636" i="17" a="1"/>
  <c r="G636" i="17" s="1"/>
  <c r="G637" i="17" a="1"/>
  <c r="G637" i="17" s="1"/>
  <c r="G638" i="17" a="1"/>
  <c r="G638" i="17" s="1"/>
  <c r="G639" i="17" a="1"/>
  <c r="G639" i="17" s="1"/>
  <c r="G640" i="17" a="1"/>
  <c r="G640" i="17" s="1"/>
  <c r="G641" i="17" a="1"/>
  <c r="G641" i="17" s="1"/>
  <c r="G642" i="17" a="1"/>
  <c r="G642" i="17" s="1"/>
  <c r="G643" i="17" a="1"/>
  <c r="G643" i="17" s="1"/>
  <c r="G644" i="17" a="1"/>
  <c r="G644" i="17" s="1"/>
  <c r="G645" i="17" a="1"/>
  <c r="G645" i="17" s="1"/>
  <c r="G646" i="17" a="1"/>
  <c r="G646" i="17" s="1"/>
  <c r="G647" i="17" a="1"/>
  <c r="G647" i="17" s="1"/>
  <c r="G648" i="17" a="1"/>
  <c r="G648" i="17" s="1"/>
  <c r="G649" i="17" a="1"/>
  <c r="G649" i="17" s="1"/>
  <c r="G650" i="17" a="1"/>
  <c r="G650" i="17" s="1"/>
  <c r="G651" i="17" a="1"/>
  <c r="G651" i="17" s="1"/>
  <c r="G652" i="17" a="1"/>
  <c r="G652" i="17" s="1"/>
  <c r="G653" i="17" a="1"/>
  <c r="G653" i="17" s="1"/>
  <c r="G654" i="17" a="1"/>
  <c r="G654" i="17" s="1"/>
  <c r="G655" i="17" a="1"/>
  <c r="G655" i="17" s="1"/>
  <c r="G656" i="17" a="1"/>
  <c r="G656" i="17" s="1"/>
  <c r="G657" i="17" a="1"/>
  <c r="G657" i="17" s="1"/>
  <c r="G658" i="17" a="1"/>
  <c r="G658" i="17" s="1"/>
  <c r="G659" i="17" a="1"/>
  <c r="G659" i="17" s="1"/>
  <c r="G660" i="17" a="1"/>
  <c r="G660" i="17" s="1"/>
  <c r="G661" i="17" a="1"/>
  <c r="G661" i="17" s="1"/>
  <c r="G662" i="17" a="1"/>
  <c r="G662" i="17" s="1"/>
  <c r="G663" i="17" a="1"/>
  <c r="G663" i="17" s="1"/>
  <c r="G664" i="17" a="1"/>
  <c r="G664" i="17" s="1"/>
  <c r="G665" i="17" a="1"/>
  <c r="G665" i="17" s="1"/>
  <c r="G666" i="17" a="1"/>
  <c r="G666" i="17" s="1"/>
  <c r="G667" i="17" a="1"/>
  <c r="G667" i="17" s="1"/>
  <c r="G668" i="17" a="1"/>
  <c r="G668" i="17" s="1"/>
  <c r="G669" i="17" a="1"/>
  <c r="G669" i="17" s="1"/>
  <c r="G670" i="17" a="1"/>
  <c r="G670" i="17" s="1"/>
  <c r="G671" i="17" a="1"/>
  <c r="G671" i="17" s="1"/>
  <c r="G672" i="17" a="1"/>
  <c r="G672" i="17" s="1"/>
  <c r="G673" i="17" a="1"/>
  <c r="G673" i="17" s="1"/>
  <c r="G674" i="17" a="1"/>
  <c r="G674" i="17" s="1"/>
  <c r="G675" i="17" a="1"/>
  <c r="G675" i="17" s="1"/>
  <c r="G676" i="17" a="1"/>
  <c r="G676" i="17" s="1"/>
  <c r="G677" i="17" a="1"/>
  <c r="G677" i="17" s="1"/>
  <c r="G678" i="17" a="1"/>
  <c r="G678" i="17" s="1"/>
  <c r="G679" i="17" a="1"/>
  <c r="G679" i="17" s="1"/>
  <c r="G680" i="17" a="1"/>
  <c r="G680" i="17" s="1"/>
  <c r="G681" i="17" a="1"/>
  <c r="G681" i="17" s="1"/>
  <c r="G682" i="17" a="1"/>
  <c r="G682" i="17" s="1"/>
  <c r="G683" i="17" a="1"/>
  <c r="G683" i="17" s="1"/>
  <c r="G684" i="17" a="1"/>
  <c r="G684" i="17" s="1"/>
  <c r="G685" i="17" a="1"/>
  <c r="G685" i="17" s="1"/>
  <c r="G686" i="17" a="1"/>
  <c r="G686" i="17" s="1"/>
  <c r="G687" i="17" a="1"/>
  <c r="G687" i="17" s="1"/>
  <c r="G688" i="17" a="1"/>
  <c r="G688" i="17" s="1"/>
  <c r="G689" i="17" a="1"/>
  <c r="G689" i="17" s="1"/>
  <c r="G690" i="17" a="1"/>
  <c r="G690" i="17" s="1"/>
  <c r="G691" i="17" a="1"/>
  <c r="G691" i="17" s="1"/>
  <c r="G692" i="17" a="1"/>
  <c r="G692" i="17" s="1"/>
  <c r="G693" i="17" a="1"/>
  <c r="G693" i="17" s="1"/>
  <c r="G694" i="17" a="1"/>
  <c r="G694" i="17" s="1"/>
  <c r="G695" i="17" a="1"/>
  <c r="G695" i="17" s="1"/>
  <c r="G696" i="17" a="1"/>
  <c r="G696" i="17" s="1"/>
  <c r="G697" i="17" a="1"/>
  <c r="G697" i="17" s="1"/>
  <c r="G698" i="17" a="1"/>
  <c r="G698" i="17" s="1"/>
  <c r="G699" i="17" a="1"/>
  <c r="G699" i="17" s="1"/>
  <c r="G700" i="17" a="1"/>
  <c r="G700" i="17" s="1"/>
  <c r="G701" i="17" a="1"/>
  <c r="G701" i="17" s="1"/>
  <c r="G702" i="17" a="1"/>
  <c r="G702" i="17" s="1"/>
  <c r="G703" i="17" a="1"/>
  <c r="G703" i="17" s="1"/>
  <c r="G704" i="17" a="1"/>
  <c r="G704" i="17" s="1"/>
  <c r="G705" i="17" a="1"/>
  <c r="G705" i="17" s="1"/>
  <c r="G706" i="17" a="1"/>
  <c r="G706" i="17" s="1"/>
  <c r="G707" i="17" a="1"/>
  <c r="G707" i="17" s="1"/>
  <c r="G708" i="17" a="1"/>
  <c r="G708" i="17" s="1"/>
  <c r="G709" i="17" a="1"/>
  <c r="G709" i="17" s="1"/>
  <c r="G710" i="17" a="1"/>
  <c r="G710" i="17" s="1"/>
  <c r="G711" i="17" a="1"/>
  <c r="G711" i="17" s="1"/>
  <c r="G712" i="17" a="1"/>
  <c r="G712" i="17" s="1"/>
  <c r="G713" i="17" a="1"/>
  <c r="G713" i="17" s="1"/>
  <c r="G714" i="17" a="1"/>
  <c r="G714" i="17" s="1"/>
  <c r="G715" i="17" a="1"/>
  <c r="G715" i="17" s="1"/>
  <c r="G716" i="17" a="1"/>
  <c r="G716" i="17" s="1"/>
  <c r="G717" i="17" a="1"/>
  <c r="G717" i="17" s="1"/>
  <c r="G718" i="17" a="1"/>
  <c r="G718" i="17" s="1"/>
  <c r="G719" i="17" a="1"/>
  <c r="G719" i="17" s="1"/>
  <c r="G720" i="17" a="1"/>
  <c r="G720" i="17" s="1"/>
  <c r="G721" i="17" a="1"/>
  <c r="G721" i="17" s="1"/>
  <c r="G722" i="17" a="1"/>
  <c r="G722" i="17" s="1"/>
  <c r="G723" i="17" a="1"/>
  <c r="G723" i="17" s="1"/>
  <c r="G724" i="17" a="1"/>
  <c r="G724" i="17" s="1"/>
  <c r="G725" i="17" a="1"/>
  <c r="G725" i="17" s="1"/>
  <c r="G726" i="17" a="1"/>
  <c r="G726" i="17" s="1"/>
  <c r="G727" i="17" a="1"/>
  <c r="G727" i="17" s="1"/>
  <c r="G728" i="17" a="1"/>
  <c r="G728" i="17" s="1"/>
  <c r="G729" i="17" a="1"/>
  <c r="G729" i="17" s="1"/>
  <c r="G730" i="17" a="1"/>
  <c r="G730" i="17" s="1"/>
  <c r="G731" i="17" a="1"/>
  <c r="G731" i="17" s="1"/>
  <c r="G732" i="17" a="1"/>
  <c r="G732" i="17" s="1"/>
  <c r="G733" i="17" a="1"/>
  <c r="G733" i="17" s="1"/>
  <c r="G734" i="17" a="1"/>
  <c r="G734" i="17" s="1"/>
  <c r="G735" i="17" a="1"/>
  <c r="G735" i="17" s="1"/>
  <c r="G736" i="17" a="1"/>
  <c r="G736" i="17" s="1"/>
  <c r="G737" i="17" a="1"/>
  <c r="G737" i="17" s="1"/>
  <c r="G738" i="17" a="1"/>
  <c r="G738" i="17" s="1"/>
  <c r="G739" i="17" a="1"/>
  <c r="G739" i="17" s="1"/>
  <c r="G740" i="17" a="1"/>
  <c r="G740" i="17" s="1"/>
  <c r="G741" i="17" a="1"/>
  <c r="G741" i="17" s="1"/>
  <c r="G742" i="17" a="1"/>
  <c r="G742" i="17" s="1"/>
  <c r="G743" i="17" a="1"/>
  <c r="G743" i="17" s="1"/>
  <c r="G744" i="17" a="1"/>
  <c r="G744" i="17" s="1"/>
  <c r="G745" i="17" a="1"/>
  <c r="G745" i="17" s="1"/>
  <c r="G746" i="17" a="1"/>
  <c r="G746" i="17" s="1"/>
  <c r="G747" i="17" a="1"/>
  <c r="G747" i="17" s="1"/>
  <c r="G748" i="17" a="1"/>
  <c r="G748" i="17" s="1"/>
  <c r="G749" i="17" a="1"/>
  <c r="G749" i="17" s="1"/>
  <c r="G750" i="17" a="1"/>
  <c r="G750" i="17" s="1"/>
  <c r="G751" i="17" a="1"/>
  <c r="G751" i="17" s="1"/>
  <c r="G752" i="17" a="1"/>
  <c r="G752" i="17" s="1"/>
  <c r="G753" i="17" a="1"/>
  <c r="G753" i="17" s="1"/>
  <c r="G754" i="17" a="1"/>
  <c r="G754" i="17" s="1"/>
  <c r="G755" i="17" a="1"/>
  <c r="G755" i="17" s="1"/>
  <c r="G756" i="17" a="1"/>
  <c r="G756" i="17" s="1"/>
  <c r="G757" i="17" a="1"/>
  <c r="G757" i="17" s="1"/>
  <c r="G758" i="17" a="1"/>
  <c r="G758" i="17" s="1"/>
  <c r="G759" i="17" a="1"/>
  <c r="G759" i="17" s="1"/>
  <c r="G760" i="17" a="1"/>
  <c r="G760" i="17" s="1"/>
  <c r="G761" i="17" a="1"/>
  <c r="G761" i="17" s="1"/>
  <c r="G762" i="17" a="1"/>
  <c r="G762" i="17" s="1"/>
  <c r="G763" i="17" a="1"/>
  <c r="G763" i="17" s="1"/>
  <c r="G764" i="17" a="1"/>
  <c r="G764" i="17" s="1"/>
  <c r="G765" i="17" a="1"/>
  <c r="G765" i="17" s="1"/>
  <c r="G766" i="17" a="1"/>
  <c r="G766" i="17" s="1"/>
  <c r="G767" i="17" a="1"/>
  <c r="G767" i="17" s="1"/>
  <c r="G768" i="17" a="1"/>
  <c r="G768" i="17" s="1"/>
  <c r="G769" i="17" a="1"/>
  <c r="G769" i="17" s="1"/>
  <c r="G770" i="17" a="1"/>
  <c r="G770" i="17" s="1"/>
  <c r="G771" i="17" a="1"/>
  <c r="G771" i="17" s="1"/>
  <c r="G772" i="17" a="1"/>
  <c r="G772" i="17" s="1"/>
  <c r="G773" i="17" a="1"/>
  <c r="G773" i="17" s="1"/>
  <c r="G774" i="17" a="1"/>
  <c r="G774" i="17" s="1"/>
  <c r="G775" i="17" a="1"/>
  <c r="G775" i="17" s="1"/>
  <c r="G776" i="17" a="1"/>
  <c r="G776" i="17" s="1"/>
  <c r="G777" i="17" a="1"/>
  <c r="G777" i="17" s="1"/>
  <c r="G778" i="17" a="1"/>
  <c r="G778" i="17" s="1"/>
  <c r="G779" i="17" a="1"/>
  <c r="G779" i="17" s="1"/>
  <c r="G780" i="17" a="1"/>
  <c r="G780" i="17" s="1"/>
  <c r="G781" i="17" a="1"/>
  <c r="G781" i="17" s="1"/>
  <c r="G782" i="17" a="1"/>
  <c r="G782" i="17" s="1"/>
  <c r="G783" i="17" a="1"/>
  <c r="G783" i="17" s="1"/>
  <c r="G784" i="17" a="1"/>
  <c r="G784" i="17" s="1"/>
  <c r="G785" i="17" a="1"/>
  <c r="G785" i="17" s="1"/>
  <c r="G786" i="17" a="1"/>
  <c r="G786" i="17" s="1"/>
  <c r="G787" i="17" a="1"/>
  <c r="G787" i="17" s="1"/>
  <c r="G788" i="17" a="1"/>
  <c r="G788" i="17" s="1"/>
  <c r="G789" i="17" a="1"/>
  <c r="G789" i="17" s="1"/>
  <c r="G790" i="17" a="1"/>
  <c r="G790" i="17" s="1"/>
  <c r="G791" i="17" a="1"/>
  <c r="G791" i="17" s="1"/>
  <c r="G792" i="17" a="1"/>
  <c r="G792" i="17" s="1"/>
  <c r="G793" i="17" a="1"/>
  <c r="G793" i="17" s="1"/>
  <c r="G794" i="17" a="1"/>
  <c r="G794" i="17" s="1"/>
  <c r="G795" i="17" a="1"/>
  <c r="G795" i="17" s="1"/>
  <c r="G796" i="17" a="1"/>
  <c r="G796" i="17" s="1"/>
  <c r="G797" i="17" a="1"/>
  <c r="G797" i="17" s="1"/>
  <c r="G798" i="17" a="1"/>
  <c r="G798" i="17" s="1"/>
  <c r="G799" i="17" a="1"/>
  <c r="G799" i="17" s="1"/>
  <c r="G800" i="17" a="1"/>
  <c r="G800" i="17" s="1"/>
  <c r="G801" i="17" a="1"/>
  <c r="G801" i="17" s="1"/>
  <c r="G802" i="17" a="1"/>
  <c r="G802" i="17" s="1"/>
  <c r="G803" i="17" a="1"/>
  <c r="G803" i="17" s="1"/>
  <c r="G804" i="17" a="1"/>
  <c r="G804" i="17" s="1"/>
  <c r="G805" i="17" a="1"/>
  <c r="G805" i="17" s="1"/>
  <c r="G806" i="17" a="1"/>
  <c r="G806" i="17" s="1"/>
  <c r="G807" i="17" a="1"/>
  <c r="G807" i="17" s="1"/>
  <c r="G808" i="17" a="1"/>
  <c r="G808" i="17" s="1"/>
  <c r="G809" i="17" a="1"/>
  <c r="G809" i="17" s="1"/>
  <c r="G810" i="17" a="1"/>
  <c r="G810" i="17" s="1"/>
  <c r="G811" i="17" a="1"/>
  <c r="G811" i="17" s="1"/>
  <c r="G812" i="17" a="1"/>
  <c r="G812" i="17" s="1"/>
  <c r="G813" i="17" a="1"/>
  <c r="G813" i="17" s="1"/>
  <c r="G814" i="17" a="1"/>
  <c r="G814" i="17" s="1"/>
  <c r="G815" i="17" a="1"/>
  <c r="G815" i="17" s="1"/>
  <c r="G816" i="17" a="1"/>
  <c r="G816" i="17" s="1"/>
  <c r="G817" i="17" a="1"/>
  <c r="G817" i="17" s="1"/>
  <c r="G818" i="17" a="1"/>
  <c r="G818" i="17" s="1"/>
  <c r="G819" i="17" a="1"/>
  <c r="G819" i="17" s="1"/>
  <c r="G820" i="17" a="1"/>
  <c r="G820" i="17" s="1"/>
  <c r="G821" i="17" a="1"/>
  <c r="G821" i="17" s="1"/>
  <c r="G822" i="17" a="1"/>
  <c r="G822" i="17" s="1"/>
  <c r="G823" i="17" a="1"/>
  <c r="G823" i="17" s="1"/>
  <c r="G824" i="17" a="1"/>
  <c r="G824" i="17" s="1"/>
  <c r="G825" i="17" a="1"/>
  <c r="G825" i="17" s="1"/>
  <c r="G826" i="17" a="1"/>
  <c r="G826" i="17" s="1"/>
  <c r="G827" i="17" a="1"/>
  <c r="G827" i="17" s="1"/>
  <c r="G828" i="17" a="1"/>
  <c r="G828" i="17" s="1"/>
  <c r="G829" i="17" a="1"/>
  <c r="G829" i="17" s="1"/>
  <c r="G830" i="17" a="1"/>
  <c r="G830" i="17"/>
  <c r="G831" i="17" a="1"/>
  <c r="G831" i="17" s="1"/>
  <c r="G832" i="17" a="1"/>
  <c r="G832" i="17" s="1"/>
  <c r="G833" i="17" a="1"/>
  <c r="G833" i="17" s="1"/>
  <c r="G834" i="17" a="1"/>
  <c r="G834" i="17" s="1"/>
  <c r="G835" i="17" a="1"/>
  <c r="G835" i="17" s="1"/>
  <c r="G836" i="17" a="1"/>
  <c r="G836" i="17" s="1"/>
  <c r="G837" i="17" a="1"/>
  <c r="G837" i="17" s="1"/>
  <c r="G838" i="17" a="1"/>
  <c r="G838" i="17" s="1"/>
  <c r="G839" i="17" a="1"/>
  <c r="G839" i="17" s="1"/>
  <c r="G840" i="17" a="1"/>
  <c r="G840" i="17" s="1"/>
  <c r="G841" i="17" a="1"/>
  <c r="G841" i="17" s="1"/>
  <c r="G842" i="17" a="1"/>
  <c r="G842" i="17" s="1"/>
  <c r="G843" i="17" a="1"/>
  <c r="G843" i="17" s="1"/>
  <c r="G844" i="17" a="1"/>
  <c r="G844" i="17" s="1"/>
  <c r="G845" i="17" a="1"/>
  <c r="G845" i="17" s="1"/>
  <c r="G846" i="17" a="1"/>
  <c r="G846" i="17" s="1"/>
  <c r="G847" i="17" a="1"/>
  <c r="G847" i="17" s="1"/>
  <c r="G848" i="17" a="1"/>
  <c r="G848" i="17" s="1"/>
  <c r="G849" i="17" a="1"/>
  <c r="G849" i="17" s="1"/>
  <c r="G850" i="17" a="1"/>
  <c r="G850" i="17" s="1"/>
  <c r="G851" i="17" a="1"/>
  <c r="G851" i="17" s="1"/>
  <c r="G852" i="17" a="1"/>
  <c r="G852" i="17" s="1"/>
  <c r="G853" i="17" a="1"/>
  <c r="G853" i="17" s="1"/>
  <c r="G854" i="17" a="1"/>
  <c r="G854" i="17" s="1"/>
  <c r="G855" i="17" a="1"/>
  <c r="G855" i="17" s="1"/>
  <c r="G856" i="17" a="1"/>
  <c r="G856" i="17" s="1"/>
  <c r="G857" i="17" a="1"/>
  <c r="G857" i="17" s="1"/>
  <c r="G858" i="17" a="1"/>
  <c r="G858" i="17" s="1"/>
  <c r="G859" i="17" a="1"/>
  <c r="G859" i="17" s="1"/>
  <c r="G860" i="17" a="1"/>
  <c r="G860" i="17" s="1"/>
  <c r="G861" i="17" a="1"/>
  <c r="G861" i="17" s="1"/>
  <c r="G862" i="17" a="1"/>
  <c r="G862" i="17" s="1"/>
  <c r="G863" i="17" a="1"/>
  <c r="G863" i="17" s="1"/>
  <c r="G864" i="17" a="1"/>
  <c r="G864" i="17" s="1"/>
  <c r="G865" i="17" a="1"/>
  <c r="G865" i="17" s="1"/>
  <c r="G866" i="17" a="1"/>
  <c r="G866" i="17" s="1"/>
  <c r="G867" i="17" a="1"/>
  <c r="G867" i="17" s="1"/>
  <c r="G868" i="17" a="1"/>
  <c r="G868" i="17" s="1"/>
  <c r="G869" i="17" a="1"/>
  <c r="G869" i="17" s="1"/>
  <c r="G870" i="17" a="1"/>
  <c r="G870" i="17" s="1"/>
  <c r="G871" i="17" a="1"/>
  <c r="G871" i="17" s="1"/>
  <c r="G872" i="17" a="1"/>
  <c r="G872" i="17" s="1"/>
  <c r="G873" i="17" a="1"/>
  <c r="G873" i="17" s="1"/>
  <c r="G874" i="17" a="1"/>
  <c r="G874" i="17" s="1"/>
  <c r="G875" i="17" a="1"/>
  <c r="G875" i="17" s="1"/>
  <c r="G876" i="17" a="1"/>
  <c r="G876" i="17" s="1"/>
  <c r="G877" i="17" a="1"/>
  <c r="G877" i="17" s="1"/>
  <c r="G878" i="17" a="1"/>
  <c r="G878" i="17" s="1"/>
  <c r="G879" i="17" a="1"/>
  <c r="G879" i="17" s="1"/>
  <c r="G880" i="17" a="1"/>
  <c r="G880" i="17" s="1"/>
  <c r="G881" i="17" a="1"/>
  <c r="G881" i="17" s="1"/>
  <c r="G882" i="17" a="1"/>
  <c r="G882" i="17" s="1"/>
  <c r="G883" i="17" a="1"/>
  <c r="G883" i="17" s="1"/>
  <c r="G884" i="17" a="1"/>
  <c r="G884" i="17" s="1"/>
  <c r="G885" i="17" a="1"/>
  <c r="G885" i="17" s="1"/>
  <c r="G886" i="17" a="1"/>
  <c r="G886" i="17" s="1"/>
  <c r="G887" i="17" a="1"/>
  <c r="G887" i="17" s="1"/>
  <c r="G888" i="17" a="1"/>
  <c r="G888" i="17" s="1"/>
  <c r="G889" i="17" a="1"/>
  <c r="G889" i="17" s="1"/>
  <c r="G890" i="17" a="1"/>
  <c r="G890" i="17" s="1"/>
  <c r="G891" i="17" a="1"/>
  <c r="G891" i="17" s="1"/>
  <c r="G892" i="17" a="1"/>
  <c r="G892" i="17" s="1"/>
  <c r="G893" i="17" a="1"/>
  <c r="G893" i="17" s="1"/>
  <c r="G894" i="17" a="1"/>
  <c r="G894" i="17" s="1"/>
  <c r="G895" i="17" a="1"/>
  <c r="G895" i="17" s="1"/>
  <c r="G896" i="17" a="1"/>
  <c r="G896" i="17" s="1"/>
  <c r="G897" i="17" a="1"/>
  <c r="G897" i="17" s="1"/>
  <c r="G898" i="17" a="1"/>
  <c r="G898" i="17" s="1"/>
  <c r="G899" i="17" a="1"/>
  <c r="G899" i="17" s="1"/>
  <c r="G900" i="17" a="1"/>
  <c r="G900" i="17" s="1"/>
  <c r="G901" i="17" a="1"/>
  <c r="G901" i="17" s="1"/>
  <c r="G902" i="17" a="1"/>
  <c r="G902" i="17" s="1"/>
  <c r="G903" i="17" a="1"/>
  <c r="G903" i="17" s="1"/>
  <c r="G904" i="17" a="1"/>
  <c r="G904" i="17" s="1"/>
  <c r="G905" i="17" a="1"/>
  <c r="G905" i="17" s="1"/>
  <c r="G906" i="17" a="1"/>
  <c r="G906" i="17" s="1"/>
  <c r="G907" i="17" a="1"/>
  <c r="G907" i="17" s="1"/>
  <c r="G908" i="17" a="1"/>
  <c r="G908" i="17" s="1"/>
  <c r="G909" i="17" a="1"/>
  <c r="G909" i="17" s="1"/>
  <c r="G910" i="17" a="1"/>
  <c r="G910" i="17" s="1"/>
  <c r="G911" i="17" a="1"/>
  <c r="G911" i="17" s="1"/>
  <c r="G912" i="17" a="1"/>
  <c r="G912" i="17" s="1"/>
  <c r="G913" i="17" a="1"/>
  <c r="G913" i="17" s="1"/>
  <c r="G914" i="17" a="1"/>
  <c r="G914" i="17" s="1"/>
  <c r="G915" i="17" a="1"/>
  <c r="G915" i="17" s="1"/>
  <c r="G916" i="17" a="1"/>
  <c r="G916" i="17" s="1"/>
  <c r="G917" i="17" a="1"/>
  <c r="G917" i="17" s="1"/>
  <c r="G918" i="17" a="1"/>
  <c r="G918" i="17" s="1"/>
  <c r="G919" i="17" a="1"/>
  <c r="G919" i="17" s="1"/>
  <c r="G920" i="17" a="1"/>
  <c r="G920" i="17" s="1"/>
  <c r="G921" i="17" a="1"/>
  <c r="G921" i="17" s="1"/>
  <c r="G922" i="17" a="1"/>
  <c r="G922" i="17" s="1"/>
  <c r="G923" i="17" a="1"/>
  <c r="G923" i="17" s="1"/>
  <c r="G924" i="17" a="1"/>
  <c r="G924" i="17" s="1"/>
  <c r="G925" i="17" a="1"/>
  <c r="G925" i="17" s="1"/>
  <c r="G926" i="17" a="1"/>
  <c r="G926" i="17" s="1"/>
  <c r="G927" i="17" a="1"/>
  <c r="G927" i="17" s="1"/>
  <c r="G928" i="17" a="1"/>
  <c r="G928" i="17" s="1"/>
  <c r="G929" i="17" a="1"/>
  <c r="G929" i="17" s="1"/>
  <c r="G930" i="17" a="1"/>
  <c r="G930" i="17" s="1"/>
  <c r="G931" i="17" a="1"/>
  <c r="G931" i="17" s="1"/>
  <c r="G932" i="17" a="1"/>
  <c r="G932" i="17" s="1"/>
  <c r="G933" i="17" a="1"/>
  <c r="G933" i="17" s="1"/>
  <c r="G934" i="17" a="1"/>
  <c r="G934" i="17" s="1"/>
  <c r="G935" i="17" a="1"/>
  <c r="G935" i="17" s="1"/>
  <c r="G936" i="17" a="1"/>
  <c r="G936" i="17" s="1"/>
  <c r="G937" i="17" a="1"/>
  <c r="G937" i="17" s="1"/>
  <c r="G938" i="17" a="1"/>
  <c r="G938" i="17" s="1"/>
  <c r="G939" i="17" a="1"/>
  <c r="G939" i="17" s="1"/>
  <c r="G940" i="17" a="1"/>
  <c r="G940" i="17" s="1"/>
  <c r="G941" i="17" a="1"/>
  <c r="G941" i="17" s="1"/>
  <c r="G942" i="17" a="1"/>
  <c r="G942" i="17" s="1"/>
  <c r="G943" i="17" a="1"/>
  <c r="G943" i="17" s="1"/>
  <c r="G944" i="17" a="1"/>
  <c r="G944" i="17" s="1"/>
  <c r="G945" i="17" a="1"/>
  <c r="G945" i="17" s="1"/>
  <c r="G946" i="17" a="1"/>
  <c r="G946" i="17" s="1"/>
  <c r="G947" i="17" a="1"/>
  <c r="G947" i="17" s="1"/>
  <c r="G948" i="17" a="1"/>
  <c r="G948" i="17" s="1"/>
  <c r="G949" i="17" a="1"/>
  <c r="G949" i="17" s="1"/>
  <c r="G950" i="17" a="1"/>
  <c r="G950" i="17" s="1"/>
  <c r="G951" i="17" a="1"/>
  <c r="G951" i="17" s="1"/>
  <c r="G952" i="17" a="1"/>
  <c r="G952" i="17" s="1"/>
  <c r="G953" i="17" a="1"/>
  <c r="G953" i="17" s="1"/>
  <c r="G954" i="17" a="1"/>
  <c r="G954" i="17" s="1"/>
  <c r="G955" i="17" a="1"/>
  <c r="G955" i="17" s="1"/>
  <c r="G956" i="17" a="1"/>
  <c r="G956" i="17" s="1"/>
  <c r="G957" i="17" a="1"/>
  <c r="G957" i="17" s="1"/>
  <c r="G958" i="17" a="1"/>
  <c r="G958" i="17" s="1"/>
  <c r="G959" i="17" a="1"/>
  <c r="G959" i="17" s="1"/>
  <c r="G960" i="17" a="1"/>
  <c r="G960" i="17" s="1"/>
  <c r="G961" i="17" a="1"/>
  <c r="G961" i="17" s="1"/>
  <c r="G962" i="17" a="1"/>
  <c r="G962" i="17" s="1"/>
  <c r="G963" i="17" a="1"/>
  <c r="G963" i="17" s="1"/>
  <c r="G964" i="17" a="1"/>
  <c r="G964" i="17" s="1"/>
  <c r="G965" i="17" a="1"/>
  <c r="G965" i="17" s="1"/>
  <c r="G966" i="17" a="1"/>
  <c r="G966" i="17" s="1"/>
  <c r="G967" i="17" a="1"/>
  <c r="G967" i="17" s="1"/>
  <c r="G968" i="17" a="1"/>
  <c r="G968" i="17" s="1"/>
  <c r="G969" i="17" a="1"/>
  <c r="G969" i="17" s="1"/>
  <c r="G970" i="17" a="1"/>
  <c r="G970" i="17" s="1"/>
  <c r="G971" i="17" a="1"/>
  <c r="G971" i="17" s="1"/>
  <c r="G972" i="17" a="1"/>
  <c r="G972" i="17" s="1"/>
  <c r="G973" i="17" a="1"/>
  <c r="G973" i="17" s="1"/>
  <c r="G974" i="17" a="1"/>
  <c r="G974" i="17" s="1"/>
  <c r="G975" i="17" a="1"/>
  <c r="G975" i="17" s="1"/>
  <c r="G976" i="17" a="1"/>
  <c r="G976" i="17" s="1"/>
  <c r="G977" i="17" a="1"/>
  <c r="G977" i="17" s="1"/>
  <c r="G978" i="17" a="1"/>
  <c r="G978" i="17" s="1"/>
  <c r="G979" i="17" a="1"/>
  <c r="G979" i="17" s="1"/>
  <c r="G980" i="17" a="1"/>
  <c r="G980" i="17" s="1"/>
  <c r="G981" i="17" a="1"/>
  <c r="G981" i="17" s="1"/>
  <c r="G982" i="17" a="1"/>
  <c r="G982" i="17" s="1"/>
  <c r="G983" i="17" a="1"/>
  <c r="G983" i="17" s="1"/>
  <c r="G984" i="17" a="1"/>
  <c r="G984" i="17" s="1"/>
  <c r="G985" i="17" a="1"/>
  <c r="G985" i="17" s="1"/>
  <c r="G986" i="17" a="1"/>
  <c r="G986" i="17" s="1"/>
  <c r="G987" i="17" a="1"/>
  <c r="G987" i="17" s="1"/>
  <c r="G988" i="17" a="1"/>
  <c r="G988" i="17" s="1"/>
  <c r="G989" i="17" a="1"/>
  <c r="G989" i="17" s="1"/>
  <c r="G990" i="17" a="1"/>
  <c r="G990" i="17" s="1"/>
  <c r="G991" i="17" a="1"/>
  <c r="G991" i="17" s="1"/>
  <c r="G992" i="17" a="1"/>
  <c r="G992" i="17" s="1"/>
  <c r="G993" i="17" a="1"/>
  <c r="G993" i="17" s="1"/>
  <c r="G994" i="17" a="1"/>
  <c r="G994" i="17" s="1"/>
  <c r="G995" i="17" a="1"/>
  <c r="G995" i="17" s="1"/>
  <c r="G996" i="17" a="1"/>
  <c r="G996" i="17" s="1"/>
  <c r="G997" i="17" a="1"/>
  <c r="G997" i="17" s="1"/>
  <c r="G998" i="17" a="1"/>
  <c r="G998" i="17" s="1"/>
  <c r="G999" i="17" a="1"/>
  <c r="G999" i="17" s="1"/>
  <c r="G1000" i="17" a="1"/>
  <c r="G1000" i="17" s="1"/>
  <c r="G1001" i="17" a="1"/>
  <c r="G1001" i="17" s="1"/>
  <c r="G2" i="17" a="1"/>
  <c r="G2" i="17"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<sst xmlns="http://schemas.openxmlformats.org/spreadsheetml/2006/main" count="11133" uniqueCount="6222">
  <si>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</si>
  <si>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</si>
  <si>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</si>
  <si>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</si>
  <si>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</si>
  <si>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</si>
  <si>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</si>
  <si>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</si>
  <si>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</si>
  <si>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</si>
  <si>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</si>
  <si>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</si>
  <si>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</si>
  <si>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</si>
  <si>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</si>
  <si>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</si>
  <si>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</si>
  <si>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</si>
  <si>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</si>
  <si>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</si>
  <si>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</si>
  <si>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</si>
  <si>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</si>
  <si>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</si>
  <si>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</si>
  <si>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</si>
  <si>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</si>
  <si>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</si>
  <si>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</si>
  <si>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</si>
  <si>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</si>
  <si>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</si>
  <si>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</si>
  <si>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</si>
  <si>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</si>
  <si>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</si>
  <si>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</si>
  <si>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</si>
  <si>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</si>
  <si>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</si>
  <si>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</si>
  <si>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</si>
  <si>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</si>
  <si>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</si>
  <si>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</si>
  <si>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</si>
  <si>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</si>
  <si>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</si>
  <si>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</si>
  <si>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</si>
  <si>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</si>
  <si>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</si>
  <si>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</si>
  <si>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</si>
  <si>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</si>
  <si>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</si>
  <si>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</si>
  <si>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</si>
  <si>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</si>
  <si>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</si>
  <si>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</si>
  <si>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</si>
  <si>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</si>
  <si>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</si>
  <si>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</si>
  <si>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</si>
  <si>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</si>
  <si>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</si>
  <si>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</si>
  <si>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</si>
  <si>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</si>
  <si>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</si>
  <si>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</si>
  <si>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</si>
  <si>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</si>
  <si>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</si>
  <si>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</si>
  <si>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</si>
  <si>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</si>
  <si>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</si>
  <si>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</si>
  <si>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</si>
  <si>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</si>
  <si>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</si>
  <si>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</si>
  <si>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</si>
  <si>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</si>
  <si>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</si>
  <si>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</si>
  <si>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</si>
  <si>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</si>
  <si>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</si>
  <si>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</si>
  <si>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</si>
  <si>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</si>
  <si>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</si>
  <si>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</si>
  <si>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</si>
  <si>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</si>
  <si>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</si>
  <si>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</si>
  <si>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</si>
  <si>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</si>
  <si>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</si>
  <si>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</si>
  <si>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</si>
  <si>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</si>
  <si>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</si>
  <si>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</si>
  <si>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</si>
  <si>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</si>
  <si>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</si>
  <si>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</si>
  <si>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</si>
  <si>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</si>
  <si>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</si>
  <si>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</si>
  <si>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</si>
  <si>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</si>
  <si>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</si>
  <si>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</si>
  <si>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</si>
  <si>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</si>
  <si>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</si>
  <si>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</si>
  <si>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</si>
  <si>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</si>
  <si>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</si>
  <si>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</si>
  <si>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</si>
  <si>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</si>
  <si>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</si>
  <si>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</si>
  <si>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</si>
  <si>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</si>
  <si>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</si>
  <si>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</si>
  <si>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</si>
  <si>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</si>
  <si>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</si>
  <si>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</si>
  <si>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</si>
  <si>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</si>
  <si>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</si>
  <si>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</si>
  <si>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</si>
  <si>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</si>
  <si>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</si>
  <si>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</si>
  <si>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</si>
  <si>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</si>
  <si>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</si>
  <si>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</si>
  <si>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</si>
  <si>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</si>
  <si>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</si>
  <si>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</si>
  <si>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</si>
  <si>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</si>
  <si>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</si>
  <si>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</si>
  <si>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</si>
  <si>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</si>
  <si>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</si>
  <si>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</si>
  <si>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</si>
  <si>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</si>
  <si>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</si>
  <si>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</si>
  <si>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</si>
  <si>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</si>
  <si>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</si>
  <si>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</si>
  <si>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</si>
  <si>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</si>
  <si>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</si>
  <si>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</si>
  <si>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</si>
  <si>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</si>
  <si>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</si>
  <si>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</si>
  <si>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</si>
  <si>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</si>
  <si>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</si>
  <si>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</si>
  <si>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</si>
  <si>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</si>
  <si>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</si>
  <si>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</si>
  <si>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</si>
  <si>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</si>
  <si>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</si>
  <si>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</si>
  <si>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</si>
  <si>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</si>
  <si>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</si>
  <si>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</si>
  <si>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</si>
  <si>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</si>
  <si>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</si>
  <si>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</si>
  <si>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</si>
  <si>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</si>
  <si>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</si>
  <si>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</si>
  <si>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</si>
  <si>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</si>
  <si>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</si>
  <si>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</si>
  <si>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</si>
  <si>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</si>
  <si>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</si>
  <si>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</si>
  <si>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</si>
  <si>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</si>
  <si>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</si>
  <si>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</si>
  <si>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</si>
  <si>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</si>
  <si>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</si>
  <si>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</si>
  <si>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</si>
  <si>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</si>
  <si>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</si>
  <si>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</si>
  <si>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</si>
  <si>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</si>
  <si>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</si>
  <si>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</si>
  <si>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</si>
  <si>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</si>
  <si>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</si>
  <si>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</si>
  <si>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</si>
  <si>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</si>
  <si>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</si>
  <si>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</si>
  <si>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</si>
  <si>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</si>
  <si>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</si>
  <si>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</si>
  <si>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</si>
  <si>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</si>
  <si>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</si>
  <si>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</si>
  <si>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</si>
  <si>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</si>
  <si>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</si>
  <si>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</si>
  <si>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</si>
  <si>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</si>
  <si>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</si>
  <si>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</si>
  <si>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</si>
  <si>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</si>
  <si>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</si>
  <si>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</si>
  <si>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</si>
  <si>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</si>
  <si>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</si>
  <si>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</si>
  <si>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</si>
  <si>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</si>
  <si>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</si>
  <si>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</si>
  <si>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</si>
  <si>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</si>
  <si>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</si>
  <si>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</si>
  <si>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</si>
  <si>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</si>
  <si>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</si>
  <si>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</si>
  <si>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</si>
  <si>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</si>
  <si>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</si>
  <si>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</si>
  <si>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</si>
  <si>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</si>
  <si>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</si>
  <si>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</si>
  <si>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</si>
  <si>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</si>
  <si>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</si>
  <si>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</si>
  <si>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</si>
  <si>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</si>
  <si>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</si>
  <si>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</si>
  <si>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</si>
  <si>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</si>
  <si>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</si>
  <si>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</si>
  <si>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</si>
  <si>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</si>
  <si>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</si>
  <si>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</si>
  <si>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</si>
  <si>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</si>
  <si>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</si>
  <si>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</si>
  <si>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</si>
  <si>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</si>
  <si>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</si>
  <si>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</si>
  <si>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</si>
  <si>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</si>
  <si>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</si>
  <si>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</si>
  <si>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</si>
  <si>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</si>
  <si>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</si>
  <si>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</si>
  <si>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</si>
  <si>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</si>
  <si>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</si>
  <si>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</si>
  <si>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</si>
  <si>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</si>
  <si>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</si>
  <si>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</si>
  <si>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</si>
  <si>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</si>
  <si>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</si>
  <si>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</si>
  <si>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</si>
  <si>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</si>
  <si>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</si>
  <si>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</si>
  <si>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</si>
  <si>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</si>
  <si>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</si>
  <si>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</si>
  <si>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</si>
  <si>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</si>
  <si>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</si>
  <si>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</si>
  <si>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</si>
  <si>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</si>
  <si>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</si>
  <si>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</si>
  <si>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</si>
  <si>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</si>
  <si>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</si>
  <si>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</si>
  <si>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</si>
  <si>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</si>
  <si>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</si>
  <si>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</si>
  <si>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</si>
  <si>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</si>
  <si>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</si>
  <si>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</si>
  <si>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</si>
  <si>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</si>
  <si>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</si>
  <si>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</si>
  <si>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</si>
  <si>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</si>
  <si>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</si>
  <si>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</si>
  <si>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</si>
  <si>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</si>
  <si>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</si>
  <si>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</si>
  <si>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</si>
  <si>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</si>
  <si>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</si>
  <si>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</si>
  <si>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</si>
  <si>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</si>
  <si>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</si>
  <si>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</si>
  <si>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</si>
  <si>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</si>
  <si>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</si>
  <si>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</si>
  <si>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</si>
  <si>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</si>
  <si>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</si>
  <si>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</si>
  <si>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</si>
  <si>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</si>
  <si>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</si>
  <si>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</si>
  <si>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</si>
  <si>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</si>
  <si>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</si>
  <si>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</si>
  <si>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</si>
  <si>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</si>
  <si>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</si>
  <si>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</si>
  <si>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</si>
  <si>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</si>
  <si>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</si>
  <si>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</si>
  <si>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</si>
  <si>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</si>
  <si>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</si>
  <si>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</si>
  <si>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</si>
  <si>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</si>
  <si>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</si>
  <si>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</si>
  <si>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</si>
  <si>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</si>
  <si>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</si>
  <si>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</si>
  <si>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</si>
  <si>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</si>
  <si>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</si>
  <si>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</si>
  <si>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</si>
  <si>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</si>
  <si>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</si>
  <si>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</si>
  <si>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</si>
  <si>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</si>
  <si>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</si>
  <si>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</si>
  <si>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</si>
  <si>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</si>
  <si>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</si>
  <si>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</si>
  <si>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</si>
  <si>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</si>
  <si>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</si>
  <si>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</si>
  <si>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</si>
  <si>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</si>
  <si>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</si>
  <si>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</si>
  <si>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</si>
  <si>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</si>
  <si>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</si>
  <si>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</si>
  <si>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</si>
  <si>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</si>
  <si>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</si>
  <si>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</si>
  <si>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</si>
  <si>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</si>
  <si>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</si>
  <si>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</si>
  <si>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</si>
  <si>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</si>
  <si>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</si>
  <si>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</si>
  <si>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</si>
  <si>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</si>
  <si>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</si>
  <si>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</si>
  <si>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</si>
  <si>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</si>
  <si>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</si>
  <si>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</si>
  <si>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</si>
  <si>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</si>
  <si>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</si>
  <si>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</si>
  <si>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</si>
  <si>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</si>
  <si>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</si>
  <si>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</si>
  <si>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</si>
  <si>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</si>
  <si>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</si>
  <si>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</si>
  <si>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</si>
  <si>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</si>
  <si>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</si>
  <si>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</si>
  <si>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</si>
  <si>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</si>
  <si>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</si>
  <si>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</si>
  <si>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</si>
  <si>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</si>
  <si>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</si>
  <si>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</si>
  <si>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</si>
  <si>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</si>
  <si>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</si>
  <si>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</si>
  <si>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</si>
  <si>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</si>
  <si>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</si>
  <si>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</si>
  <si>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</si>
  <si>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</si>
  <si>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</si>
  <si>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</si>
  <si>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</si>
  <si>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</si>
  <si>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</si>
  <si>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</si>
  <si>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</si>
  <si>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</si>
  <si>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</si>
  <si>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</si>
  <si>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</si>
  <si>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</si>
  <si>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</si>
  <si>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</si>
  <si>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</si>
  <si>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</si>
  <si>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</si>
  <si>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</si>
  <si>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</si>
  <si>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</si>
  <si>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</si>
  <si>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</si>
  <si>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</si>
  <si>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</si>
  <si>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</si>
  <si>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</si>
  <si>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</si>
  <si>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</si>
  <si>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</si>
  <si>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</si>
  <si>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</si>
  <si>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</si>
  <si>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</si>
  <si>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</si>
  <si>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</si>
  <si>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</si>
  <si>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</si>
  <si>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</si>
  <si>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</si>
  <si>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</si>
  <si>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</si>
  <si>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</si>
  <si>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</si>
  <si>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</si>
  <si>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</si>
  <si>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</si>
  <si>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</si>
  <si>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</si>
  <si>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</si>
  <si>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</si>
  <si>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</si>
  <si>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</si>
  <si>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</si>
  <si>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</si>
  <si>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</si>
  <si>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</si>
  <si>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</si>
  <si>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</si>
  <si>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</si>
  <si>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</si>
  <si>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</si>
  <si>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</si>
  <si>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</si>
  <si>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</si>
  <si>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</si>
  <si>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</si>
  <si>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</si>
  <si>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</si>
  <si>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</si>
  <si>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</si>
  <si>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</si>
  <si>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</si>
  <si>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</si>
  <si>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</si>
  <si>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</si>
  <si>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</si>
  <si>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</si>
  <si>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</si>
  <si>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</si>
  <si>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</si>
  <si>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</si>
  <si>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</si>
  <si>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</si>
  <si>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</si>
  <si>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</si>
  <si>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</si>
  <si>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</si>
  <si>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</si>
  <si>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</si>
  <si>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</si>
  <si>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</si>
  <si>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</si>
  <si>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</si>
  <si>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</si>
  <si>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</si>
  <si>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</si>
  <si>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</si>
  <si>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</si>
  <si>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</si>
  <si>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</si>
  <si>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</si>
  <si>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</si>
  <si>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</si>
  <si>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</si>
  <si>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</si>
  <si>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</si>
  <si>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</si>
  <si>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</si>
  <si>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</si>
  <si>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</si>
  <si>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</si>
  <si>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</si>
  <si>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</si>
  <si>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</si>
  <si>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</si>
  <si>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</si>
  <si>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</si>
  <si>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</si>
  <si>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</si>
  <si>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</si>
  <si>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</si>
  <si>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</si>
  <si>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</si>
  <si>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</si>
  <si>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</si>
  <si>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</si>
  <si>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</si>
  <si>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</si>
  <si>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</si>
  <si>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</si>
  <si>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</si>
  <si>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</si>
  <si>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</si>
  <si>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</si>
  <si>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</si>
  <si>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</si>
  <si>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</si>
  <si>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</si>
  <si>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</si>
  <si>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</si>
  <si>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</si>
  <si>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</si>
  <si>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</si>
  <si>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</si>
  <si>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</si>
  <si>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</si>
  <si>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</si>
  <si>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</si>
  <si>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</si>
  <si>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</si>
  <si>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</si>
  <si>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</si>
  <si>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</si>
  <si>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</si>
  <si>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</si>
  <si>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</si>
  <si>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</si>
  <si>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</si>
  <si>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</si>
  <si>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</si>
  <si>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</si>
  <si>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</si>
  <si>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</si>
  <si>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</si>
  <si>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</si>
  <si>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</si>
  <si>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</si>
  <si>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</si>
  <si>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</si>
  <si>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</si>
  <si>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</si>
  <si>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</si>
  <si>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</si>
  <si>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</si>
  <si>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</si>
  <si>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</si>
  <si>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</si>
  <si>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</si>
  <si>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</si>
  <si>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</si>
  <si>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</si>
  <si>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</si>
  <si>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</si>
  <si>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</si>
  <si>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</si>
  <si>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</si>
  <si>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</si>
  <si>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</si>
  <si>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</si>
  <si>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</si>
  <si>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</si>
  <si>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</si>
  <si>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</si>
  <si>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</si>
  <si>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</si>
  <si>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</si>
  <si>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</si>
  <si>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</si>
  <si>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</si>
  <si>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</si>
  <si>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</si>
  <si>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</si>
  <si>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</si>
  <si>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</si>
  <si>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</si>
  <si>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</si>
  <si>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</si>
  <si>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</si>
  <si>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</si>
  <si>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</si>
  <si>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</si>
  <si>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</si>
  <si>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</si>
  <si>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</si>
  <si>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</si>
  <si>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</si>
  <si>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</si>
  <si>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</si>
  <si>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</si>
  <si>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</si>
  <si>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</si>
  <si>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</si>
  <si>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</si>
  <si>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</si>
  <si>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</si>
  <si>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</si>
  <si>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</si>
  <si>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</si>
  <si>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</si>
  <si>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</si>
  <si>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</si>
  <si>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</si>
  <si>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</si>
  <si>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</si>
  <si>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</si>
  <si>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</si>
  <si>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</si>
  <si>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</si>
  <si>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</si>
  <si>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</si>
  <si>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</si>
  <si>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</si>
  <si>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</si>
  <si>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</si>
  <si>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</si>
  <si>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</si>
  <si>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</si>
  <si>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</si>
  <si>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</si>
  <si>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</si>
  <si>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</si>
  <si>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</si>
  <si>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</si>
  <si>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</si>
  <si>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</si>
  <si>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</si>
  <si>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</si>
  <si>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</si>
  <si>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</si>
  <si>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</si>
  <si>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</si>
  <si>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</si>
  <si>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</si>
  <si>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</si>
  <si>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</si>
  <si>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</si>
  <si>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</si>
  <si>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</si>
  <si>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</si>
  <si>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</si>
  <si>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</si>
  <si>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</si>
  <si>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</si>
  <si>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</si>
  <si>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</si>
  <si>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</si>
  <si>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</si>
  <si>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</si>
  <si>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</si>
  <si>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</si>
  <si>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</si>
  <si>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</si>
  <si>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</si>
  <si>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</si>
  <si>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</si>
  <si>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</si>
  <si>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</si>
  <si>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</si>
  <si>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</si>
  <si>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</si>
  <si>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</si>
  <si>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</si>
  <si>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</si>
  <si>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</si>
  <si>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</si>
  <si>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</si>
  <si>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</si>
  <si>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</si>
  <si>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</si>
  <si>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</si>
  <si>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</si>
  <si>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</si>
  <si>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</si>
  <si>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</si>
  <si>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</si>
  <si>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</si>
  <si>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</si>
  <si>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</si>
  <si>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</si>
  <si>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</si>
  <si>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</si>
  <si>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</si>
  <si>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</si>
  <si>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</si>
  <si>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</si>
  <si>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</si>
  <si>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</si>
  <si>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</si>
  <si>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</si>
  <si>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</si>
  <si>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</si>
  <si>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</si>
  <si>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</si>
  <si>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</si>
  <si>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</si>
  <si>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</si>
  <si>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</si>
  <si>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</si>
  <si>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</si>
  <si>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</si>
  <si>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</si>
  <si>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</si>
  <si>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</si>
  <si>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</si>
  <si>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</si>
  <si>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</si>
  <si>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</si>
  <si>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</si>
  <si>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</si>
  <si>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</si>
  <si>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</si>
  <si>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</si>
  <si>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</si>
  <si>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</si>
  <si>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</si>
  <si>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</si>
  <si>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</si>
  <si>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</si>
  <si>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</si>
  <si>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</si>
  <si>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</si>
  <si>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</si>
  <si>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</si>
  <si>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</si>
  <si>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</si>
  <si>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</si>
  <si>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</si>
  <si>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</si>
  <si>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</si>
  <si>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</si>
  <si>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</si>
  <si>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</si>
  <si>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</si>
  <si>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</si>
  <si>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</si>
  <si>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</si>
  <si>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</si>
  <si>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</si>
  <si>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</si>
  <si>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</si>
  <si>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</si>
  <si>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</si>
  <si>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</si>
  <si>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</si>
  <si>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</si>
  <si>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</si>
  <si>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</si>
  <si>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</si>
  <si>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</si>
  <si>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</si>
  <si>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</si>
  <si>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</si>
  <si>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</si>
  <si>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</si>
  <si>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</si>
  <si>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</si>
  <si>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</si>
  <si>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</si>
  <si>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</si>
  <si>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</si>
  <si>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</si>
  <si>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</si>
  <si>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</si>
  <si>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</si>
  <si>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</si>
  <si>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</si>
  <si>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</si>
  <si>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</si>
  <si>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</si>
  <si>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</si>
  <si>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</si>
  <si>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</si>
  <si>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</si>
  <si>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</si>
  <si>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</si>
  <si>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</si>
  <si>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</si>
  <si>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</si>
  <si>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</si>
  <si>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</si>
  <si>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</si>
  <si>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</si>
  <si>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</si>
  <si>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</si>
  <si>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</si>
  <si>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</si>
  <si>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</si>
  <si>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</si>
  <si>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</si>
  <si>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</si>
  <si>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</si>
  <si>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</si>
  <si>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</si>
  <si>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</si>
  <si>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</si>
  <si>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</si>
  <si>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</si>
  <si>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</si>
  <si>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</si>
  <si>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</si>
  <si>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</si>
  <si>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</si>
  <si>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</si>
  <si>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</si>
  <si>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</si>
  <si>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</si>
  <si>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</si>
  <si>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</si>
  <si>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</si>
  <si>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</si>
  <si>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</si>
  <si>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</si>
  <si>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</si>
  <si>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</si>
  <si>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</si>
  <si>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</si>
  <si>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</si>
  <si>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</si>
  <si>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</si>
  <si>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</si>
  <si>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</si>
  <si>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</si>
  <si>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</si>
  <si>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</si>
  <si>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</si>
  <si>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</si>
  <si>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</si>
  <si>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</si>
  <si>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</si>
  <si>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</si>
  <si>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</si>
  <si>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</si>
  <si>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</si>
  <si>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</si>
  <si>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</si>
  <si>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</si>
  <si>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</si>
  <si>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</si>
  <si>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</si>
  <si>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</si>
  <si>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</si>
  <si>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</si>
  <si>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</si>
  <si>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</si>
  <si>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</si>
  <si>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</si>
  <si>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</si>
  <si>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</si>
  <si>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</si>
  <si>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</si>
  <si>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</si>
  <si>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</si>
  <si>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</si>
  <si>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</si>
  <si>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</si>
  <si>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</si>
  <si>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</si>
  <si>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</si>
  <si>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</si>
  <si>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</si>
  <si>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</si>
  <si>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</si>
  <si>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</si>
  <si>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</si>
  <si>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</si>
  <si>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</si>
  <si>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</si>
  <si>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</si>
  <si>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</si>
  <si>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</si>
  <si>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</si>
  <si>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</si>
  <si>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</si>
  <si>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</si>
  <si>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</si>
  <si>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</si>
  <si>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</si>
  <si>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</si>
  <si>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</si>
  <si>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</si>
  <si>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</si>
  <si>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</si>
  <si>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</si>
  <si>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</si>
  <si>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</si>
  <si>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</si>
  <si>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</si>
  <si>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</si>
  <si>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</si>
  <si>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</si>
  <si>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</si>
  <si>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</si>
  <si>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</si>
  <si>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</si>
  <si>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</si>
  <si>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</si>
  <si>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</si>
  <si>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</si>
  <si>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</si>
  <si>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</si>
  <si>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</si>
  <si>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</si>
  <si>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</si>
  <si>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</si>
  <si>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</si>
  <si>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</si>
  <si>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</si>
  <si>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</si>
  <si>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</si>
  <si>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</si>
  <si>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</si>
  <si>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</si>
  <si>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</si>
  <si>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</si>
  <si>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</si>
  <si>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</si>
  <si>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</si>
  <si>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</si>
  <si>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</si>
  <si>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</si>
  <si>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</si>
  <si>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</si>
  <si>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</si>
  <si>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</si>
  <si>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</si>
  <si>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</si>
  <si>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</si>
  <si>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</si>
  <si>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</si>
  <si>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</si>
  <si>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</si>
  <si>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</si>
  <si>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</si>
  <si>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</si>
  <si>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</si>
  <si>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</si>
  <si>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</si>
  <si>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</si>
  <si>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</si>
  <si>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</si>
  <si>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</si>
  <si>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</si>
  <si>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</si>
  <si>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</si>
  <si>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</si>
  <si>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</si>
  <si>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</si>
  <si>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</si>
  <si>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</si>
  <si>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</si>
  <si>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</si>
  <si>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</si>
  <si>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</si>
  <si>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</si>
  <si>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</si>
  <si>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</si>
  <si>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</si>
  <si>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</si>
  <si>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</si>
  <si>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</si>
  <si>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</si>
  <si>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</si>
  <si>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</si>
  <si>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</si>
  <si>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</si>
  <si>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</si>
  <si>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</si>
  <si>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</si>
  <si>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</si>
  <si>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</si>
  <si>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</si>
  <si>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</si>
  <si>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</si>
  <si>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</si>
  <si>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</si>
  <si>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</si>
  <si>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</si>
  <si>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</si>
  <si>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</si>
  <si>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</si>
  <si>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</si>
  <si>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</si>
  <si>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</si>
  <si>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</si>
  <si>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</si>
  <si>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</si>
  <si>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</si>
  <si>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</si>
  <si>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</si>
  <si>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</si>
  <si>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</si>
  <si>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</si>
  <si>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</si>
  <si>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</si>
  <si>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</si>
  <si>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</si>
  <si>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</si>
  <si>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</si>
  <si>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</si>
  <si>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</si>
  <si>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</si>
  <si>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</si>
  <si>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</si>
  <si>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</si>
  <si>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</si>
  <si>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</si>
  <si>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</si>
  <si>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</si>
  <si>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</si>
  <si>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</si>
  <si>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</si>
  <si>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</si>
  <si>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</si>
  <si>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</si>
  <si>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</si>
  <si>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</si>
  <si>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</si>
  <si>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</si>
  <si>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</si>
  <si>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</si>
  <si>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</si>
  <si>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</si>
  <si>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</si>
  <si>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</si>
  <si>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</si>
  <si>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</si>
  <si>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</si>
  <si>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</si>
  <si>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</si>
  <si>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</si>
  <si>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</si>
  <si>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</si>
  <si>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</si>
  <si>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</si>
  <si>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</si>
  <si>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</si>
  <si>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</si>
  <si>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</si>
  <si>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</si>
  <si>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</si>
  <si>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</si>
  <si>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</si>
  <si>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</si>
  <si>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</si>
  <si>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</si>
  <si>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</si>
  <si>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</si>
  <si>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</si>
  <si>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</si>
  <si>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</si>
  <si>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</si>
  <si>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</si>
  <si>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</si>
  <si>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</si>
  <si>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</si>
  <si>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</si>
  <si>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</si>
  <si>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</si>
  <si>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</si>
  <si>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</si>
  <si>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</si>
  <si>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</si>
  <si>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</si>
  <si>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</si>
  <si>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</si>
  <si>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</si>
  <si>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</si>
  <si>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</si>
  <si>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</si>
  <si>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</si>
  <si>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</si>
  <si>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</si>
  <si>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</si>
  <si>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</si>
  <si>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</si>
  <si>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</si>
  <si>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</si>
  <si>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</si>
  <si>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</si>
  <si>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</si>
  <si>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</si>
  <si>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</si>
  <si>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</si>
  <si>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</si>
  <si>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</si>
  <si>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</si>
  <si>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</si>
  <si>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</si>
  <si>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</si>
  <si>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</si>
  <si>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</si>
  <si>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</si>
  <si>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</si>
  <si>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</si>
  <si>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</si>
  <si>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</si>
  <si>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</si>
  <si>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</si>
  <si>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</si>
  <si>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</si>
  <si>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</si>
  <si>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</si>
  <si>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</si>
  <si>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</si>
  <si>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</si>
  <si>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</si>
  <si>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</si>
  <si>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</si>
  <si>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</si>
  <si>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</si>
  <si>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</si>
  <si>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</si>
  <si>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</si>
  <si>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</si>
  <si>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</si>
  <si>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</si>
  <si>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</si>
  <si>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</si>
  <si>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</si>
  <si>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</si>
  <si>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</si>
  <si>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</si>
  <si>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</si>
  <si>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</si>
  <si>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</si>
  <si>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</si>
  <si>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</si>
  <si>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</si>
  <si>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</si>
  <si>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</si>
  <si>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</si>
  <si>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</si>
  <si>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</si>
  <si>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</si>
  <si>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</si>
  <si>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</si>
  <si>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</si>
  <si>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</si>
  <si>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</si>
  <si>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</si>
  <si>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</si>
  <si>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</si>
  <si>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</si>
  <si>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</si>
  <si>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</si>
  <si>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</si>
  <si>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</si>
  <si>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</si>
  <si>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</si>
  <si>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</si>
  <si>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</si>
  <si>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</si>
  <si>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</si>
  <si>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</si>
  <si>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</si>
  <si>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</si>
  <si>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</si>
  <si>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</si>
  <si>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</si>
  <si>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</si>
  <si>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</si>
  <si>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</si>
  <si>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</si>
  <si>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</si>
  <si>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</si>
  <si>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</si>
  <si>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</si>
  <si>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</si>
  <si>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</si>
  <si>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</si>
  <si>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</si>
  <si>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</si>
  <si>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</si>
  <si>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</si>
  <si>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</si>
  <si>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</si>
  <si>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</si>
  <si>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</si>
  <si>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</si>
  <si>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</si>
  <si>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</si>
  <si>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</si>
  <si>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</si>
  <si>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</si>
  <si>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</si>
  <si>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</si>
  <si>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</si>
  <si>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</si>
  <si>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</si>
  <si>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</si>
  <si>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</si>
  <si>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</si>
  <si>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</si>
  <si>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</si>
  <si>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</si>
  <si>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</si>
  <si>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</si>
  <si>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</si>
  <si>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</si>
  <si>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</si>
  <si>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</si>
  <si>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</si>
  <si>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</si>
  <si>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</si>
  <si>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</si>
  <si>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</si>
  <si>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</si>
  <si>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</si>
  <si>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</si>
  <si>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</si>
  <si>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</si>
  <si>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</si>
  <si>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</si>
  <si>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</si>
  <si>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</si>
  <si>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</si>
  <si>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</si>
  <si>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</si>
  <si>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</si>
  <si>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</si>
  <si>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</si>
  <si>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</si>
  <si>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</si>
  <si>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</si>
  <si>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</si>
  <si>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</si>
  <si>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</si>
  <si>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</si>
  <si>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</si>
  <si>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</si>
  <si>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</si>
  <si>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</si>
  <si>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</si>
  <si>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</si>
  <si>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</si>
  <si>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</si>
  <si>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</si>
  <si>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</si>
  <si>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</si>
  <si>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</si>
  <si>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</si>
  <si>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</si>
  <si>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</si>
  <si>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</si>
  <si>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</si>
  <si>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</si>
  <si>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</si>
  <si>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</si>
  <si>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</si>
  <si>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</si>
  <si>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</si>
  <si>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</si>
  <si>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</si>
  <si>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</si>
  <si>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</si>
  <si>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</si>
  <si>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</si>
  <si>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</si>
  <si>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</si>
  <si>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</si>
  <si>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</si>
  <si>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</si>
  <si>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</si>
  <si>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</si>
  <si>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</si>
  <si>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</si>
  <si>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</si>
  <si>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</si>
  <si>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</si>
  <si>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</si>
  <si>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</si>
  <si>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</si>
  <si>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</si>
  <si>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</si>
  <si>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</si>
  <si>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</si>
  <si>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</si>
  <si>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</si>
  <si>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</si>
  <si>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</si>
  <si>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</si>
  <si>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</si>
  <si>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</si>
  <si>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</si>
  <si>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</si>
  <si>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</si>
  <si>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</si>
  <si>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</si>
  <si>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</si>
  <si>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</si>
  <si>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</si>
  <si>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</si>
  <si>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</si>
  <si>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</si>
  <si>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</si>
  <si>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</si>
  <si>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</si>
  <si>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</si>
  <si>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</si>
  <si>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</si>
  <si>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</si>
  <si>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</si>
  <si>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</si>
  <si>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</si>
  <si>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</si>
  <si>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</si>
  <si>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</si>
  <si>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</si>
  <si>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</si>
  <si>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</si>
  <si>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</si>
  <si>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</si>
  <si>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</si>
  <si>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</si>
  <si>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</si>
  <si>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</si>
  <si>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</si>
  <si>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</si>
  <si>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</si>
  <si>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</si>
  <si>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</si>
  <si>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</si>
  <si>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</si>
  <si>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</si>
  <si>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</si>
  <si>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</si>
  <si>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</si>
  <si>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</si>
  <si>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</si>
  <si>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</si>
  <si>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</si>
  <si>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</si>
  <si>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</si>
  <si>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</si>
  <si>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</si>
  <si>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</si>
  <si>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</si>
  <si>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</si>
  <si>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</si>
  <si>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</si>
  <si>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</si>
  <si>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</si>
  <si>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</si>
  <si>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</si>
  <si>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</si>
  <si>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</si>
  <si>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</si>
  <si>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</si>
  <si>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</si>
  <si>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</si>
  <si>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</si>
  <si>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</si>
  <si>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</si>
  <si>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</si>
  <si>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</si>
  <si>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</si>
  <si>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</si>
  <si>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</si>
  <si>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</si>
  <si>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</si>
  <si>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</si>
  <si>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</si>
  <si>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</si>
  <si>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</si>
  <si>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</si>
  <si>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</si>
  <si>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</si>
  <si>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</si>
  <si>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</si>
  <si>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</si>
  <si>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</si>
  <si>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</si>
  <si>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</si>
  <si>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</si>
  <si>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</si>
  <si>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</si>
  <si>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</si>
  <si>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</si>
  <si>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</si>
  <si>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</si>
  <si>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</si>
  <si>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</si>
  <si>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</si>
  <si>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</si>
  <si>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</si>
  <si>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</si>
  <si>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</si>
  <si>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</si>
  <si>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</si>
  <si>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</si>
  <si>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</si>
  <si>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</si>
  <si>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</si>
  <si>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</si>
  <si>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</si>
  <si>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</si>
  <si>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</si>
  <si>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</si>
  <si>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</si>
  <si>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</si>
  <si>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</si>
  <si>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</si>
  <si>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</si>
  <si>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</si>
  <si>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</si>
  <si>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</si>
  <si>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</si>
  <si>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</si>
  <si>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</si>
  <si>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</si>
  <si>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</si>
  <si>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</si>
  <si>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</si>
  <si>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</si>
  <si>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</si>
  <si>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</si>
  <si>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</si>
  <si>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</si>
  <si>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</si>
  <si>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</si>
  <si>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</si>
  <si>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</si>
  <si>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</si>
  <si>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</si>
  <si>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</si>
  <si>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</si>
  <si>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</si>
  <si>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</si>
  <si>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</si>
  <si>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</si>
  <si>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</si>
  <si>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</si>
  <si>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</si>
  <si>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</si>
  <si>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</si>
  <si>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</si>
  <si>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</si>
  <si>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</si>
  <si>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</si>
  <si>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</si>
  <si>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</si>
  <si>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</si>
  <si>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</si>
  <si>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</si>
  <si>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</si>
  <si>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</si>
  <si>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</si>
  <si>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</si>
  <si>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</si>
  <si>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</si>
  <si>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</si>
  <si>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</si>
  <si>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</si>
  <si>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</si>
  <si>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</si>
  <si>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</si>
  <si>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</si>
  <si>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</si>
  <si>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</si>
  <si>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</si>
  <si>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</si>
  <si>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</si>
  <si>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</si>
  <si>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</si>
  <si>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</si>
  <si>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</si>
  <si>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</si>
  <si>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</si>
  <si>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</si>
  <si>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</si>
  <si>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</si>
  <si>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</si>
  <si>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</si>
  <si>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</si>
  <si>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</si>
  <si>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</si>
  <si>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</si>
  <si>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</si>
  <si>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</si>
  <si>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</si>
  <si>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</si>
  <si>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</si>
  <si>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</si>
  <si>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</si>
  <si>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</si>
  <si>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</si>
  <si>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</si>
  <si>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</si>
  <si>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</si>
  <si>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</si>
  <si>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</si>
  <si>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</si>
  <si>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</si>
  <si>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</si>
  <si>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</si>
  <si>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</si>
  <si>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</si>
  <si>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</si>
  <si>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</si>
  <si>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</si>
  <si>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</si>
  <si>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</si>
  <si>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</si>
  <si>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</si>
  <si>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</si>
  <si>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</si>
  <si>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</si>
  <si>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</si>
  <si>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</si>
  <si>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</si>
  <si>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</si>
  <si>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</si>
  <si>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</si>
  <si>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</si>
  <si>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</si>
  <si>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</si>
  <si>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</si>
  <si>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</si>
  <si>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</si>
  <si>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</si>
  <si>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</si>
  <si>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</si>
  <si>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</si>
  <si>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</si>
  <si>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</si>
  <si>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</si>
  <si>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</si>
  <si>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</si>
  <si>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</si>
  <si>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</si>
  <si>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</si>
  <si>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</si>
  <si>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</si>
  <si>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</si>
  <si>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</si>
  <si>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</si>
  <si>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</si>
  <si>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</si>
  <si>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</si>
  <si>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</si>
  <si>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</si>
  <si>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</si>
  <si>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</si>
  <si>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</si>
  <si>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</si>
  <si>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</si>
  <si>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</si>
  <si>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</si>
  <si>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</si>
  <si>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</si>
  <si>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</si>
  <si>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</si>
  <si>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</si>
  <si>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</si>
  <si>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</si>
  <si>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</si>
  <si>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</si>
  <si>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</si>
  <si>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</si>
  <si>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</si>
  <si>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</si>
  <si>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</si>
  <si>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</si>
  <si>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</si>
  <si>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</si>
  <si>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</si>
  <si>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</si>
  <si>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</si>
  <si>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</si>
  <si>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</si>
  <si>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</si>
  <si>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</si>
  <si>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</si>
  <si>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</si>
  <si>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</si>
  <si>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</si>
  <si>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</si>
  <si>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</si>
  <si>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</si>
  <si>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</si>
  <si>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</si>
  <si>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</si>
  <si>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</si>
  <si>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</si>
  <si>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</si>
  <si>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</si>
  <si>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</si>
  <si>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</si>
  <si>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</si>
  <si>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</si>
  <si>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</si>
  <si>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</si>
  <si>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</si>
  <si>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</si>
  <si>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</si>
  <si>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</si>
  <si>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</si>
  <si>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</si>
  <si>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</si>
  <si>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</si>
  <si>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</si>
  <si>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</si>
  <si>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</si>
  <si>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</si>
  <si>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</si>
  <si>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</si>
  <si>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</si>
  <si>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</si>
  <si>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</si>
  <si>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</si>
  <si>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</si>
  <si>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</si>
  <si>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</si>
  <si>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</si>
  <si>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</si>
  <si>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</si>
  <si>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</si>
  <si>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</si>
  <si>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</si>
  <si>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</si>
  <si>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</si>
  <si>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</si>
  <si>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</si>
  <si>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</si>
  <si>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</si>
  <si>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</si>
  <si>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</si>
  <si>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</si>
  <si>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</si>
  <si>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</si>
  <si>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</si>
  <si>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</si>
  <si>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</si>
  <si>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</si>
  <si>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</si>
  <si>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</si>
  <si>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</si>
  <si>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</si>
  <si>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</si>
  <si>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</si>
  <si>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</si>
  <si>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</si>
  <si>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</si>
  <si>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</si>
  <si>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</si>
  <si>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</si>
  <si>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</si>
  <si>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</si>
  <si>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</si>
  <si>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</si>
  <si>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</si>
  <si>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</si>
  <si>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</si>
  <si>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</si>
  <si>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</si>
  <si>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</si>
  <si>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</si>
  <si>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</si>
  <si>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</si>
  <si>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</si>
  <si>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</si>
  <si>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</si>
  <si>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</si>
  <si>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</si>
  <si>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</si>
  <si>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</si>
  <si>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</si>
  <si>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</si>
  <si>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</si>
  <si>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</si>
  <si>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</si>
  <si>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</si>
  <si>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</si>
  <si>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</si>
  <si>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</si>
  <si>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</si>
  <si>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</si>
  <si>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</si>
  <si>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</si>
  <si>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</si>
  <si>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</si>
  <si>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</si>
  <si>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</si>
  <si>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</si>
  <si>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</si>
  <si>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</si>
  <si>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</si>
  <si>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</si>
  <si>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</si>
  <si>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</si>
  <si>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</si>
  <si>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</si>
  <si>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</si>
  <si>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</si>
  <si>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</si>
  <si>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</si>
  <si>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</si>
  <si>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</si>
  <si>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</si>
  <si>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</si>
  <si>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</si>
  <si>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</si>
  <si>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</si>
  <si>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</si>
  <si>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</si>
  <si>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</si>
  <si>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</si>
  <si>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</si>
  <si>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</si>
  <si>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</si>
  <si>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</si>
  <si>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</si>
  <si>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</si>
  <si>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</si>
  <si>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</si>
  <si>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</si>
  <si>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</si>
  <si>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</si>
  <si>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</si>
  <si>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</si>
  <si>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</si>
  <si>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</si>
  <si>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</si>
  <si>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</si>
  <si>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</si>
  <si>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</si>
  <si>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</si>
  <si>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</si>
  <si>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</si>
  <si>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</si>
  <si>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</si>
  <si>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</si>
  <si>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</si>
  <si>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</si>
  <si>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</si>
  <si>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</si>
  <si>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</si>
  <si>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</si>
  <si>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</si>
  <si>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</si>
  <si>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</si>
  <si>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</si>
  <si>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</si>
  <si>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</si>
  <si>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</si>
  <si>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</si>
  <si>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</si>
  <si>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</si>
  <si>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</si>
  <si>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</si>
  <si>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</si>
  <si>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</si>
  <si>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</si>
  <si>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</si>
  <si>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</si>
  <si>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</si>
  <si>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</si>
  <si>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</si>
  <si>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</si>
  <si>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</si>
  <si>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</si>
  <si>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</si>
  <si>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</si>
  <si>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</si>
  <si>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</si>
  <si>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</si>
  <si>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</si>
  <si>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</si>
  <si>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</si>
  <si>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</si>
  <si>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</si>
  <si>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</si>
  <si>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</si>
  <si>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</si>
  <si>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</si>
  <si>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</si>
  <si>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</si>
  <si>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</si>
  <si>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</si>
  <si>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</si>
  <si>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</si>
  <si>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</si>
  <si>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</si>
  <si>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</si>
  <si>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</si>
  <si>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</si>
  <si>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</si>
  <si>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</si>
  <si>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</si>
  <si>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</si>
  <si>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</si>
  <si>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</si>
  <si>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</si>
  <si>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</si>
  <si>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</si>
  <si>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</si>
  <si>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</si>
  <si>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</si>
  <si>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</si>
  <si>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</si>
  <si>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</si>
  <si>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</si>
  <si>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</si>
  <si>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</si>
  <si>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</si>
  <si>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</si>
  <si>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</si>
  <si>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</si>
  <si>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</si>
  <si>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</si>
  <si>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</si>
  <si>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</si>
  <si>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</si>
  <si>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</si>
  <si>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</si>
  <si>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</si>
  <si>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</si>
  <si>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</si>
  <si>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</si>
  <si>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</si>
  <si>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</si>
  <si>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</si>
  <si>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</si>
  <si>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</si>
  <si>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</si>
  <si>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</si>
  <si>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</si>
  <si>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</si>
  <si>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</si>
  <si>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</si>
  <si>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</si>
  <si>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</si>
  <si>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</si>
  <si>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</si>
  <si>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</si>
  <si>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</si>
  <si>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</si>
  <si>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</si>
  <si>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</si>
  <si>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</si>
  <si>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</si>
  <si>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</si>
  <si>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</si>
  <si>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</si>
  <si>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</si>
  <si>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</si>
  <si>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</si>
  <si>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</si>
  <si>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</si>
  <si>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</si>
  <si>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</si>
  <si>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</si>
  <si>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</si>
  <si>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</si>
  <si>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</si>
  <si>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</si>
  <si>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</si>
  <si>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</si>
  <si>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</si>
  <si>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</si>
  <si>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</si>
  <si>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</si>
  <si>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</si>
  <si>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</si>
  <si>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</si>
  <si>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</si>
  <si>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</si>
  <si>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</si>
  <si>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</si>
  <si>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</si>
  <si>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</si>
  <si>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</si>
  <si>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</si>
  <si>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</si>
  <si>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</si>
  <si>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</si>
  <si>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</si>
  <si>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</si>
  <si>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</si>
  <si>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</si>
  <si>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</si>
  <si>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</si>
  <si>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</si>
  <si>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</si>
  <si>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</si>
  <si>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</si>
  <si>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</si>
  <si>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</si>
  <si>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</si>
  <si>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</si>
  <si>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</si>
  <si>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</si>
  <si>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</si>
  <si>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</si>
  <si>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</si>
  <si>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</si>
  <si>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</si>
  <si>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</si>
  <si>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</si>
  <si>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</si>
  <si>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</si>
  <si>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</si>
  <si>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</si>
  <si>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</si>
  <si>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</si>
  <si>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</si>
  <si>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</si>
  <si>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</si>
  <si>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</si>
  <si>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</si>
  <si>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</si>
  <si>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</si>
  <si>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</si>
  <si>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</si>
  <si>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</si>
  <si>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</si>
  <si>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</si>
  <si>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</si>
  <si>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</si>
  <si>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</si>
  <si>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</si>
  <si>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</si>
  <si>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</si>
  <si>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</si>
  <si>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</si>
  <si>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</si>
  <si>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</si>
  <si>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</si>
  <si>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</si>
  <si>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</si>
  <si>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</si>
  <si>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</si>
  <si>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</si>
  <si>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</si>
  <si>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</si>
  <si>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</si>
  <si>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</si>
  <si>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</si>
  <si>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</si>
  <si>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</si>
  <si>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</si>
  <si>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</si>
  <si>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</si>
  <si>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</si>
  <si>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</si>
  <si>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</si>
  <si>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</si>
  <si>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</si>
  <si>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</si>
  <si>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</si>
  <si>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</si>
  <si>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</si>
  <si>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</si>
  <si>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</si>
  <si>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</si>
  <si>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</si>
  <si>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</si>
  <si>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</si>
  <si>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</si>
  <si>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</si>
  <si>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</si>
  <si>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</si>
  <si>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</si>
  <si>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</si>
  <si>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</si>
  <si>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</si>
  <si>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</si>
  <si>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</si>
  <si>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</si>
  <si>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</si>
  <si>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</si>
  <si>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</si>
  <si>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</si>
  <si>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</si>
  <si>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</si>
  <si>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</si>
  <si>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</si>
  <si>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</si>
  <si>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</si>
  <si>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</si>
  <si>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</si>
  <si>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</si>
  <si>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</si>
  <si>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</si>
  <si>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</si>
  <si>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</si>
  <si>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</si>
  <si>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</si>
  <si>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</si>
  <si>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</si>
  <si>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</si>
  <si>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</si>
  <si>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</si>
  <si>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</si>
  <si>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</si>
  <si>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</si>
  <si>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</si>
  <si>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</si>
  <si>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</si>
  <si>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</si>
  <si>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</si>
  <si>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</si>
  <si>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</si>
  <si>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</si>
  <si>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</si>
  <si>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</si>
  <si>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</si>
  <si>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</si>
  <si>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</si>
  <si>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</si>
  <si>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</si>
  <si>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</si>
  <si>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</si>
  <si>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</si>
  <si>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</si>
  <si>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</si>
  <si>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</si>
  <si>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</si>
  <si>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</si>
  <si>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</si>
  <si>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</si>
  <si>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</si>
  <si>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</si>
  <si>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</si>
  <si>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</si>
  <si>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</si>
  <si>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</si>
  <si>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</si>
  <si>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</si>
  <si>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</si>
  <si>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</si>
  <si>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</si>
  <si>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</si>
  <si>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</si>
  <si>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</si>
  <si>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</si>
  <si>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</si>
  <si>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</si>
  <si>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</si>
  <si>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</si>
  <si>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</si>
  <si>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</si>
  <si>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</si>
  <si>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</si>
  <si>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</si>
  <si>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</si>
  <si>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</si>
  <si>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</si>
  <si>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</si>
  <si>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</si>
  <si>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</si>
  <si>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</si>
  <si>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</si>
  <si>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</si>
  <si>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</si>
  <si>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</si>
  <si>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</si>
  <si>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</si>
  <si>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</si>
  <si>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</si>
  <si>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</si>
  <si>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</si>
  <si>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</si>
  <si>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</si>
  <si>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</si>
  <si>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</si>
  <si>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</si>
  <si>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</si>
  <si>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</si>
  <si>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</si>
  <si>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</si>
  <si>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</si>
  <si>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</si>
  <si>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</si>
  <si>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</si>
  <si>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</si>
  <si>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</si>
  <si>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</si>
  <si>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</si>
  <si>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</si>
  <si>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</si>
  <si>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</si>
  <si>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</si>
  <si>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</si>
  <si>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</si>
  <si>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</si>
  <si>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</si>
  <si>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</si>
  <si>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</si>
  <si>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</si>
  <si>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</si>
  <si>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</si>
  <si>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</si>
  <si>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</si>
  <si>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</si>
  <si>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</si>
  <si>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</si>
  <si>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</si>
  <si>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</si>
  <si>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</si>
  <si>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</si>
  <si>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</si>
  <si>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</si>
  <si>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</si>
  <si>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</si>
  <si>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</si>
  <si>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</si>
  <si>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</si>
  <si>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</si>
  <si>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</si>
  <si>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</si>
  <si>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</si>
  <si>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</si>
  <si>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</si>
  <si>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</si>
  <si>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</si>
  <si>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</si>
  <si>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</si>
  <si>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</si>
  <si>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</si>
  <si>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</si>
  <si>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</si>
  <si>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</si>
  <si>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</si>
  <si>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</si>
  <si>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</si>
  <si>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</si>
  <si>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</si>
  <si>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</si>
  <si>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</si>
  <si>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</si>
  <si>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</si>
  <si>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</si>
  <si>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</si>
  <si>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</si>
  <si>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</si>
  <si>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</si>
  <si>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</si>
  <si>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</si>
  <si>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</si>
  <si>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</si>
  <si>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</si>
  <si>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</si>
  <si>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</si>
  <si>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</si>
  <si>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</si>
  <si>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</si>
  <si>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</si>
  <si>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</si>
  <si>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</si>
  <si>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</si>
  <si>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</si>
  <si>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</si>
  <si>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</si>
  <si>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</si>
  <si>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</si>
  <si>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</si>
  <si>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</si>
  <si>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</si>
  <si>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</si>
  <si>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</si>
  <si>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</si>
  <si>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</si>
  <si>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</si>
  <si>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</si>
  <si>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</si>
  <si>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</si>
  <si>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</si>
  <si>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</si>
  <si>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</si>
  <si>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</si>
  <si>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</si>
  <si>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</si>
  <si>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</si>
  <si>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</si>
  <si>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</si>
  <si>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</si>
  <si>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</si>
  <si>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</si>
  <si>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</si>
  <si>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</si>
  <si>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</si>
  <si>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</si>
  <si>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</si>
  <si>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</si>
  <si>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</si>
  <si>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</si>
  <si>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</si>
  <si>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</si>
  <si>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</si>
  <si>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</si>
  <si>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</si>
  <si>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</si>
  <si>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</si>
  <si>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</si>
  <si>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</si>
  <si>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</si>
  <si>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</si>
  <si>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</si>
  <si>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</si>
  <si>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</si>
  <si>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</si>
  <si>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</si>
  <si>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</si>
  <si>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</si>
  <si>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</si>
  <si>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</si>
  <si>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</si>
  <si>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</si>
  <si>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</si>
  <si>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</si>
  <si>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</si>
  <si>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</si>
  <si>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</si>
  <si>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</si>
  <si>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</si>
  <si>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</si>
  <si>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</si>
  <si>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</si>
  <si>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</si>
  <si>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</si>
  <si>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</si>
  <si>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</si>
  <si>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</si>
  <si>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</si>
  <si>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</si>
  <si>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</si>
  <si>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</si>
  <si>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</si>
  <si>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</si>
  <si>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</si>
  <si>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</si>
  <si>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</si>
  <si>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</si>
  <si>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</si>
  <si>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</si>
  <si>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</si>
  <si>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</si>
  <si>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</si>
  <si>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</si>
  <si>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</si>
  <si>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</si>
  <si>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</si>
  <si>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</si>
  <si>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</si>
  <si>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</si>
  <si>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</si>
  <si>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</si>
  <si>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</si>
  <si>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</si>
  <si>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</si>
  <si>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</si>
  <si>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</si>
  <si>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</si>
  <si>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</si>
  <si>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</si>
  <si>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</si>
  <si>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</si>
  <si>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</si>
  <si>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</si>
  <si>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</si>
  <si>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</si>
  <si>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</si>
  <si>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</si>
  <si>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</si>
  <si>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</si>
  <si>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</si>
  <si>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</si>
  <si>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</si>
  <si>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</si>
  <si>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</si>
  <si>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</si>
  <si>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</si>
  <si>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</si>
  <si>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</si>
  <si>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</si>
  <si>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</si>
  <si>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</si>
  <si>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</si>
  <si>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</si>
  <si>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</si>
  <si>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</si>
  <si>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</si>
  <si>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</si>
  <si>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</si>
  <si>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</si>
  <si>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</si>
  <si>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</si>
  <si>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</si>
  <si>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</si>
  <si>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</si>
  <si>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</si>
  <si>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</si>
  <si>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</si>
  <si>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</si>
  <si>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</si>
  <si>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</si>
  <si>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</si>
  <si>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</si>
  <si>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</si>
  <si>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</si>
  <si>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</si>
  <si>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</si>
  <si>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</si>
  <si>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</si>
  <si>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</si>
  <si>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</si>
  <si>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</si>
  <si>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</si>
  <si>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</si>
  <si>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</si>
  <si>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</si>
  <si>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</si>
  <si>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</si>
  <si>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</si>
  <si>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</si>
  <si>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</si>
  <si>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</si>
  <si>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</si>
  <si>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</si>
  <si>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</si>
  <si>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</si>
  <si>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</si>
  <si>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</si>
  <si>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</si>
  <si>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</si>
  <si>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</si>
  <si>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</si>
  <si>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</si>
  <si>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</si>
  <si>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</si>
  <si>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</si>
  <si>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</si>
  <si>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</si>
  <si>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</si>
  <si>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</si>
  <si>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</si>
  <si>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</si>
  <si>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</si>
  <si>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</si>
  <si>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</si>
  <si>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</si>
  <si>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</si>
  <si>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</si>
  <si>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</si>
  <si>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</si>
  <si>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</si>
  <si>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</si>
  <si>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</si>
  <si>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</si>
  <si>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</si>
  <si>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</si>
  <si>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</si>
  <si>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</si>
  <si>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</si>
  <si>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</si>
  <si>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</si>
  <si>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</si>
  <si>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</si>
  <si>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</si>
  <si>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</si>
  <si>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</si>
  <si>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</si>
  <si>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</si>
  <si>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</si>
  <si>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</si>
  <si>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</si>
  <si>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</si>
  <si>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</si>
  <si>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</si>
  <si>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</si>
  <si>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</si>
  <si>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</si>
  <si>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</si>
  <si>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</si>
  <si>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</si>
  <si>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</si>
  <si>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</si>
  <si>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</si>
  <si>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</si>
  <si>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</si>
  <si>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</si>
  <si>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</si>
  <si>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</si>
  <si>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</si>
  <si>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</si>
  <si>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</si>
  <si>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</si>
  <si>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</si>
  <si>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</si>
  <si>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</si>
  <si>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</si>
  <si>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</si>
  <si>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</si>
  <si>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</si>
  <si>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</si>
  <si>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</si>
  <si>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</si>
  <si>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</si>
  <si>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</si>
  <si>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</si>
  <si>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</si>
  <si>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</si>
  <si>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</si>
  <si>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</si>
  <si>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</si>
  <si>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</si>
  <si>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</si>
  <si>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</si>
  <si>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</si>
  <si>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</si>
  <si>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</si>
  <si>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</si>
  <si>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</si>
  <si>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</si>
  <si>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</si>
  <si>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</si>
  <si>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</si>
  <si>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</si>
  <si>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</si>
  <si>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</si>
  <si>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</si>
  <si>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</si>
  <si>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</si>
  <si>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</si>
  <si>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</si>
  <si>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</si>
  <si>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</si>
  <si>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</si>
  <si>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</si>
  <si>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</si>
  <si>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</si>
  <si>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</si>
  <si>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</si>
  <si>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</si>
  <si>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</si>
  <si>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</si>
  <si>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</si>
  <si>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</si>
  <si>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</si>
  <si>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</si>
  <si>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</si>
  <si>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</si>
  <si>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</si>
  <si>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</si>
  <si>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</si>
  <si>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</si>
  <si>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</si>
  <si>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</si>
  <si>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</si>
  <si>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</si>
  <si>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</si>
  <si>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</si>
  <si>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</si>
  <si>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</si>
  <si>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</si>
  <si>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</si>
  <si>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</si>
  <si>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</si>
  <si>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</si>
  <si>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</si>
  <si>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</si>
  <si>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</si>
  <si>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</si>
  <si>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</si>
  <si>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</si>
  <si>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</si>
  <si>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</si>
  <si>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</si>
  <si>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</si>
  <si>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</si>
  <si>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</si>
  <si>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</si>
  <si>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</si>
  <si>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</si>
  <si>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</si>
  <si>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</si>
  <si>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</si>
  <si>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</si>
  <si>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</si>
  <si>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</si>
  <si>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</si>
  <si>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</si>
  <si>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</si>
  <si>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</si>
  <si>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</si>
  <si>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</si>
  <si>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</si>
  <si>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</si>
  <si>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</si>
  <si>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</si>
  <si>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</si>
  <si>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</si>
  <si>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</si>
  <si>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</si>
  <si>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</si>
  <si>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</si>
  <si>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</si>
  <si>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</si>
  <si>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</si>
  <si>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</si>
  <si>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</si>
  <si>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</si>
  <si>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</si>
  <si>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</si>
  <si>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</si>
  <si>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</si>
  <si>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</si>
  <si>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</si>
  <si>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</si>
  <si>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</si>
  <si>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</si>
  <si>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</si>
  <si>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</si>
  <si>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</si>
  <si>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</si>
  <si>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</si>
  <si>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</si>
  <si>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</si>
  <si>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</si>
  <si>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</si>
  <si>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</si>
  <si>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</si>
  <si>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</si>
  <si>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</si>
  <si>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</si>
  <si>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</si>
  <si>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</si>
  <si>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</si>
  <si>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</si>
  <si>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</si>
  <si>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</si>
  <si>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</si>
  <si>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</si>
  <si>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</si>
  <si>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</si>
  <si>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</si>
  <si>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</si>
  <si>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</si>
  <si>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</si>
  <si>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</si>
  <si>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</si>
  <si>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</si>
  <si>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</si>
  <si>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</si>
  <si>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</si>
  <si>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</si>
  <si>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</si>
  <si>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</si>
  <si>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</si>
  <si>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</si>
  <si>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</si>
  <si>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</si>
  <si>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</si>
  <si>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</si>
  <si>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</si>
  <si>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</si>
  <si>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</si>
  <si>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</si>
  <si>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</si>
  <si>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</si>
  <si>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</si>
  <si>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</si>
  <si>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</si>
  <si>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</si>
  <si>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</si>
  <si>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</si>
  <si>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</si>
  <si>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</si>
  <si>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</si>
  <si>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</si>
  <si>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</si>
  <si>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</si>
  <si>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</si>
  <si>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</si>
  <si>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</si>
  <si>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</si>
  <si>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</si>
  <si>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</si>
  <si>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</si>
  <si>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</si>
  <si>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</si>
  <si>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</si>
  <si>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</si>
  <si>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</si>
  <si>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</si>
  <si>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</si>
  <si>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</si>
  <si>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</si>
  <si>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</si>
  <si>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</si>
  <si>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</si>
  <si>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</si>
  <si>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</si>
  <si>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</si>
  <si>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</si>
  <si>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</si>
  <si>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</si>
  <si>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</si>
  <si>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</si>
  <si>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</si>
  <si>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</si>
  <si>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</si>
  <si>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</si>
  <si>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</si>
  <si>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</si>
  <si>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</si>
  <si>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</si>
  <si>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</si>
  <si>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</si>
  <si>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</si>
  <si>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</si>
  <si>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</si>
  <si>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</si>
  <si>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</si>
  <si>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</si>
  <si>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</si>
  <si>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</si>
  <si>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</si>
  <si>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</si>
  <si>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</si>
  <si>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</si>
  <si>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</si>
  <si>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</si>
  <si>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</si>
  <si>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</si>
  <si>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</si>
  <si>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</si>
  <si>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</si>
  <si>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</si>
  <si>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</si>
  <si>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</si>
  <si>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</si>
  <si>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</si>
  <si>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</si>
  <si>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</si>
  <si>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</si>
  <si>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</si>
  <si>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</si>
  <si>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</si>
  <si>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</si>
  <si>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</si>
  <si>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</si>
  <si>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</si>
  <si>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</si>
  <si>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</si>
  <si>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</si>
  <si>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</si>
  <si>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</si>
  <si>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</si>
  <si>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</si>
  <si>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</si>
  <si>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</si>
  <si>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</si>
  <si>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</si>
  <si>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</si>
  <si>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</si>
  <si>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</si>
  <si>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</si>
  <si>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</si>
  <si>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</si>
  <si>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</si>
  <si>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</si>
  <si>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</si>
  <si>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</si>
  <si>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</si>
  <si>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</si>
  <si>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</si>
  <si>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</si>
  <si>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</si>
  <si>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</si>
  <si>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</si>
  <si>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</si>
  <si>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</si>
  <si>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</si>
  <si>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</si>
  <si>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</si>
  <si>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</si>
  <si>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</si>
  <si>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</si>
  <si>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</si>
  <si>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</si>
  <si>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</si>
  <si>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</si>
  <si>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</si>
  <si>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</si>
  <si>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</si>
  <si>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</si>
  <si>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</si>
  <si>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</si>
  <si>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</si>
  <si>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</si>
  <si>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</si>
  <si>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</si>
  <si>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</si>
  <si>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</si>
  <si>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</si>
  <si>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</si>
  <si>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</si>
  <si>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</si>
  <si>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</si>
  <si>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</si>
  <si>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</si>
  <si>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</si>
  <si>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</si>
  <si>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</si>
  <si>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</si>
  <si>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</si>
  <si>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</si>
  <si>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</si>
  <si>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</si>
  <si>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</si>
  <si>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</si>
  <si>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</si>
  <si>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</si>
  <si>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</si>
  <si>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</si>
  <si>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</si>
  <si>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</si>
  <si>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</si>
  <si>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</si>
  <si>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</si>
  <si>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</si>
  <si>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</si>
  <si>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</si>
  <si>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</si>
  <si>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</si>
  <si>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</si>
  <si>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</si>
  <si>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</si>
  <si>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</si>
  <si>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</si>
  <si>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</si>
  <si>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</si>
  <si>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</si>
  <si>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</si>
  <si>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</si>
  <si>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</si>
  <si>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</si>
  <si>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</si>
  <si>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</si>
  <si>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</si>
  <si>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</si>
  <si>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</si>
  <si>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</si>
  <si>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</si>
  <si>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</si>
  <si>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</si>
  <si>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</si>
  <si>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</si>
  <si>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</si>
  <si>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</si>
  <si>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</si>
  <si>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</si>
  <si>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</si>
  <si>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</si>
  <si>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</si>
  <si>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</si>
  <si>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</si>
  <si>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</si>
  <si>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</si>
  <si>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</si>
  <si>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</si>
  <si>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</si>
  <si>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</si>
  <si>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</si>
  <si>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</si>
  <si>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</si>
  <si>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</si>
  <si>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</si>
  <si>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</si>
  <si>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</si>
  <si>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</si>
  <si>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</si>
  <si>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</si>
  <si>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</si>
  <si>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</si>
  <si>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</si>
  <si>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</si>
  <si>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</si>
  <si>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</si>
  <si>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</si>
  <si>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</si>
  <si>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</si>
  <si>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</si>
  <si>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</si>
  <si>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</si>
  <si>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</si>
  <si>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</si>
  <si>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</si>
  <si>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</si>
  <si>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</si>
  <si>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</si>
  <si>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</si>
  <si>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</si>
  <si>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</si>
  <si>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</si>
  <si>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</si>
  <si>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</si>
  <si>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</si>
  <si>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</si>
  <si>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</si>
  <si>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</si>
  <si>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</si>
  <si>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</si>
  <si>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</si>
  <si>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</si>
  <si>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</si>
  <si>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</si>
  <si>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</si>
  <si>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</si>
  <si>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</si>
  <si>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</si>
  <si>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</si>
  <si>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</si>
  <si>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</si>
  <si>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</si>
  <si>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</si>
  <si>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</si>
  <si>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</si>
  <si>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</si>
  <si>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</si>
  <si>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</si>
  <si>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</si>
  <si>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</si>
  <si>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</si>
  <si>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</si>
  <si>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</si>
  <si>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</si>
  <si>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</si>
  <si>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</si>
  <si>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</si>
  <si>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</si>
  <si>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</si>
  <si>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</si>
  <si>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</si>
  <si>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</si>
  <si>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</si>
  <si>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</si>
  <si>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</si>
  <si>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</si>
  <si>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</si>
  <si>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</si>
  <si>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</si>
  <si>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</si>
  <si>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</si>
  <si>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</si>
  <si>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</si>
  <si>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</si>
  <si>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</si>
  <si>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</si>
  <si>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</si>
  <si>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</si>
  <si>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</si>
  <si>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</si>
  <si>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</si>
  <si>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</si>
  <si>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</si>
  <si>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</si>
  <si>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</si>
  <si>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</si>
  <si>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</si>
  <si>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</si>
  <si>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</si>
  <si>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</si>
  <si>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</si>
  <si>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</si>
  <si>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</si>
  <si>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</si>
  <si>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</si>
  <si>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</si>
  <si>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</si>
  <si>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</si>
  <si>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</si>
  <si>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</si>
  <si>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</si>
  <si>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</si>
  <si>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</si>
  <si>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</si>
  <si>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</si>
  <si>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</si>
  <si>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</si>
  <si>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</si>
  <si>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</si>
  <si>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</si>
  <si>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</si>
  <si>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</si>
  <si>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</si>
  <si>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</si>
  <si>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</si>
  <si>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</si>
  <si>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</si>
  <si>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</si>
  <si>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</si>
  <si>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</si>
  <si>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</si>
  <si>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</si>
  <si>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</si>
  <si>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</si>
  <si>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</si>
  <si>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</si>
  <si>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</si>
  <si>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</si>
  <si>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</si>
  <si>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</si>
  <si>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</si>
  <si>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</si>
  <si>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</si>
  <si>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</si>
  <si>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</si>
  <si>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</si>
  <si>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</si>
  <si>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</si>
  <si>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</si>
  <si>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</si>
  <si>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</si>
  <si>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</si>
  <si>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</si>
  <si>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</si>
  <si>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</si>
  <si>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</si>
  <si>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</si>
  <si>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</si>
  <si>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</si>
  <si>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</si>
  <si>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</si>
  <si>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</si>
  <si>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</si>
  <si>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</si>
  <si>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</si>
  <si>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</si>
  <si>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</si>
  <si>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</si>
  <si>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</si>
  <si>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</si>
  <si>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</si>
  <si>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</si>
  <si>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</si>
  <si>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</si>
  <si>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</si>
  <si>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</si>
  <si>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</si>
  <si>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</si>
  <si>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</si>
  <si>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</si>
  <si>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</si>
  <si>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</si>
  <si>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</si>
  <si>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</si>
  <si>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</si>
  <si>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</si>
  <si>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</si>
  <si>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</si>
  <si>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</si>
  <si>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</si>
  <si>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</si>
  <si>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</si>
  <si>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</si>
  <si>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</si>
  <si>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</si>
  <si>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</si>
  <si>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</si>
  <si>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</si>
  <si>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</si>
  <si>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</si>
  <si>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</si>
  <si>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</si>
  <si>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</si>
  <si>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</si>
  <si>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</si>
  <si>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</si>
  <si>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</si>
  <si>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</si>
  <si>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</si>
  <si>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</si>
  <si>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</si>
  <si>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</si>
  <si>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</si>
  <si>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</si>
  <si>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</si>
  <si>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</si>
  <si>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</si>
  <si>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</si>
  <si>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</si>
  <si>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</si>
  <si>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</si>
  <si>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</si>
  <si>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</si>
  <si>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</si>
  <si>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</si>
  <si>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</si>
  <si>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</si>
  <si>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</si>
  <si>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</si>
  <si>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</si>
  <si>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</si>
  <si>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</si>
  <si>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</si>
  <si>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</si>
  <si>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</si>
  <si>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</si>
  <si>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</si>
  <si>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</si>
  <si>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</si>
  <si>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</si>
  <si>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</si>
  <si>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</si>
  <si>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</si>
  <si>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</si>
  <si>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</si>
  <si>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</si>
  <si>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</si>
  <si>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</si>
  <si>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</si>
  <si>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</si>
  <si>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</si>
  <si>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</si>
  <si>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</si>
  <si>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</si>
  <si>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</si>
  <si>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</si>
  <si>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</si>
  <si>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</si>
  <si>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</si>
  <si>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</si>
  <si>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</si>
  <si>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</si>
  <si>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</si>
  <si>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</si>
  <si>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</si>
  <si>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</si>
  <si>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</si>
  <si>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</si>
  <si>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</si>
  <si>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</si>
  <si>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</si>
  <si>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</si>
  <si>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</si>
  <si>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</si>
  <si>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</si>
  <si>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</si>
  <si>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</si>
  <si>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</si>
  <si>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</si>
  <si>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</si>
  <si>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</si>
  <si>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</si>
  <si>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</si>
  <si>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</si>
  <si>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</si>
  <si>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</si>
  <si>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</si>
  <si>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</si>
  <si>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</si>
  <si>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</si>
  <si>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</si>
  <si>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</si>
  <si>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</si>
  <si>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</si>
  <si>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</si>
  <si>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</si>
  <si>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</si>
  <si>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</si>
  <si>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</si>
  <si>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</si>
  <si>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</si>
  <si>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</si>
  <si>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</si>
  <si>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</si>
  <si>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</si>
  <si>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</si>
  <si>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</si>
  <si>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</si>
  <si>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</si>
  <si>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</si>
  <si>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</si>
  <si>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</si>
  <si>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</si>
  <si>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</si>
  <si>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</si>
  <si>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</si>
  <si>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</si>
  <si>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</si>
  <si>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</si>
  <si>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</si>
  <si>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</si>
  <si>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</si>
  <si>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</si>
  <si>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</si>
  <si>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</si>
  <si>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</si>
  <si>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</si>
  <si>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</si>
  <si>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</si>
  <si>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</si>
  <si>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</si>
  <si>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</si>
  <si>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</si>
  <si>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</si>
  <si>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</si>
  <si>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</si>
  <si>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</si>
  <si>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</si>
  <si>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</si>
  <si>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</si>
  <si>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</si>
  <si>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</si>
  <si>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</si>
  <si>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</si>
  <si>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</si>
  <si>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</si>
  <si>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</si>
  <si>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</si>
  <si>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</si>
  <si>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</si>
  <si>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</si>
  <si>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</si>
  <si>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</si>
  <si>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</si>
  <si>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</si>
  <si>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</si>
  <si>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</si>
  <si>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</si>
  <si>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</si>
  <si>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</si>
  <si>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</si>
  <si>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</si>
  <si>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</si>
  <si>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</si>
  <si>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</si>
  <si>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</si>
  <si>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</si>
  <si>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</si>
  <si>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</si>
  <si>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</si>
  <si>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</si>
  <si>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</si>
  <si>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</si>
  <si>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</si>
  <si>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</si>
  <si>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</si>
  <si>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</si>
  <si>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</si>
  <si>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</si>
  <si>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</si>
  <si>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</si>
  <si>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</si>
  <si>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</si>
  <si>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</si>
  <si>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</si>
  <si>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</si>
  <si>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</si>
  <si>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</si>
  <si>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</si>
  <si>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</si>
  <si>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</si>
  <si>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</si>
  <si>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</si>
  <si>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</si>
  <si>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</si>
  <si>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</si>
  <si>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</si>
  <si>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</si>
  <si>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</si>
  <si>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</si>
  <si>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</si>
  <si>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</si>
  <si>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</si>
  <si>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</si>
  <si>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</si>
  <si>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</si>
  <si>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</si>
  <si>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</si>
  <si>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</si>
  <si>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</si>
  <si>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</si>
  <si>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</si>
  <si>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</si>
  <si>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</si>
  <si>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</si>
  <si>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</si>
  <si>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</si>
  <si>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</si>
  <si>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</si>
  <si>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</si>
  <si>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</si>
  <si>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</si>
  <si>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</si>
  <si>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</si>
  <si>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</si>
  <si>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</si>
  <si>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</si>
  <si>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</si>
  <si>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</si>
  <si>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</si>
  <si>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</si>
  <si>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</si>
  <si>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</si>
  <si>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</si>
  <si>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</si>
  <si>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</si>
  <si>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</si>
  <si>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</si>
  <si>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</si>
  <si>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</si>
  <si>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</si>
  <si>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</si>
  <si>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</si>
  <si>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</si>
  <si>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</si>
  <si>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</si>
  <si>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</si>
  <si>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</si>
  <si>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</si>
  <si>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</si>
  <si>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</si>
  <si>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</si>
  <si>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</si>
  <si>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</si>
  <si>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</si>
  <si>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</si>
  <si>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</si>
  <si>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</si>
  <si>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</si>
  <si>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</si>
  <si>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</si>
  <si>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</si>
  <si>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</si>
  <si>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</si>
  <si>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</si>
  <si>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</si>
  <si>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</si>
  <si>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</si>
  <si>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</si>
  <si>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</si>
  <si>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</si>
  <si>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</si>
  <si>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</si>
  <si>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</si>
  <si>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</si>
  <si>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</si>
  <si>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</si>
  <si>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</si>
  <si>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</si>
  <si>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</si>
  <si>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</si>
  <si>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</si>
  <si>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</si>
  <si>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</si>
  <si>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</si>
  <si>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</si>
  <si>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</si>
  <si>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</si>
  <si>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</si>
  <si>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</si>
  <si>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</si>
  <si>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</si>
  <si>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</si>
  <si>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</si>
  <si>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</si>
  <si>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</si>
  <si>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</si>
  <si>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</si>
  <si>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</si>
  <si>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</si>
  <si>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</si>
  <si>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</si>
  <si>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</si>
  <si>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</si>
  <si>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</si>
  <si>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</si>
  <si>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</si>
  <si>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</si>
  <si>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</si>
  <si>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</si>
  <si>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</si>
  <si>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</si>
  <si>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</si>
  <si>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</si>
  <si>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</si>
  <si>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</si>
  <si>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</si>
  <si>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</si>
  <si>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</si>
  <si>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</si>
  <si>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</si>
  <si>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</si>
  <si>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</si>
  <si>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</si>
  <si>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</si>
  <si>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</si>
  <si>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</si>
  <si>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</si>
  <si>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</si>
  <si>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</si>
  <si>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</si>
  <si>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</si>
  <si>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</si>
  <si>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</si>
  <si>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</si>
  <si>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</si>
  <si>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</si>
  <si>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</si>
  <si>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</si>
  <si>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</si>
  <si>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</si>
  <si>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</si>
  <si>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</si>
  <si>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</si>
  <si>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</si>
  <si>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</si>
  <si>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</si>
  <si>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</si>
  <si>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</si>
  <si>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</si>
  <si>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</si>
  <si>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</si>
  <si>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</si>
  <si>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</si>
  <si>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</si>
  <si>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</si>
  <si>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</si>
  <si>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</si>
  <si>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</si>
  <si>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</si>
  <si>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</si>
  <si>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</si>
  <si>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</si>
  <si>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</si>
  <si>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</si>
  <si>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</si>
  <si>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</si>
  <si>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</si>
  <si>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</si>
  <si>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</si>
  <si>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</si>
  <si>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</si>
  <si>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</si>
  <si>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</si>
  <si>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</si>
  <si>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</si>
  <si>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</si>
  <si>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</si>
  <si>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</si>
  <si>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</si>
  <si>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</si>
  <si>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</si>
  <si>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</si>
  <si>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</si>
  <si>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</si>
  <si>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</si>
  <si>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</si>
  <si>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</si>
  <si>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</si>
  <si>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</si>
  <si>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</si>
  <si>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</si>
  <si>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</si>
  <si>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</si>
  <si>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</si>
  <si>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</si>
  <si>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</si>
  <si>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</si>
  <si>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</si>
  <si>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</si>
  <si>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</si>
  <si>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</si>
  <si>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</si>
  <si>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</si>
  <si>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</si>
  <si>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</si>
  <si>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</si>
  <si>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</si>
  <si>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</si>
  <si>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</si>
  <si>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</si>
  <si>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</si>
  <si>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</si>
  <si>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</si>
  <si>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</si>
  <si>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</si>
  <si>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</si>
  <si>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</si>
  <si>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</si>
  <si>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</si>
  <si>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</si>
  <si>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</si>
  <si>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</si>
  <si>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</si>
  <si>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</si>
  <si>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</si>
  <si>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</si>
  <si>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</si>
  <si>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</si>
  <si>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</si>
  <si>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</si>
  <si>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</si>
  <si>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</si>
  <si>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</si>
  <si>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</si>
  <si>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</si>
  <si>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</si>
  <si>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</si>
  <si>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</si>
  <si>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</si>
  <si>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</si>
  <si>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</si>
  <si>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</si>
  <si>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</si>
  <si>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</si>
  <si>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</si>
  <si>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</si>
  <si>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</si>
  <si>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</si>
  <si>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</si>
  <si>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</si>
  <si>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</si>
  <si>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</si>
  <si>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</si>
  <si>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</si>
  <si>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</si>
  <si>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</si>
  <si>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</si>
  <si>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</si>
  <si>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</si>
  <si>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</si>
  <si>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</si>
  <si>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</si>
  <si>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</si>
  <si>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</si>
  <si>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</si>
  <si>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</si>
  <si>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</si>
  <si>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</si>
  <si>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</si>
  <si>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</si>
  <si>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</si>
  <si>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</si>
  <si>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</si>
  <si>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</si>
  <si>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</si>
  <si>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</si>
  <si>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</si>
  <si>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</si>
  <si>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</si>
  <si>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</si>
  <si>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</si>
  <si>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</si>
  <si>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</si>
  <si>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</si>
  <si>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</si>
  <si>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</si>
  <si>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</si>
  <si>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</si>
  <si>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</si>
  <si>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</si>
  <si>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</si>
  <si>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</si>
  <si>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</si>
  <si>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</si>
  <si>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</si>
  <si>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</si>
  <si>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</si>
  <si>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</si>
  <si>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</si>
  <si>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</si>
  <si>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</si>
  <si>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</si>
  <si>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</si>
  <si>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</si>
  <si>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</si>
  <si>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</si>
  <si>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</si>
  <si>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</si>
  <si>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</si>
  <si>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</si>
  <si>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</si>
  <si>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</si>
  <si>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</si>
  <si>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</si>
  <si>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</si>
  <si>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</si>
  <si>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</si>
  <si>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</si>
  <si>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</si>
  <si>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</si>
  <si>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</si>
  <si>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</si>
  <si>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</si>
  <si>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</si>
  <si>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</si>
  <si>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</si>
  <si>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</si>
  <si>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</si>
  <si>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</si>
  <si>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</si>
  <si>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</si>
  <si>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</si>
  <si>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</si>
  <si>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</si>
  <si>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</si>
  <si>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</si>
  <si>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</si>
  <si>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</si>
  <si>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</si>
  <si>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</si>
  <si>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</si>
  <si>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</si>
  <si>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</si>
  <si>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</si>
  <si>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</si>
  <si>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</si>
  <si>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</si>
  <si>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</si>
  <si>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</si>
  <si>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</si>
  <si>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</si>
  <si>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</si>
  <si>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</si>
  <si>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</si>
  <si>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</si>
  <si>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</si>
  <si>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</si>
  <si>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</si>
  <si>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</si>
  <si>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</si>
  <si>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</si>
  <si>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</si>
  <si>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</si>
  <si>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</si>
  <si>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</si>
  <si>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</si>
  <si>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</si>
  <si>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</si>
  <si>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</si>
  <si>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</si>
  <si>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</si>
  <si>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</si>
  <si>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</si>
  <si>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</si>
  <si>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</si>
  <si>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</si>
  <si>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</si>
  <si>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</si>
  <si>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</si>
  <si>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</si>
  <si>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</si>
  <si>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</si>
  <si>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</si>
  <si>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</si>
  <si>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</si>
  <si>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</si>
  <si>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</si>
  <si>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</si>
  <si>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</si>
  <si>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</si>
  <si>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</si>
  <si>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</si>
  <si>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</si>
  <si>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</si>
  <si>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</si>
  <si>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</si>
  <si>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</si>
  <si>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</si>
  <si>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</si>
  <si>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</si>
  <si>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</si>
  <si>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</si>
  <si>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</si>
  <si>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</si>
  <si>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</si>
  <si>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</si>
  <si>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</si>
  <si>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</si>
  <si>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</si>
  <si>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</si>
  <si>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</si>
  <si>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</si>
  <si>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</si>
  <si>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</si>
  <si>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</si>
  <si>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</si>
  <si>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</si>
  <si>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</si>
  <si>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</si>
  <si>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</si>
  <si>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</si>
  <si>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</si>
  <si>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</si>
  <si>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</si>
  <si>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</si>
  <si>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</si>
  <si>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</si>
  <si>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</si>
  <si>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</si>
  <si>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</si>
  <si>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</si>
  <si>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</si>
  <si>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</si>
  <si>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</si>
  <si>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</si>
  <si>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</si>
  <si>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</si>
  <si>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</si>
  <si>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</si>
  <si>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</si>
  <si>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</si>
  <si>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</si>
  <si>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</si>
  <si>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</si>
  <si>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</si>
  <si>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</si>
  <si>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</si>
  <si>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</si>
  <si>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</si>
  <si>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</si>
  <si>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</si>
  <si>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</si>
  <si>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</si>
  <si>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</si>
  <si>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</si>
  <si>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</si>
  <si>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</si>
  <si>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</si>
  <si>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</si>
  <si>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</si>
  <si>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</si>
  <si>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</si>
  <si>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</si>
  <si>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</si>
  <si>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</si>
  <si>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</si>
  <si>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</si>
  <si>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</si>
  <si>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</si>
  <si>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</si>
  <si>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</si>
  <si>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</si>
  <si>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</si>
  <si>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</si>
  <si>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</si>
  <si>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</si>
  <si>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</si>
  <si>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</si>
  <si>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</si>
  <si>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</si>
  <si>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</si>
  <si>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</si>
  <si>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</si>
  <si>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</si>
  <si>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</si>
  <si>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</si>
  <si>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</si>
  <si>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</si>
  <si>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</si>
  <si>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</si>
  <si>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</si>
  <si>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</si>
  <si>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</si>
  <si>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</si>
  <si>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</si>
  <si>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</si>
  <si>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</si>
  <si>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</si>
  <si>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</si>
  <si>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</si>
  <si>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</si>
  <si>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</si>
  <si>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</si>
  <si>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</si>
  <si>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</si>
  <si>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</si>
  <si>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</si>
  <si>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</si>
  <si>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</si>
  <si>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</si>
  <si>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</si>
  <si>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</si>
  <si>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</si>
  <si>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</si>
  <si>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</si>
  <si>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</si>
  <si>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</si>
  <si>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</si>
  <si>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</si>
  <si>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</si>
  <si>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</si>
  <si>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</si>
  <si>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</si>
  <si>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</si>
  <si>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</si>
  <si>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</si>
  <si>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</si>
  <si>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</si>
  <si>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</si>
  <si>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</si>
  <si>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</si>
  <si>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</si>
  <si>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</si>
  <si>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</si>
  <si>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</si>
  <si>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</si>
  <si>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</si>
  <si>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</si>
  <si>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</si>
  <si>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</si>
  <si>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</si>
  <si>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</si>
  <si>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</si>
  <si>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</si>
  <si>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</si>
  <si>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</si>
  <si>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</si>
  <si>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</si>
  <si>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</si>
  <si>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</si>
  <si>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</si>
  <si>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</si>
  <si>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</si>
  <si>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</si>
  <si>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</si>
  <si>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</si>
  <si>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</si>
  <si>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</si>
  <si>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</si>
  <si>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</si>
  <si>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</si>
  <si>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</si>
  <si>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</si>
  <si>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</si>
  <si>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</si>
  <si>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</si>
  <si>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</si>
  <si>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</si>
  <si>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</si>
  <si>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</si>
  <si>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</si>
  <si>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</si>
  <si>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</si>
  <si>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</si>
  <si>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</si>
  <si>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</si>
  <si>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</si>
  <si>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</si>
  <si>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</si>
  <si>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</si>
  <si>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</si>
  <si>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</si>
  <si>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</si>
  <si>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</si>
  <si>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</si>
  <si>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</si>
  <si>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</si>
  <si>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</si>
  <si>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</si>
  <si>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</si>
  <si>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</si>
  <si>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</si>
  <si>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</si>
  <si>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</si>
  <si>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</si>
  <si>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</si>
  <si>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</si>
  <si>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</si>
  <si>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</si>
  <si>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</si>
  <si>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</si>
  <si>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</si>
  <si>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</si>
  <si>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</si>
  <si>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</si>
  <si>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</si>
  <si>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</si>
  <si>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</si>
  <si>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</si>
  <si>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</si>
  <si>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</si>
  <si>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</si>
  <si>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</si>
  <si>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</si>
  <si>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</si>
  <si>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</si>
  <si>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</si>
  <si>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</si>
  <si>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</si>
  <si>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</si>
  <si>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</si>
  <si>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</si>
  <si>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</si>
  <si>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</si>
  <si>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</si>
  <si>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</si>
  <si>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</si>
  <si>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</si>
  <si>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</si>
  <si>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</si>
  <si>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</si>
  <si>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</si>
  <si>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</si>
  <si>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</si>
  <si>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</si>
  <si>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</si>
  <si>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</si>
  <si>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</si>
  <si>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</si>
  <si>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</si>
  <si>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</si>
  <si>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</si>
  <si>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</si>
  <si>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</si>
  <si>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</si>
  <si>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</si>
  <si>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</si>
  <si>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</si>
  <si>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</si>
  <si>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</si>
  <si>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</si>
  <si>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</si>
  <si>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</si>
  <si>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</si>
  <si>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</si>
  <si>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</si>
  <si>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</si>
  <si>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</si>
  <si>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</si>
  <si>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</si>
  <si>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</si>
  <si>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</si>
  <si>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</si>
  <si>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</si>
  <si>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</si>
  <si>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</si>
  <si>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</si>
  <si>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</si>
  <si>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</si>
  <si>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</si>
  <si>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</si>
  <si>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</si>
  <si>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</si>
  <si>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</si>
  <si>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</si>
  <si>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</si>
  <si>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</si>
  <si>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</si>
  <si>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</si>
  <si>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</si>
  <si>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</si>
  <si>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</si>
  <si>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</si>
  <si>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</si>
  <si>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</si>
  <si>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</si>
  <si>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</si>
  <si>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</si>
  <si>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</si>
  <si>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</si>
  <si>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</si>
  <si>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</si>
  <si>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</si>
  <si>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</si>
  <si>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</si>
  <si>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</si>
  <si>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</si>
  <si>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</si>
  <si>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</si>
  <si>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</si>
  <si>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</si>
  <si>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</si>
  <si>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</si>
  <si>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</si>
  <si>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</si>
  <si>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</si>
  <si>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</si>
  <si>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</si>
  <si>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</si>
  <si>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</si>
  <si>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</si>
  <si>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</si>
  <si>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</si>
  <si>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</si>
  <si>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</si>
  <si>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</si>
  <si>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</si>
  <si>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</si>
  <si>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</si>
  <si>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</si>
  <si>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</si>
  <si>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</si>
  <si>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</si>
  <si>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</si>
  <si>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</si>
  <si>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</si>
  <si>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</si>
  <si>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</si>
  <si>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</si>
  <si>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</si>
  <si>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</si>
  <si>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</si>
  <si>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</si>
  <si>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</si>
  <si>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</si>
  <si>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</si>
  <si>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</si>
  <si>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</si>
  <si>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</si>
  <si>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</si>
  <si>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</si>
  <si>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</si>
  <si>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</si>
  <si>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</si>
  <si>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</si>
  <si>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</si>
  <si>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</si>
  <si>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</si>
  <si>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</si>
  <si>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</si>
  <si>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</si>
  <si>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</si>
  <si>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</si>
  <si>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</si>
  <si>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</si>
  <si>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</si>
  <si>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</si>
  <si>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</si>
  <si>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</si>
  <si>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</si>
  <si>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</si>
  <si>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</si>
  <si>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</si>
  <si>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</si>
  <si>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</si>
  <si>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</si>
  <si>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</si>
  <si>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</si>
  <si>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</si>
  <si>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</si>
  <si>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</si>
  <si>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</si>
  <si>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</si>
  <si>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</si>
  <si>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</si>
  <si>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</si>
  <si>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</si>
  <si>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</si>
  <si>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</si>
  <si>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</si>
  <si>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</si>
  <si>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</si>
  <si>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</si>
  <si>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</si>
  <si>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</si>
  <si>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</si>
  <si>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</si>
  <si>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</si>
  <si>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</si>
  <si>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</si>
  <si>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</si>
  <si>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</si>
  <si>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</si>
  <si>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</si>
  <si>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</si>
  <si>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</si>
  <si>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</si>
  <si>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</si>
  <si>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</si>
  <si>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</si>
  <si>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</si>
  <si>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</si>
  <si>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</si>
  <si>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</si>
  <si>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</si>
  <si>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</si>
  <si>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</si>
  <si>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</si>
  <si>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</si>
  <si>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</si>
  <si>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</si>
  <si>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</si>
  <si>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</si>
  <si>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</si>
  <si>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</si>
  <si>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</si>
  <si>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</si>
  <si>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</si>
  <si>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</si>
  <si>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</si>
  <si>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</si>
  <si>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</si>
  <si>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</si>
  <si>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</si>
  <si>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</si>
  <si>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</si>
  <si>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</si>
  <si>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</si>
  <si>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</si>
  <si>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</si>
  <si>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</si>
  <si>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</si>
  <si>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</si>
  <si>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</si>
  <si>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</si>
  <si>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</si>
  <si>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</si>
  <si>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</si>
  <si>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</si>
  <si>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</si>
  <si>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</si>
  <si>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</si>
  <si>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</si>
  <si>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</si>
  <si>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</si>
  <si>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</si>
  <si>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</si>
  <si>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</si>
  <si>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</si>
  <si>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</si>
  <si>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</si>
  <si>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</si>
  <si>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</si>
  <si>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</si>
  <si>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</si>
  <si>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</si>
  <si>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</si>
  <si>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</si>
  <si>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</si>
  <si>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</si>
  <si>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</si>
  <si>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</si>
  <si>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</si>
  <si>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</si>
  <si>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</si>
  <si>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</si>
  <si>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</si>
  <si>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</si>
  <si>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</si>
  <si>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</si>
  <si>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</si>
  <si>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</si>
  <si>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</si>
  <si>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</si>
  <si>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</si>
  <si>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</si>
  <si>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</si>
  <si>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</si>
  <si>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</si>
  <si>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</si>
  <si>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</si>
  <si>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</si>
  <si>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</si>
  <si>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</si>
  <si>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</si>
  <si>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</si>
  <si>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</si>
  <si>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</si>
  <si>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</si>
  <si>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</si>
  <si>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</si>
  <si>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</si>
  <si>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</si>
  <si>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</si>
  <si>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</si>
  <si>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</si>
  <si>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</si>
  <si>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</si>
  <si>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</si>
  <si>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</si>
  <si>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</si>
  <si>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</si>
  <si>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</si>
  <si>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</si>
  <si>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</si>
  <si>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</si>
  <si>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</si>
  <si>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</si>
  <si>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</si>
  <si>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</si>
  <si>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</si>
  <si>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</si>
  <si>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</si>
  <si>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</si>
  <si>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</si>
  <si>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</si>
  <si>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</si>
  <si>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</si>
  <si>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</si>
  <si>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</si>
  <si>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</si>
  <si>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</si>
  <si>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</si>
  <si>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</si>
  <si>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</si>
  <si>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</si>
  <si>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</si>
  <si>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</si>
  <si>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</si>
  <si>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</si>
  <si>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</si>
  <si>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</si>
  <si>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</si>
  <si>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</si>
  <si>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</si>
  <si>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</si>
  <si>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</si>
  <si>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</si>
  <si>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</si>
  <si>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</si>
  <si>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</si>
  <si>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</si>
  <si>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</si>
  <si>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</si>
  <si>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</si>
  <si>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</si>
  <si>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</si>
  <si>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</si>
  <si>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</si>
  <si>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</si>
  <si>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</si>
  <si>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</si>
  <si>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</si>
  <si>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</si>
  <si>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</si>
  <si>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</si>
  <si>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</si>
  <si>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</si>
  <si>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</si>
  <si>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</si>
  <si>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</si>
  <si>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</si>
  <si>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</si>
  <si>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</si>
  <si>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</si>
  <si>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</si>
  <si>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</si>
  <si>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</si>
  <si>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</si>
  <si>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</si>
  <si>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</si>
  <si>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</si>
  <si>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</si>
  <si>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</si>
  <si>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</si>
  <si>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</si>
  <si>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</si>
  <si>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</si>
  <si>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</si>
  <si>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</si>
  <si>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</si>
  <si>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</si>
  <si>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</si>
  <si>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</si>
  <si>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</si>
  <si>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</si>
  <si>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</si>
  <si>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</si>
  <si>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</si>
  <si>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</si>
  <si>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</si>
  <si>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</si>
  <si>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</si>
  <si>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</si>
  <si>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</si>
  <si>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</si>
  <si>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</si>
  <si>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</si>
  <si>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</si>
  <si>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</si>
  <si>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</si>
  <si>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</si>
  <si>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</si>
  <si>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</si>
  <si>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</si>
  <si>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</si>
  <si>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</si>
  <si>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</si>
  <si>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</si>
  <si>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</si>
  <si>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</si>
  <si>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</si>
  <si>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</si>
  <si>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</si>
  <si>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</si>
  <si>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</si>
  <si>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</si>
  <si>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</si>
  <si>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</si>
  <si>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</si>
  <si>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</si>
  <si>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</si>
  <si>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</si>
  <si>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</si>
  <si>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</si>
  <si>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</si>
  <si>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</si>
  <si>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</si>
  <si>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</si>
  <si>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</si>
  <si>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</si>
  <si>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</si>
  <si>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</si>
  <si>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</si>
  <si>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</si>
  <si>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</si>
  <si>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</si>
  <si>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</si>
  <si>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</si>
  <si>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</si>
  <si>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</si>
  <si>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</si>
  <si>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</si>
  <si>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</si>
  <si>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</si>
  <si>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</si>
  <si>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</si>
  <si>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</si>
  <si>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</si>
  <si>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</si>
  <si>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</si>
  <si>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</si>
  <si>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</si>
  <si>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</si>
  <si>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</si>
  <si>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</si>
  <si>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</si>
  <si>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</si>
  <si>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</si>
  <si>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</si>
  <si>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</si>
  <si>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</si>
  <si>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</si>
  <si>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</si>
  <si>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</si>
  <si>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</si>
  <si>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</si>
  <si>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</si>
  <si>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</si>
  <si>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</si>
  <si>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</si>
  <si>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</si>
  <si>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</si>
  <si>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</si>
  <si>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</si>
  <si>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</si>
  <si>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</si>
  <si>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</si>
  <si>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</si>
  <si>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</si>
  <si>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</si>
  <si>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</si>
  <si>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</si>
  <si>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</si>
  <si>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</si>
  <si>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</si>
  <si>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</si>
  <si>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</si>
  <si>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</si>
  <si>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</si>
  <si>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</si>
  <si>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</si>
  <si>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</si>
  <si>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</si>
  <si>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</si>
  <si>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</si>
  <si>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</si>
  <si>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</si>
  <si>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</si>
  <si>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</si>
  <si>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</si>
  <si>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</si>
  <si>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</si>
  <si>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</si>
  <si>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</si>
  <si>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</si>
  <si>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</si>
  <si>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</si>
  <si>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</si>
  <si>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</si>
  <si>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</si>
  <si>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</si>
  <si>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</si>
  <si>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</si>
  <si>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</si>
  <si>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</si>
  <si>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</si>
  <si>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</si>
  <si>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</si>
  <si>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</si>
  <si>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</si>
  <si>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</si>
  <si>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</si>
  <si>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</si>
  <si>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</si>
  <si>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</si>
  <si>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</si>
  <si>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</si>
  <si>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</si>
  <si>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</si>
  <si>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</si>
  <si>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</si>
  <si>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</si>
  <si>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</si>
  <si>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</si>
  <si>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</si>
  <si>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</si>
  <si>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</si>
  <si>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</si>
  <si>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</si>
  <si>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</si>
  <si>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</si>
  <si>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</si>
  <si>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</si>
  <si>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</si>
  <si>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</si>
  <si>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</si>
  <si>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</si>
  <si>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</si>
  <si>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</si>
  <si>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</si>
  <si>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</si>
  <si>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</si>
  <si>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</si>
  <si>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</si>
  <si>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</si>
  <si>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</si>
  <si>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</si>
  <si>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</si>
  <si>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</si>
  <si>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</si>
  <si>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</si>
  <si>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</si>
  <si>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</si>
  <si>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</si>
  <si>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</si>
  <si>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</si>
  <si>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</si>
  <si>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</si>
  <si>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</si>
  <si>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</si>
  <si>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</si>
  <si>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</si>
  <si>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</si>
  <si>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</si>
  <si>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</si>
  <si>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</si>
  <si>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</si>
  <si>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</si>
  <si>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</si>
  <si>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</si>
  <si>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</si>
  <si>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</si>
  <si>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</si>
  <si>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</si>
  <si>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</si>
  <si>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</si>
  <si>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</si>
  <si>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</si>
  <si>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</si>
  <si>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</si>
  <si>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</si>
  <si>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</si>
  <si>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</si>
  <si>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</si>
  <si>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</si>
  <si>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</si>
  <si>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</si>
  <si>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</si>
  <si>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</si>
  <si>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</si>
  <si>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</si>
  <si>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</si>
  <si>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</si>
  <si>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</si>
  <si>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</si>
  <si>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</si>
  <si>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</si>
  <si>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</si>
  <si>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</si>
  <si>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</si>
  <si>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</si>
  <si>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</si>
  <si>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</si>
  <si>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</si>
  <si>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</si>
  <si>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</si>
  <si>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</si>
  <si>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</si>
  <si>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</si>
  <si>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</si>
  <si>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</si>
  <si>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</si>
  <si>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</si>
  <si>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</si>
  <si>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</si>
  <si>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</si>
  <si>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</si>
  <si>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</si>
  <si>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</si>
  <si>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</si>
  <si>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</si>
  <si>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</si>
  <si>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</si>
  <si>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</si>
  <si>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</si>
  <si>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</si>
  <si>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</si>
  <si>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</si>
  <si>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</si>
  <si>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</si>
  <si>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</si>
  <si>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</si>
  <si>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</si>
  <si>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</si>
  <si>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</si>
  <si>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</si>
  <si>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</si>
  <si>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</si>
  <si>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</si>
  <si>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</si>
  <si>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</si>
  <si>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</si>
  <si>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</si>
  <si>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</si>
  <si>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</si>
  <si>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</si>
  <si>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</si>
  <si>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</si>
  <si>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</si>
  <si>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</si>
  <si>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</si>
  <si>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</si>
  <si>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</si>
  <si>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</si>
  <si>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</si>
  <si>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</si>
  <si>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</si>
  <si>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</si>
  <si>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</si>
  <si>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</si>
  <si>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</si>
  <si>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</si>
  <si>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</si>
  <si>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</si>
  <si>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</si>
  <si>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</si>
  <si>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</si>
  <si>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</si>
  <si>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</si>
  <si>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</si>
  <si>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</si>
  <si>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</si>
  <si>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</si>
  <si>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</si>
  <si>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</si>
  <si>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</si>
  <si>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</si>
  <si>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</si>
  <si>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</si>
  <si>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</si>
  <si>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</si>
  <si>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</si>
  <si>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</si>
  <si>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</si>
  <si>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</si>
  <si>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</si>
  <si>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</si>
  <si>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</si>
  <si>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</si>
  <si>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</si>
  <si>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</si>
  <si>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</si>
  <si>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</si>
  <si>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</si>
  <si>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</si>
  <si>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</si>
  <si>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</si>
  <si>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</si>
  <si>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</si>
  <si>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</si>
  <si>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</si>
  <si>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</si>
  <si>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</si>
  <si>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</si>
  <si>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</si>
  <si>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</si>
  <si>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</si>
  <si>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</si>
  <si>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</si>
  <si>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</si>
  <si>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</si>
  <si>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</si>
  <si>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</si>
  <si>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</si>
  <si>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</si>
  <si>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</si>
  <si>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</si>
  <si>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</si>
  <si>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</si>
  <si>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</si>
  <si>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</si>
  <si>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</si>
  <si>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</si>
  <si>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</si>
  <si>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</si>
  <si>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</si>
  <si>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</si>
  <si>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</si>
  <si>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</si>
  <si>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</si>
  <si>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</si>
  <si>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</si>
  <si>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</si>
  <si>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</si>
  <si>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</si>
  <si>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</si>
  <si>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</si>
  <si>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</si>
  <si>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</si>
  <si>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</si>
  <si>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</si>
  <si>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</si>
  <si>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</si>
  <si>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</si>
  <si>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</si>
  <si>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</si>
  <si>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</si>
  <si>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</si>
  <si>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</si>
  <si>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</si>
  <si>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</si>
  <si>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</si>
  <si>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</si>
  <si>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</si>
  <si>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</si>
  <si>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</si>
  <si>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</si>
  <si>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</si>
  <si>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</si>
  <si>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</si>
  <si>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</si>
  <si>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</si>
  <si>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</si>
  <si>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</si>
  <si>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</si>
  <si>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</si>
  <si>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</si>
  <si>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</si>
  <si>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</si>
  <si>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</si>
  <si>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</si>
  <si>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</si>
  <si>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</si>
  <si>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</si>
  <si>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</si>
  <si>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</si>
  <si>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</si>
  <si>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</si>
  <si>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</si>
  <si>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</si>
  <si>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</si>
  <si>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</si>
  <si>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</si>
  <si>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</si>
  <si>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</si>
  <si>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</si>
  <si>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</si>
  <si>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</si>
  <si>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</si>
  <si>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</si>
  <si>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</si>
  <si>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</si>
  <si>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</si>
  <si>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</si>
  <si>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</si>
  <si>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</si>
  <si>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</si>
  <si>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</si>
  <si>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</si>
  <si>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</si>
  <si>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</si>
  <si>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</si>
  <si>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</si>
  <si>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</si>
  <si>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</si>
  <si>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</si>
  <si>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</si>
  <si>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</si>
  <si>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</si>
  <si>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</si>
  <si>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</si>
  <si>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</si>
  <si>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</si>
  <si>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</si>
  <si>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</si>
  <si>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</si>
  <si>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</si>
  <si>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</si>
  <si>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</si>
  <si>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</si>
  <si>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</si>
  <si>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</si>
  <si>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</si>
  <si>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</si>
  <si>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</si>
  <si>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</si>
  <si>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</si>
  <si>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</si>
  <si>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</si>
  <si>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</si>
  <si>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</si>
  <si>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</si>
  <si>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</si>
  <si>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</si>
  <si>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</si>
  <si>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</si>
  <si>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</si>
  <si>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</si>
  <si>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</si>
  <si>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</si>
  <si>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</si>
  <si>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</si>
  <si>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</si>
  <si>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</si>
  <si>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</si>
  <si>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</si>
  <si>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</si>
  <si>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</si>
  <si>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</si>
  <si>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</si>
  <si>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</si>
  <si>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</si>
  <si>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</si>
  <si>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</si>
  <si>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</si>
  <si>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</si>
  <si>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</si>
  <si>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</si>
  <si>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</si>
  <si>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</si>
  <si>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</si>
  <si>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</si>
  <si>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</si>
  <si>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</si>
  <si>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</si>
  <si>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</si>
  <si>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</si>
  <si>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</si>
  <si>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</si>
  <si>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</si>
  <si>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</si>
  <si>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</si>
  <si>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</si>
  <si>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</si>
  <si>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</si>
  <si>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</si>
  <si>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</si>
  <si>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</si>
  <si>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</si>
  <si>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</si>
  <si>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</si>
  <si>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</si>
  <si>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</si>
  <si>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</si>
  <si>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</si>
  <si>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</si>
  <si>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</si>
  <si>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</si>
  <si>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</si>
  <si>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</si>
  <si>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</si>
  <si>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</si>
  <si>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</si>
  <si>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</si>
  <si>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</si>
  <si>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</si>
  <si>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</si>
  <si>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</si>
  <si>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</si>
  <si>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</si>
  <si>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</si>
  <si>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</si>
  <si>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</si>
  <si>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</si>
  <si>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</si>
  <si>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</si>
  <si>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</si>
  <si>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</si>
  <si>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</si>
  <si>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</si>
  <si>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</si>
  <si>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</si>
  <si>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</si>
  <si>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</si>
  <si>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</si>
  <si>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</si>
  <si>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</si>
  <si>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</si>
  <si>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</si>
  <si>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</si>
  <si>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</si>
  <si>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</si>
  <si>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</si>
  <si>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</si>
  <si>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</si>
  <si>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</si>
  <si>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</si>
  <si>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</si>
  <si>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</si>
  <si>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</si>
  <si>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</si>
  <si>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</si>
  <si>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</si>
  <si>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</si>
  <si>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</si>
  <si>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</si>
  <si>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</si>
  <si>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</si>
  <si>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</si>
  <si>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</si>
  <si>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</si>
  <si>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</si>
  <si>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</si>
  <si>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</si>
  <si>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</si>
  <si>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</si>
  <si>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</si>
  <si>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</si>
  <si>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</si>
  <si>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</si>
  <si>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</si>
  <si>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</si>
  <si>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</si>
  <si>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</si>
  <si>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</si>
  <si>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</si>
  <si>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</si>
  <si>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</si>
  <si>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</si>
  <si>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</si>
  <si>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</si>
  <si>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</si>
  <si>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</si>
  <si>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</si>
  <si>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</si>
  <si>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</si>
  <si>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</si>
  <si>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</si>
  <si>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</si>
  <si>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</si>
  <si>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</si>
  <si>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</si>
  <si>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</si>
  <si>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</si>
  <si>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</si>
  <si>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</si>
  <si>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</si>
  <si>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</si>
  <si>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</si>
  <si>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</si>
  <si>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</si>
  <si>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</si>
  <si>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</si>
  <si>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</si>
  <si>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</si>
  <si>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</si>
  <si>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</si>
  <si>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</si>
  <si>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</si>
  <si>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</si>
  <si>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</si>
  <si>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</si>
  <si>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</si>
  <si>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</si>
  <si>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</si>
  <si>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</si>
  <si>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</si>
  <si>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</si>
  <si>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</si>
  <si>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</si>
  <si>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</si>
  <si>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</si>
  <si>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</si>
  <si>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</si>
  <si>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</si>
  <si>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</si>
  <si>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</si>
  <si>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</si>
  <si>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</si>
  <si>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</si>
  <si>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</si>
  <si>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</si>
  <si>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</si>
  <si>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</si>
  <si>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</si>
  <si>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</si>
  <si>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</si>
  <si>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</si>
  <si>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</si>
  <si>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</si>
  <si>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</si>
  <si>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</si>
  <si>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</si>
  <si>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</si>
  <si>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</si>
  <si>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</si>
  <si>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</si>
  <si>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</si>
  <si>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</si>
  <si>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</si>
  <si>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</si>
  <si>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</si>
  <si>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</si>
  <si>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</si>
  <si>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</si>
  <si>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</si>
  <si>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</si>
  <si>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</si>
  <si>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</si>
  <si>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</si>
  <si>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</si>
  <si>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</si>
  <si>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</si>
  <si>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</si>
  <si>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</si>
  <si>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</si>
  <si>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</si>
  <si>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</si>
  <si>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</si>
  <si>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</si>
  <si>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</si>
  <si>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</si>
  <si>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</si>
  <si>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</si>
  <si>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</si>
  <si>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</si>
  <si>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</si>
  <si>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</si>
  <si>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</si>
  <si>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</si>
  <si>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</si>
  <si>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</si>
  <si>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</si>
  <si>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</si>
  <si>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</si>
  <si>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</si>
  <si>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</si>
  <si>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</si>
  <si>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</si>
  <si>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</si>
  <si>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</si>
  <si>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</si>
  <si>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</si>
  <si>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</si>
  <si>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</si>
  <si>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</si>
  <si>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</si>
  <si>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</si>
  <si>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</si>
  <si>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</si>
  <si>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</si>
  <si>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</si>
  <si>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</si>
  <si>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</si>
  <si>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</si>
  <si>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</si>
  <si>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</si>
  <si>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</si>
  <si>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</si>
  <si>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</si>
  <si>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</si>
  <si>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</si>
  <si>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</si>
  <si>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</si>
  <si>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</si>
  <si>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</si>
  <si>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</si>
  <si>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</si>
  <si>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</si>
  <si>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</si>
  <si>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</si>
  <si>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</si>
  <si>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</si>
  <si>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</si>
  <si>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</si>
  <si>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</si>
  <si>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</si>
  <si>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</si>
  <si>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</si>
  <si>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</si>
  <si>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</si>
  <si>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</si>
  <si>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</si>
  <si>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</si>
  <si>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</si>
  <si>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</si>
  <si>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</si>
  <si>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</si>
  <si>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</si>
  <si>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</si>
  <si>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</si>
  <si>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</si>
  <si>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</si>
  <si>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</si>
  <si>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</si>
  <si>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</si>
  <si>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</si>
  <si>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</si>
  <si>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</si>
  <si>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</si>
  <si>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</si>
  <si>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</si>
  <si>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</si>
  <si>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</si>
  <si>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</si>
  <si>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</si>
  <si>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</si>
  <si>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</si>
  <si>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</si>
  <si>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</si>
  <si>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</si>
  <si>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</si>
  <si>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</si>
  <si>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</si>
  <si>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</si>
  <si>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</si>
  <si>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</si>
  <si>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</si>
  <si>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</si>
  <si>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</si>
  <si>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</si>
  <si>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</si>
  <si>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</si>
  <si>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</si>
  <si>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</si>
  <si>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</si>
  <si>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</si>
  <si>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</si>
  <si>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</si>
  <si>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</si>
  <si>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</si>
  <si>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</si>
  <si>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</si>
  <si>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</si>
  <si>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</si>
  <si>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</si>
  <si>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</si>
  <si>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</si>
  <si>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</si>
  <si>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</si>
  <si>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</si>
  <si>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</si>
  <si>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</si>
  <si>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</si>
  <si>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</si>
  <si>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</si>
  <si>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</si>
  <si>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</si>
  <si>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</si>
  <si>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</si>
  <si>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</si>
  <si>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</si>
  <si>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</si>
  <si>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</si>
  <si>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</si>
  <si>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</si>
  <si>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</si>
  <si>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</si>
  <si>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</si>
  <si>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</si>
  <si>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</si>
  <si>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</si>
  <si>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</si>
  <si>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</si>
  <si>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</si>
  <si>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</si>
  <si>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</si>
  <si>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</si>
  <si>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</si>
  <si>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</si>
  <si>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</si>
  <si>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</si>
  <si>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</si>
  <si>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</si>
  <si>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</si>
  <si>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</si>
  <si>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</si>
  <si>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</si>
  <si>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</si>
  <si>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</si>
  <si>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</si>
  <si>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</si>
  <si>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</si>
  <si>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</si>
  <si>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</si>
  <si>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</si>
  <si>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</si>
  <si>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</si>
  <si>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</si>
  <si>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</si>
  <si>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</si>
  <si>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</si>
  <si>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</si>
  <si>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</si>
  <si>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</si>
  <si>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</si>
  <si>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</si>
  <si>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</si>
  <si>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</si>
  <si>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</si>
  <si>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</si>
  <si>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</si>
  <si>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</si>
  <si>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</si>
  <si>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</si>
  <si>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</si>
  <si>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</si>
  <si>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</si>
  <si>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</si>
  <si>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</si>
  <si>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</si>
  <si>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</si>
  <si>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</si>
  <si>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</si>
  <si>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</si>
  <si>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</si>
  <si>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</si>
  <si>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</si>
  <si>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</si>
  <si>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</si>
  <si>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</si>
  <si>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</si>
  <si>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</si>
  <si>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</si>
  <si>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</si>
  <si>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</si>
  <si>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</si>
  <si>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</si>
  <si>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</si>
  <si>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</si>
  <si>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</si>
  <si>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</si>
  <si>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</si>
  <si>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</si>
  <si>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</si>
  <si>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</si>
  <si>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</si>
  <si>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</si>
  <si>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</si>
  <si>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</si>
  <si>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</si>
  <si>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</si>
  <si>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</si>
  <si>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</si>
  <si>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</si>
  <si>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</si>
  <si>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</si>
  <si>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</si>
  <si>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</si>
  <si>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</si>
  <si>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</si>
  <si>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</si>
  <si>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</si>
  <si>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</si>
  <si>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</si>
  <si>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</si>
  <si>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</si>
  <si>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</si>
  <si>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</si>
  <si>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</si>
  <si>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</si>
  <si>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</si>
  <si>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</si>
  <si>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</si>
  <si>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</si>
  <si>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</si>
  <si>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</si>
  <si>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</si>
  <si>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</si>
  <si>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</si>
  <si>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</si>
  <si>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</si>
  <si>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</si>
  <si>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</si>
  <si>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</si>
  <si>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</si>
  <si>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</si>
  <si>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</si>
  <si>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</si>
  <si>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</si>
  <si>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</si>
  <si>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</si>
  <si>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</si>
  <si>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</si>
  <si>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</si>
  <si>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</si>
  <si>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</si>
  <si>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</si>
  <si>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</si>
  <si>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</si>
  <si>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</si>
  <si>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</si>
  <si>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</si>
  <si>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</si>
  <si>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</si>
  <si>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</si>
  <si>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</si>
  <si>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</si>
  <si>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</si>
  <si>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</si>
  <si>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</si>
  <si>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</si>
  <si>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</si>
  <si>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</si>
  <si>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</si>
  <si>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</si>
  <si>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</si>
  <si>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</si>
  <si>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</si>
  <si>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</si>
  <si>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</si>
  <si>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</si>
  <si>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</si>
  <si>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</si>
  <si>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</si>
  <si>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</si>
  <si>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</si>
  <si>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</si>
  <si>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</si>
  <si>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</si>
  <si>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</si>
  <si>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</si>
  <si>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</si>
  <si>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</si>
  <si>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</si>
  <si>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</si>
  <si>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</si>
  <si>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</si>
  <si>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</si>
  <si>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</si>
  <si>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</si>
  <si>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</si>
  <si>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</si>
  <si>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</si>
  <si>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</si>
  <si>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</si>
  <si>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</si>
  <si>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</si>
  <si>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</si>
  <si>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</si>
  <si>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</si>
  <si>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</si>
  <si>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</si>
  <si>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</si>
  <si>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</si>
  <si>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</si>
  <si>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</si>
  <si>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</si>
  <si>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</si>
  <si>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</si>
  <si>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</si>
  <si>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</si>
  <si>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</si>
  <si>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</si>
  <si>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</si>
  <si>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</si>
  <si>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</si>
  <si>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</si>
  <si>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</si>
  <si>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</si>
  <si>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</si>
  <si>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</si>
  <si>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</si>
  <si>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</si>
  <si>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</si>
  <si>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</si>
  <si>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</si>
  <si>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</si>
  <si>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</si>
  <si>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</si>
  <si>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</si>
  <si>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</si>
  <si>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</si>
  <si>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</si>
  <si>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</si>
  <si>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</si>
  <si>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</si>
  <si>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</si>
  <si>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</si>
  <si>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</si>
  <si>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</si>
  <si>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</si>
  <si>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</si>
  <si>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</si>
  <si>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</si>
  <si>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</si>
  <si>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</si>
  <si>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</si>
  <si>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</si>
  <si>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</si>
  <si>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</si>
  <si>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</si>
  <si>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</si>
  <si>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</si>
  <si>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</si>
  <si>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</si>
  <si>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</si>
  <si>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</si>
  <si>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</si>
  <si>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</si>
  <si>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</si>
  <si>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</si>
  <si>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</si>
  <si>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</si>
  <si>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</si>
  <si>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</si>
  <si>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</si>
  <si>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</si>
  <si>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</si>
  <si>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</si>
  <si>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</si>
  <si>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</si>
  <si>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</si>
  <si>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</si>
  <si>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</si>
  <si>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</si>
  <si>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</si>
  <si>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</si>
  <si>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</si>
  <si>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</si>
  <si>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</si>
  <si>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</si>
  <si>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</si>
  <si>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</si>
  <si>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</si>
  <si>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</si>
  <si>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</si>
  <si>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</si>
  <si>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</si>
  <si>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</si>
  <si>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</si>
  <si>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</si>
  <si>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</si>
  <si>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</si>
  <si>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</si>
  <si>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</si>
  <si>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</si>
  <si>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</si>
  <si>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</si>
  <si>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</si>
  <si>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</si>
  <si>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</si>
  <si>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</si>
  <si>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</si>
  <si>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</si>
  <si>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</si>
  <si>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</si>
  <si>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</si>
  <si>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</si>
  <si>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</si>
  <si>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</si>
  <si>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</si>
  <si>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</si>
  <si>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</si>
  <si>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</si>
  <si>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</si>
  <si>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</si>
  <si>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</si>
  <si>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</si>
  <si>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</si>
  <si>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</si>
  <si>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</si>
  <si>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</si>
  <si>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</si>
  <si>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</si>
  <si>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</si>
  <si>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</si>
  <si>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</si>
  <si>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</si>
  <si>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</si>
  <si>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</si>
  <si>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</si>
  <si>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</si>
  <si>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</si>
  <si>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</si>
  <si>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</si>
  <si>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</si>
  <si>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</si>
  <si>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</si>
  <si>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</si>
  <si>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</si>
  <si>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</si>
  <si>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</si>
  <si>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</si>
  <si>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</si>
  <si>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</si>
  <si>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</si>
  <si>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</si>
  <si>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</si>
  <si>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</si>
  <si>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</si>
  <si>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</si>
  <si>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</si>
  <si>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</si>
  <si>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</si>
  <si>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</si>
  <si>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</si>
  <si>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</si>
  <si>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</si>
  <si>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</si>
  <si>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</si>
  <si>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</si>
  <si>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</si>
  <si>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</si>
  <si>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</si>
  <si>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</si>
  <si>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</si>
  <si>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</si>
  <si>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</si>
  <si>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</si>
  <si>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</si>
  <si>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</si>
  <si>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</si>
  <si>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</si>
  <si>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</si>
  <si>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</si>
  <si>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</si>
  <si>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</si>
  <si>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</si>
  <si>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</si>
  <si>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</si>
  <si>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</si>
  <si>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</si>
  <si>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</si>
  <si>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</si>
  <si>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</si>
  <si>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</si>
  <si>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</si>
  <si>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</si>
  <si>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</si>
  <si>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</si>
  <si>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</si>
  <si>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</si>
  <si>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</si>
  <si>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</si>
  <si>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</si>
  <si>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</si>
  <si>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</si>
  <si>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</si>
  <si>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</si>
  <si>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</si>
  <si>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</si>
  <si>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</si>
  <si>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</si>
  <si>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</si>
  <si>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</si>
  <si>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</si>
  <si>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</si>
  <si>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</si>
  <si>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</si>
  <si>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</si>
  <si>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</si>
  <si>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</si>
  <si>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</si>
  <si>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</si>
  <si>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</si>
  <si>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</si>
  <si>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</si>
  <si>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</si>
  <si>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</si>
  <si>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</si>
  <si>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</si>
  <si>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</si>
  <si>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</si>
  <si>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</si>
  <si>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</si>
  <si>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</si>
  <si>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</si>
  <si>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</si>
  <si>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</si>
  <si>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</si>
  <si>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</si>
  <si>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</si>
  <si>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</si>
  <si>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</si>
  <si>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</si>
  <si>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</si>
  <si>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</si>
  <si>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</si>
  <si>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</si>
  <si>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</si>
  <si>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</si>
  <si>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</si>
  <si>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</si>
  <si>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</si>
  <si>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</si>
  <si>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</si>
  <si>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</si>
  <si>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</si>
  <si>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</si>
  <si>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</si>
  <si>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</si>
  <si>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</si>
  <si>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</si>
  <si>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</si>
  <si>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</si>
  <si>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</si>
  <si>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</si>
  <si>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</si>
  <si>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</si>
  <si>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</si>
  <si>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</si>
  <si>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</si>
  <si>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</si>
  <si>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</si>
  <si>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</si>
  <si>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</si>
  <si>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</si>
  <si>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</si>
  <si>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</si>
  <si>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</si>
  <si>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</si>
  <si>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</si>
  <si>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</si>
  <si>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</si>
  <si>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</si>
  <si>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</si>
  <si>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</si>
  <si>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</si>
  <si>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</si>
  <si>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</si>
  <si>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</si>
  <si>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</si>
  <si>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</si>
  <si>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</si>
  <si>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</si>
  <si>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</si>
  <si>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</si>
  <si>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</si>
  <si>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</si>
  <si>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</si>
  <si>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</si>
  <si>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</si>
  <si>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</si>
  <si>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</si>
  <si>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</si>
  <si>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</si>
  <si>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</si>
  <si>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</si>
  <si>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</si>
  <si>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</si>
  <si>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</si>
  <si>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</si>
  <si>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</si>
  <si>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</si>
  <si>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</si>
  <si>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</si>
  <si>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</si>
  <si>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</si>
  <si>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</si>
  <si>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</si>
  <si>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</si>
  <si>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</si>
  <si>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</si>
  <si>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</si>
  <si>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</si>
  <si>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</si>
  <si>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</si>
  <si>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</si>
  <si>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</si>
  <si>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</si>
  <si>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</si>
  <si>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</si>
  <si>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</si>
  <si>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</si>
  <si>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</si>
  <si>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</si>
  <si>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</si>
  <si>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</si>
  <si>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</si>
  <si>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</si>
  <si>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</si>
  <si>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</si>
  <si>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</si>
  <si>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</si>
  <si>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</si>
  <si>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</si>
  <si>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</si>
  <si>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</si>
  <si>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</si>
  <si>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</si>
  <si>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</si>
  <si>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</si>
  <si>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</si>
  <si>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</si>
  <si>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</si>
  <si>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</si>
  <si>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</si>
  <si>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</si>
  <si>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</si>
  <si>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</si>
  <si>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</si>
  <si>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</si>
  <si>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</si>
  <si>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</si>
  <si>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</si>
  <si>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</si>
  <si>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</si>
  <si>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</si>
  <si>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</si>
  <si>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</si>
  <si>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</si>
  <si>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</si>
  <si>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</si>
  <si>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</si>
  <si>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</si>
  <si>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</si>
  <si>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</si>
  <si>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</si>
  <si>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</si>
  <si>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</si>
  <si>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</si>
  <si>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</si>
  <si>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</si>
  <si>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</si>
  <si>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</si>
  <si>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</si>
  <si>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</si>
  <si>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</si>
  <si>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</si>
  <si>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</si>
  <si>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</si>
  <si>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</si>
  <si>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</si>
  <si>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</si>
  <si>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</si>
  <si>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</si>
  <si>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</si>
  <si>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</si>
  <si>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</si>
  <si>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</si>
  <si>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</si>
  <si>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</si>
  <si>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</si>
  <si>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</si>
  <si>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</si>
  <si>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</si>
  <si>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</si>
  <si>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</si>
  <si>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</si>
  <si>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</si>
  <si>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</si>
  <si>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</si>
  <si>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</si>
  <si>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</si>
  <si>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</si>
  <si>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</si>
  <si>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</si>
  <si>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</si>
  <si>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</si>
  <si>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</si>
  <si>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</si>
  <si>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</si>
  <si>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</si>
  <si>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</si>
  <si>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</si>
  <si>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</si>
  <si>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</si>
  <si>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</si>
  <si>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</si>
  <si>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</si>
  <si>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</si>
  <si>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</si>
  <si>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</si>
  <si>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</si>
  <si>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</si>
  <si>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</si>
  <si>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</si>
  <si>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</si>
  <si>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</si>
  <si>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</si>
  <si>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</si>
  <si>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</si>
  <si>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</si>
  <si>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</si>
  <si>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</si>
  <si>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</si>
  <si>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</si>
  <si>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</si>
  <si>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</si>
  <si>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</si>
  <si>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</si>
  <si>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</si>
  <si>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</si>
  <si>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</si>
  <si>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</si>
  <si>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</si>
  <si>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</si>
  <si>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</si>
  <si>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</si>
  <si>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</si>
  <si>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</si>
  <si>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</si>
  <si>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</si>
  <si>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</si>
  <si>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</si>
  <si>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</si>
  <si>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</si>
  <si>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</si>
  <si>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</si>
  <si>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</si>
  <si>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</si>
  <si>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</si>
  <si>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</si>
  <si>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</si>
  <si>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</si>
  <si>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</si>
  <si>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</si>
  <si>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</si>
  <si>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</si>
  <si>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</si>
  <si>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</si>
  <si>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</si>
  <si>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</si>
  <si>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</si>
  <si>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</si>
  <si>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</si>
  <si>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</si>
  <si>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</si>
  <si>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</si>
  <si>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</si>
  <si>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</si>
  <si>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</si>
  <si>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</si>
  <si>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</si>
  <si>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</si>
  <si>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</si>
  <si>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</si>
  <si>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</si>
  <si>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</si>
  <si>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</si>
  <si>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</si>
  <si>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</si>
  <si>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</si>
  <si>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</si>
  <si>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</si>
  <si>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</si>
  <si>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</si>
  <si>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</si>
  <si>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</si>
  <si>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</si>
  <si>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</si>
  <si>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</si>
  <si>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</si>
  <si>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</si>
  <si>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</si>
  <si>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</si>
  <si>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</si>
  <si>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</si>
  <si>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</si>
  <si>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</si>
  <si>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</si>
  <si>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</si>
  <si>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</si>
  <si>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</si>
  <si>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</si>
  <si>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</si>
  <si>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</si>
  <si>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</si>
  <si>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</si>
  <si>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</si>
  <si>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</si>
  <si>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</si>
  <si>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</si>
  <si>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</si>
  <si>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</si>
  <si>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</si>
  <si>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</si>
  <si>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</si>
  <si>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</si>
  <si>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</si>
  <si>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</si>
  <si>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</si>
  <si>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</si>
  <si>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</si>
  <si>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</si>
  <si>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</si>
  <si>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</si>
  <si>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</si>
  <si>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</si>
  <si>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</si>
  <si>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</si>
  <si>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</si>
  <si>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</si>
  <si>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</si>
  <si>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</si>
  <si>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</si>
  <si>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</si>
  <si>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</si>
  <si>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</si>
  <si>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</si>
  <si>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</si>
  <si>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</si>
  <si>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</si>
  <si>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</si>
  <si>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</si>
  <si>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</si>
  <si>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</si>
  <si>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</si>
  <si>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</si>
  <si>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</si>
  <si>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</si>
  <si>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</si>
  <si>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</si>
  <si>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</si>
  <si>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</si>
  <si>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</si>
  <si>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</si>
  <si>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</si>
  <si>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</si>
  <si>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</si>
  <si>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</si>
  <si>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</si>
  <si>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</si>
  <si>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</si>
  <si>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</si>
  <si>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</si>
  <si>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</si>
  <si>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</si>
  <si>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</si>
  <si>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</si>
  <si>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</si>
  <si>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</si>
  <si>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</si>
  <si>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</si>
  <si>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</si>
  <si>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</si>
  <si>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</si>
  <si>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</si>
  <si>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</si>
  <si>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</si>
  <si>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</si>
  <si>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</si>
  <si>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</si>
  <si>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</si>
  <si>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</si>
  <si>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</si>
  <si>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</si>
  <si>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</si>
  <si>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</si>
  <si>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</si>
  <si>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</si>
  <si>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</si>
  <si>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</si>
  <si>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</si>
  <si>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</si>
  <si>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</si>
  <si>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</si>
  <si>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</si>
  <si>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</si>
  <si>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</si>
  <si>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</si>
  <si>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</si>
  <si>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</si>
  <si>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</si>
  <si>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</si>
  <si>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</si>
  <si>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</si>
  <si>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</si>
  <si>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</si>
  <si>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</si>
  <si>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</si>
  <si>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</si>
  <si>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</si>
  <si>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</si>
  <si>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</si>
  <si>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</si>
  <si>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</si>
  <si>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</si>
  <si>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</si>
  <si>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</si>
  <si>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</si>
  <si>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</si>
  <si>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</si>
  <si>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</si>
  <si>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</si>
  <si>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</si>
  <si>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</si>
  <si>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</si>
  <si>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</si>
  <si>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</si>
  <si>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</si>
  <si>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</si>
  <si>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</si>
  <si>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</si>
  <si>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</si>
  <si>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</si>
  <si>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</si>
  <si>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</si>
  <si>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</si>
  <si>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</si>
  <si>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</si>
  <si>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</si>
  <si>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</si>
  <si>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</si>
  <si>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</si>
  <si>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</si>
  <si>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</si>
  <si>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</si>
  <si>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</si>
  <si>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</si>
  <si>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</si>
  <si>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</si>
  <si>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</si>
  <si>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</si>
  <si>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</si>
  <si>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</si>
  <si>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</si>
  <si>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</si>
  <si>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</si>
  <si>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</si>
  <si>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</si>
  <si>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</si>
  <si>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</si>
  <si>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</si>
  <si>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</si>
  <si>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</si>
  <si>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</si>
  <si>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</si>
  <si>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</si>
  <si>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</si>
  <si>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</si>
  <si>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</si>
  <si>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</si>
  <si>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</si>
  <si>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</si>
  <si>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</si>
  <si>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</si>
  <si>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</si>
  <si>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</si>
  <si>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</si>
  <si>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</si>
  <si>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</si>
  <si>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</si>
  <si>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</si>
  <si>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</si>
  <si>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</si>
  <si>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</si>
  <si>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</si>
  <si>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</si>
  <si>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</si>
  <si>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</si>
  <si>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</si>
  <si>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</si>
  <si>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</si>
  <si>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</si>
  <si>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</si>
  <si>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</si>
  <si>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</si>
  <si>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</si>
  <si>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</si>
  <si>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</si>
  <si>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</si>
  <si>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</si>
  <si>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</si>
  <si>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</si>
  <si>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</si>
  <si>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</si>
  <si>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</si>
  <si>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</si>
  <si>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</si>
  <si>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</si>
  <si>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</si>
  <si>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</si>
  <si>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</si>
  <si>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</si>
  <si>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</si>
  <si>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</si>
  <si>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</si>
  <si>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</si>
  <si>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</si>
  <si>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</si>
  <si>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</si>
  <si>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</si>
  <si>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</si>
  <si>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</si>
  <si>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</si>
  <si>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</si>
  <si>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</si>
  <si>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</si>
  <si>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</si>
  <si>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</si>
  <si>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</si>
  <si>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</si>
  <si>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</si>
  <si>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</si>
  <si>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</si>
  <si>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</si>
  <si>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</si>
  <si>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</si>
  <si>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</si>
  <si>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</si>
  <si>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</si>
  <si>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</si>
  <si>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</si>
  <si>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</si>
  <si>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</si>
  <si>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</si>
  <si>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</si>
  <si>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</si>
  <si>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</si>
  <si>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</si>
  <si>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</si>
  <si>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</si>
  <si>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</si>
  <si>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</si>
  <si>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</si>
  <si>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</si>
  <si>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</si>
  <si>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</si>
  <si>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</si>
  <si>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</si>
  <si>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</si>
  <si>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</si>
  <si>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</si>
  <si>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</si>
  <si>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</si>
  <si>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</si>
  <si>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</si>
  <si>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</si>
  <si>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</si>
  <si>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</si>
  <si>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</si>
  <si>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</si>
  <si>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</si>
  <si>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</si>
  <si>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</si>
  <si>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</si>
  <si>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</si>
  <si>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</si>
  <si>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</si>
  <si>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</si>
  <si>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</si>
  <si>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</si>
  <si>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</si>
  <si>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</si>
  <si>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</si>
  <si>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</si>
  <si>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</si>
  <si>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</si>
  <si>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</si>
  <si>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</si>
  <si>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</si>
  <si>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</si>
  <si>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</si>
  <si>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</si>
  <si>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</si>
  <si>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</si>
  <si>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</si>
  <si>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</si>
  <si>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</si>
  <si>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</si>
  <si>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</si>
  <si>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</si>
  <si>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</si>
  <si>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</si>
  <si>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</si>
  <si>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</si>
  <si>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</si>
  <si>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</si>
  <si>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</si>
  <si>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</si>
  <si>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</si>
  <si>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</si>
  <si>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</si>
  <si>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</si>
  <si>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</si>
  <si>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</si>
  <si>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</si>
  <si>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</si>
  <si>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</si>
  <si>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</si>
  <si>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</si>
  <si>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</si>
  <si>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</si>
  <si>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</si>
  <si>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</si>
  <si>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</si>
  <si>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</si>
  <si>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</si>
  <si>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</si>
  <si>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</si>
  <si>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</si>
  <si>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</si>
  <si>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</si>
  <si>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</si>
  <si>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</si>
  <si>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</si>
  <si>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</si>
  <si>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</si>
  <si>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</si>
  <si>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</si>
  <si>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</si>
  <si>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</si>
  <si>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</si>
  <si>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</si>
  <si>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</si>
  <si>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</si>
  <si>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</si>
  <si>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</si>
  <si>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</si>
  <si>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</si>
  <si>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</si>
  <si>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</si>
  <si>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</si>
  <si>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</si>
  <si>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</si>
  <si>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</si>
  <si>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</si>
  <si>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</si>
  <si>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</si>
  <si>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</si>
  <si>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</si>
  <si>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</si>
  <si>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</si>
  <si>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</si>
  <si>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</si>
  <si>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</si>
  <si>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</si>
  <si>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</si>
  <si>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</si>
  <si>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</si>
  <si>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</si>
  <si>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</si>
  <si>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</si>
  <si>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</si>
  <si>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</si>
  <si>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</si>
  <si>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</si>
  <si>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</si>
  <si>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</si>
  <si>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</si>
  <si>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</si>
  <si>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</si>
  <si>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</si>
  <si>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</si>
  <si>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</si>
  <si>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</si>
  <si>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</si>
  <si>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</si>
  <si>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</si>
  <si>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</si>
  <si>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</si>
  <si>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</si>
  <si>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</si>
  <si>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</si>
  <si>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</si>
  <si>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</si>
  <si>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</si>
  <si>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</si>
  <si>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</si>
  <si>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</si>
  <si>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</si>
  <si>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</si>
  <si>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</si>
  <si>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</si>
  <si>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</si>
  <si>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</si>
  <si>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</si>
  <si>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</si>
  <si>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</si>
  <si>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</si>
  <si>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</si>
  <si>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</si>
  <si>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</si>
  <si>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</si>
  <si>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</si>
  <si>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</si>
  <si>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</si>
  <si>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Tybe Name</t>
  </si>
  <si>
    <t>Grand Total</t>
  </si>
  <si>
    <t>2019</t>
  </si>
  <si>
    <t>Jan</t>
  </si>
  <si>
    <t>Feb</t>
  </si>
  <si>
    <t>Mar</t>
  </si>
  <si>
    <t>Apr</t>
  </si>
  <si>
    <t>May</t>
  </si>
  <si>
    <t>Jun</t>
  </si>
  <si>
    <t>Jul</t>
  </si>
  <si>
    <t>Aug</t>
  </si>
  <si>
    <t>Sep</t>
  </si>
  <si>
    <t>Oct</t>
  </si>
  <si>
    <t>Nov</t>
  </si>
  <si>
    <t>Dec</t>
  </si>
  <si>
    <t>2020</t>
  </si>
  <si>
    <t>2021</t>
  </si>
  <si>
    <t>2022</t>
  </si>
  <si>
    <t>Years</t>
  </si>
  <si>
    <t>Arabica</t>
  </si>
  <si>
    <t>Excelsa</t>
  </si>
  <si>
    <t>Liberica</t>
  </si>
  <si>
    <t>Robusta</t>
  </si>
  <si>
    <t>Sum of Sales</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</si>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</sst>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6" formatCode="dd/mmm/yyyy"/>
    <numFmt numFmtId="167" formatCode="0.0\ &quot;kg&quot;"/>
    <numFmt numFmtId="168" formatCode="_-[$$-409]* #,##0.00_ ;_-[$$-409]* \-#,##0.00\ ;_-[$$-409]* &quot;-&quot;??_ ;_-@_ "/>
    <numFmt numFmtId="169"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7" fontId="0" fillId="0" borderId="0" xfId="0" applyNumberFormat="1"/>
    <xf numFmtId="168" fontId="0" fillId="0" borderId="0" xfId="0" applyNumberFormat="1"/>
    <xf numFmtId="0" fontId="0" fillId="0" borderId="0" xfId="0" pivotButton="1"/>
    <xf numFmtId="166" fontId="0" fillId="0" borderId="0" xfId="0" applyNumberFormat="1"/>
    <xf numFmtId="3" fontId="0" fillId="0" borderId="0" xfId="0" applyNumberFormat="1"/>
    <xf numFmtId="169" fontId="0" fillId="0" borderId="0" xfId="0" applyNumberFormat="1"/>
  </cellXfs>
  <cellStyles count="1">
    <cellStyle name="Normal" xfId="0" builtinId="0"/>
  </cellStyles>
  <dxfs count="17">
    <dxf>
      <numFmt numFmtId="0" formatCode="General"/>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numFmt numFmtId="0" formatCode="General"/>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i val="0"/>
        <color theme="0"/>
        <name val="Calibri"/>
        <family val="2"/>
        <scheme val="minor"/>
      </font>
    </dxf>
    <dxf>
      <font>
        <b val="0"/>
        <i val="0"/>
        <color theme="0"/>
        <name val="Calibri"/>
        <family val="2"/>
        <scheme val="minor"/>
      </font>
      <fill>
        <patternFill>
          <bgColor rgb="FF3C1464"/>
        </patternFill>
      </fill>
    </dxf>
    <dxf>
      <font>
        <b/>
        <i val="0"/>
        <sz val="11"/>
        <color theme="0"/>
        <name val="Calibri"/>
        <family val="2"/>
        <scheme val="minor"/>
      </font>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8" formatCode="_-[$$-409]* #,##0.00_ ;_-[$$-409]* \-#,##0.00\ ;_-[$$-409]* &quot;-&quot;??_ ;_-@_ "/>
    </dxf>
    <dxf>
      <numFmt numFmtId="168" formatCode="_-[$$-409]* #,##0.00_ ;_-[$$-409]* \-#,##0.00\ ;_-[$$-409]* &quot;-&quot;??_ ;_-@_ "/>
    </dxf>
    <dxf>
      <numFmt numFmtId="167"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Purple Slicer" pivot="0" table="0" count="6" xr9:uid="{21D97D1C-620B-44C0-A80B-991E7A34D7C5}">
      <tableStyleElement type="wholeTable" dxfId="5"/>
      <tableStyleElement type="headerRow" dxfId="4"/>
    </tableStyle>
    <tableStyle name="Purple Time Line Style" pivot="0" table="0" count="8" xr9:uid="{0F3CD278-8371-4357-A4DD-438A3697638F}">
      <tableStyleElement type="wholeTable" dxfId="7"/>
      <tableStyleElement type="headerRow" dxfId="6"/>
    </tableStyle>
  </tableStyles>
  <colors>
    <mruColors>
      <color rgb="FFD3B6F0"/>
      <color rgb="FFC096EA"/>
      <color rgb="FF3C1464"/>
      <color rgb="FFB7D8A0"/>
      <color rgb="FFA7CF8B"/>
      <color rgb="FF83BC5C"/>
      <color rgb="FF81BB59"/>
      <color rgb="FF578537"/>
      <color rgb="FF944DDB"/>
      <color rgb="FF95440D"/>
    </mruColors>
  </colors>
  <extLst>
    <ext xmlns:x14="http://schemas.microsoft.com/office/spreadsheetml/2009/9/main" uri="{46F421CA-312F-682f-3DD2-61675219B42D}">
      <x14:dxfs count="4">
        <dxf>
          <font>
            <b val="0"/>
            <i val="0"/>
            <color theme="0"/>
            <name val="Calibri"/>
            <family val="2"/>
            <scheme val="minor"/>
          </font>
          <border>
            <left style="thin">
              <color theme="0"/>
            </left>
            <right style="thin">
              <color theme="0"/>
            </right>
            <top style="thin">
              <color theme="0"/>
            </top>
            <bottom style="thin">
              <color theme="0"/>
            </bottom>
          </border>
        </dxf>
        <dxf>
          <font>
            <b val="0"/>
            <i val="0"/>
            <color theme="0" tint="-4.9989318521683403E-2"/>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1"/>
            <x14:slicerStyleElement type="unselectedItemWithNoData" dxfId="0"/>
            <x14:slicerStyleElement type="selectedItemWithData" dxfId="3"/>
            <x14:slicerStyleElement type="selectedItemWithNoData" dxfId="2"/>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44DDB"/>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 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 Sales</c:name>
    <c:fmtId val="19"/>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Salse By Country</a:t>
            </a:r>
          </a:p>
        </c:rich>
      </c:tx>
      <c:layout>
        <c:manualLayout>
          <c:xMode val="edge"/>
          <c:yMode val="edge"/>
          <c:x val="0.37864587926509186"/>
          <c:y val="6.34479408935093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578537"/>
          </a:solidFill>
          <a:ln w="317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1BB59"/>
          </a:solidFill>
          <a:ln w="31750">
            <a:solidFill>
              <a:schemeClr val="bg1"/>
            </a:solidFill>
          </a:ln>
          <a:effectLst/>
        </c:spPr>
      </c:pivotFmt>
      <c:pivotFmt>
        <c:idx val="2"/>
        <c:spPr>
          <a:solidFill>
            <a:srgbClr val="B7D8A0"/>
          </a:solidFill>
          <a:ln w="31750">
            <a:solidFill>
              <a:schemeClr val="bg1"/>
            </a:solidFill>
          </a:ln>
          <a:effectLst/>
        </c:spPr>
      </c:pivotFmt>
      <c:pivotFmt>
        <c:idx val="3"/>
        <c:spPr>
          <a:solidFill>
            <a:srgbClr val="578537"/>
          </a:solidFill>
          <a:ln w="317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B7D8A0"/>
          </a:solidFill>
          <a:ln w="31750">
            <a:solidFill>
              <a:schemeClr val="bg1"/>
            </a:solidFill>
          </a:ln>
          <a:effectLst/>
        </c:spPr>
      </c:pivotFmt>
      <c:pivotFmt>
        <c:idx val="5"/>
        <c:spPr>
          <a:solidFill>
            <a:srgbClr val="81BB59"/>
          </a:solidFill>
          <a:ln w="31750">
            <a:solidFill>
              <a:schemeClr val="bg1"/>
            </a:solidFill>
          </a:ln>
          <a:effectLst/>
        </c:spPr>
      </c:pivotFmt>
      <c:pivotFmt>
        <c:idx val="6"/>
        <c:spPr>
          <a:solidFill>
            <a:srgbClr val="578537"/>
          </a:solidFill>
          <a:ln w="317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B7D8A0"/>
          </a:solidFill>
          <a:ln w="31750">
            <a:solidFill>
              <a:schemeClr val="bg1"/>
            </a:solidFill>
          </a:ln>
          <a:effectLst/>
        </c:spPr>
      </c:pivotFmt>
      <c:pivotFmt>
        <c:idx val="8"/>
        <c:spPr>
          <a:solidFill>
            <a:srgbClr val="81BB59"/>
          </a:solidFill>
          <a:ln w="3175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578537"/>
            </a:solidFill>
            <a:ln w="31750">
              <a:solidFill>
                <a:schemeClr val="bg1"/>
              </a:solidFill>
            </a:ln>
            <a:effectLst/>
          </c:spPr>
          <c:invertIfNegative val="0"/>
          <c:dPt>
            <c:idx val="0"/>
            <c:invertIfNegative val="0"/>
            <c:bubble3D val="0"/>
            <c:spPr>
              <a:solidFill>
                <a:srgbClr val="B7D8A0"/>
              </a:solidFill>
              <a:ln w="31750">
                <a:solidFill>
                  <a:schemeClr val="bg1"/>
                </a:solidFill>
              </a:ln>
              <a:effectLst/>
            </c:spPr>
          </c:dPt>
          <c:dPt>
            <c:idx val="1"/>
            <c:invertIfNegative val="0"/>
            <c:bubble3D val="0"/>
            <c:spPr>
              <a:solidFill>
                <a:srgbClr val="81BB59"/>
              </a:solidFill>
              <a:ln w="31750">
                <a:solidFill>
                  <a:schemeClr val="bg1"/>
                </a:solidFill>
              </a:ln>
              <a:effectLst/>
            </c:spPr>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CountryBarChart!$A$4:$A$7</c:f>
              <c:strCache>
                <c:ptCount val="3"/>
                <c:pt idx="0">
                  <c:v>United Kingdom</c:v>
                </c:pt>
                <c:pt idx="1">
                  <c:v>Ireland</c:v>
                </c:pt>
                <c:pt idx="2">
                  <c:v>United States</c:v>
                </c:pt>
              </c:strCache>
            </c:strRef>
          </c:cat>
          <c:val>
            <c:numRef>
              <c:f>CountryBarChart!$B$4:$B$7</c:f>
              <c:numCache>
                <c:formatCode>[$$-409]#,##0</c:formatCode>
                <c:ptCount val="3"/>
                <c:pt idx="0">
                  <c:v>1951.4749999999999</c:v>
                </c:pt>
                <c:pt idx="1">
                  <c:v>6239.13</c:v>
                </c:pt>
                <c:pt idx="2">
                  <c:v>25932.899999999983</c:v>
                </c:pt>
              </c:numCache>
            </c:numRef>
          </c:val>
          <c:extLst>
            <c:ext xmlns:c16="http://schemas.microsoft.com/office/drawing/2014/chart" uri="{C3380CC4-5D6E-409C-BE32-E72D297353CC}">
              <c16:uniqueId val="{00000006-E094-4FD3-885F-E6F1E0DEBB46}"/>
            </c:ext>
          </c:extLst>
        </c:ser>
        <c:dLbls>
          <c:dLblPos val="outEnd"/>
          <c:showLegendKey val="0"/>
          <c:showVal val="1"/>
          <c:showCatName val="0"/>
          <c:showSerName val="0"/>
          <c:showPercent val="0"/>
          <c:showBubbleSize val="0"/>
        </c:dLbls>
        <c:gapWidth val="182"/>
        <c:axId val="462403608"/>
        <c:axId val="464924264"/>
      </c:barChart>
      <c:catAx>
        <c:axId val="462403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464924264"/>
        <c:crosses val="autoZero"/>
        <c:auto val="1"/>
        <c:lblAlgn val="ctr"/>
        <c:lblOffset val="100"/>
        <c:noMultiLvlLbl val="0"/>
      </c:catAx>
      <c:valAx>
        <c:axId val="464924264"/>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462403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3B6F0"/>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[coffeeOrdersData.xlsx]Top5Customers!Total Sales</c:name>
    <c:fmtId val="2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layout>
        <c:manualLayout>
          <c:xMode val="edge"/>
          <c:yMode val="edge"/>
          <c:x val="0.37864587926509186"/>
          <c:y val="6.3447940893509303E-2"/>
        </c:manualLayout>
      </c:layout>
      <c:overlay val="0"/>
      <c:spPr>
        <a:noFill/>
        <a:ln>
          <a:noFill/>
        </a:ln>
        <a:effectLst/>
      </c:spPr>
    </c:title>
    <c:autoTitleDeleted val="0"/>
    <c:pivotFmts>
      <c:pivotFmt>
        <c:idx val="0"/>
        <c:spPr>
          <a:solidFill>
            <a:srgbClr val="578537"/>
          </a:solidFill>
          <a:ln w="317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1BB59"/>
          </a:solidFill>
          <a:ln w="31750">
            <a:solidFill>
              <a:schemeClr val="bg1"/>
            </a:solidFill>
          </a:ln>
          <a:effectLst/>
        </c:spPr>
      </c:pivotFmt>
      <c:pivotFmt>
        <c:idx val="2"/>
        <c:spPr>
          <a:solidFill>
            <a:srgbClr val="B7D8A0"/>
          </a:solidFill>
          <a:ln w="31750">
            <a:solidFill>
              <a:schemeClr val="bg1"/>
            </a:solidFill>
          </a:ln>
          <a:effectLst/>
        </c:spPr>
      </c:pivotFmt>
      <c:pivotFmt>
        <c:idx val="3"/>
        <c:spPr>
          <a:solidFill>
            <a:srgbClr val="578537"/>
          </a:solidFill>
          <a:ln w="317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B7D8A0"/>
          </a:solidFill>
          <a:ln w="31750">
            <a:solidFill>
              <a:schemeClr val="bg1"/>
            </a:solidFill>
          </a:ln>
          <a:effectLst/>
        </c:spPr>
      </c:pivotFmt>
      <c:pivotFmt>
        <c:idx val="5"/>
        <c:spPr>
          <a:solidFill>
            <a:srgbClr val="81BB59"/>
          </a:solidFill>
          <a:ln w="31750">
            <a:solidFill>
              <a:schemeClr val="bg1"/>
            </a:solidFill>
          </a:ln>
          <a:effectLst/>
        </c:spPr>
      </c:pivotFmt>
      <c:pivotFmt>
        <c:idx val="6"/>
        <c:spPr>
          <a:solidFill>
            <a:srgbClr val="578537"/>
          </a:solidFill>
          <a:ln w="317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B7D8A0"/>
          </a:solidFill>
          <a:ln w="31750">
            <a:solidFill>
              <a:schemeClr val="bg1"/>
            </a:solidFill>
          </a:ln>
          <a:effectLst/>
        </c:spPr>
      </c:pivotFmt>
      <c:pivotFmt>
        <c:idx val="8"/>
        <c:spPr>
          <a:solidFill>
            <a:srgbClr val="81BB59"/>
          </a:solidFill>
          <a:ln w="31750">
            <a:solidFill>
              <a:schemeClr val="bg1"/>
            </a:solidFill>
          </a:ln>
          <a:effectLst/>
        </c:spPr>
      </c:pivotFmt>
      <c:pivotFmt>
        <c:idx val="9"/>
        <c:spPr>
          <a:solidFill>
            <a:srgbClr val="578537"/>
          </a:solidFill>
          <a:ln w="317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B7D8A0"/>
          </a:solidFill>
          <a:ln w="31750">
            <a:solidFill>
              <a:schemeClr val="bg1"/>
            </a:solidFill>
          </a:ln>
          <a:effectLst/>
        </c:spPr>
      </c:pivotFmt>
      <c:pivotFmt>
        <c:idx val="11"/>
        <c:spPr>
          <a:solidFill>
            <a:srgbClr val="81BB59"/>
          </a:solidFill>
          <a:ln w="31750">
            <a:solidFill>
              <a:schemeClr val="bg1"/>
            </a:solidFill>
          </a:ln>
          <a:effectLst/>
        </c:spPr>
      </c:pivotFmt>
      <c:pivotFmt>
        <c:idx val="12"/>
        <c:spPr>
          <a:solidFill>
            <a:srgbClr val="578537"/>
          </a:solidFill>
          <a:ln w="317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B7D8A0"/>
          </a:solidFill>
          <a:ln w="31750">
            <a:solidFill>
              <a:schemeClr val="bg1"/>
            </a:solidFill>
          </a:ln>
          <a:effectLst/>
        </c:spPr>
      </c:pivotFmt>
      <c:pivotFmt>
        <c:idx val="14"/>
        <c:spPr>
          <a:solidFill>
            <a:srgbClr val="81BB59"/>
          </a:solidFill>
          <a:ln w="31750">
            <a:solidFill>
              <a:schemeClr val="bg1"/>
            </a:solidFill>
          </a:ln>
          <a:effectLst/>
        </c:spPr>
      </c:pivotFmt>
      <c:pivotFmt>
        <c:idx val="15"/>
        <c:spPr>
          <a:solidFill>
            <a:srgbClr val="578537"/>
          </a:solidFill>
          <a:ln w="317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B7D8A0"/>
          </a:solidFill>
          <a:ln w="31750">
            <a:solidFill>
              <a:schemeClr val="bg1"/>
            </a:solidFill>
          </a:ln>
          <a:effectLst/>
        </c:spPr>
      </c:pivotFmt>
      <c:pivotFmt>
        <c:idx val="17"/>
        <c:spPr>
          <a:solidFill>
            <a:srgbClr val="81BB59"/>
          </a:solidFill>
          <a:ln w="31750">
            <a:solidFill>
              <a:schemeClr val="bg1"/>
            </a:solidFill>
          </a:ln>
          <a:effectLst/>
        </c:spPr>
      </c:pivotFmt>
      <c:pivotFmt>
        <c:idx val="18"/>
        <c:spPr>
          <a:solidFill>
            <a:srgbClr val="578537"/>
          </a:solidFill>
          <a:ln w="317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B7D8A0"/>
          </a:solidFill>
          <a:ln w="31750">
            <a:solidFill>
              <a:schemeClr val="bg1"/>
            </a:solidFill>
          </a:ln>
          <a:effectLst/>
        </c:spPr>
      </c:pivotFmt>
      <c:pivotFmt>
        <c:idx val="20"/>
        <c:spPr>
          <a:solidFill>
            <a:srgbClr val="81BB59"/>
          </a:solidFill>
          <a:ln w="31750">
            <a:solidFill>
              <a:schemeClr val="bg1"/>
            </a:solidFill>
          </a:ln>
          <a:effectLst/>
        </c:spPr>
      </c:pivotFmt>
      <c:pivotFmt>
        <c:idx val="21"/>
        <c:spPr>
          <a:solidFill>
            <a:srgbClr val="578537"/>
          </a:solidFill>
          <a:ln w="317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B7D8A0"/>
          </a:solidFill>
          <a:ln w="31750">
            <a:solidFill>
              <a:schemeClr val="bg1"/>
            </a:solidFill>
          </a:ln>
          <a:effectLst/>
        </c:spPr>
      </c:pivotFmt>
      <c:pivotFmt>
        <c:idx val="23"/>
        <c:spPr>
          <a:solidFill>
            <a:srgbClr val="81BB59"/>
          </a:solidFill>
          <a:ln w="31750">
            <a:solidFill>
              <a:schemeClr val="bg1"/>
            </a:solidFill>
          </a:ln>
          <a:effectLst/>
        </c:spPr>
      </c:pivotFmt>
    </c:pivotFmts>
    <c:plotArea>
      <c:layout/>
      <c:barChart>
        <c:barDir val="bar"/>
        <c:grouping val="clustered"/>
        <c:varyColors val="0"/>
        <c:ser>
          <c:idx val="0"/>
          <c:order val="0"/>
          <c:tx>
            <c:strRef>
              <c:f>Top5Customers!$B$3</c:f>
              <c:strCache>
                <c:ptCount val="1"/>
                <c:pt idx="0">
                  <c:v>Total</c:v>
                </c:pt>
              </c:strCache>
            </c:strRef>
          </c:tx>
          <c:spPr>
            <a:solidFill>
              <a:srgbClr val="578537"/>
            </a:solidFill>
            <a:ln w="31750">
              <a:solidFill>
                <a:schemeClr val="bg1"/>
              </a:solidFill>
            </a:ln>
            <a:effectLst/>
          </c:spPr>
          <c:invertIfNegative val="0"/>
          <c:dPt>
            <c:idx val="0"/>
            <c:invertIfNegative val="0"/>
            <c:bubble3D val="0"/>
            <c:extLst>
              <c:ext xmlns:c16="http://schemas.microsoft.com/office/drawing/2014/chart" uri="{C3380CC4-5D6E-409C-BE32-E72D297353CC}">
                <c16:uniqueId val="{00000001-5276-4F21-9132-4E605E287B95}"/>
              </c:ext>
            </c:extLst>
          </c:dPt>
          <c:dPt>
            <c:idx val="1"/>
            <c:invertIfNegative val="0"/>
            <c:bubble3D val="0"/>
            <c:extLst>
              <c:ext xmlns:c16="http://schemas.microsoft.com/office/drawing/2014/chart" uri="{C3380CC4-5D6E-409C-BE32-E72D297353CC}">
                <c16:uniqueId val="{00000003-5276-4F21-9132-4E605E287B95}"/>
              </c:ext>
            </c:extLst>
          </c:dPt>
          <c:dPt>
            <c:idx val="3"/>
            <c:invertIfNegative val="0"/>
            <c:bubble3D val="0"/>
            <c:spPr>
              <a:solidFill>
                <a:srgbClr val="81BB59"/>
              </a:solidFill>
              <a:ln w="31750">
                <a:solidFill>
                  <a:schemeClr val="bg1"/>
                </a:solidFill>
              </a:ln>
              <a:effectLst/>
            </c:spPr>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Top5Customers!$A$4:$A$9</c:f>
              <c:strCache>
                <c:ptCount val="5"/>
                <c:pt idx="0">
                  <c:v>Terri Farra</c:v>
                </c:pt>
                <c:pt idx="1">
                  <c:v>Alexa Sizey</c:v>
                </c:pt>
                <c:pt idx="2">
                  <c:v>Allis Wilmore</c:v>
                </c:pt>
                <c:pt idx="3">
                  <c:v>Nealson Cuttler</c:v>
                </c:pt>
                <c:pt idx="4">
                  <c:v>Brenn Dundredge</c:v>
                </c:pt>
              </c:strCache>
            </c:strRef>
          </c:cat>
          <c:val>
            <c:numRef>
              <c:f>Top5Customers!$B$4:$B$9</c:f>
              <c:numCache>
                <c:formatCode>[$$-409]#,##0</c:formatCode>
                <c:ptCount val="5"/>
                <c:pt idx="0">
                  <c:v>211.41</c:v>
                </c:pt>
                <c:pt idx="1">
                  <c:v>218.73</c:v>
                </c:pt>
                <c:pt idx="2">
                  <c:v>237.81999999999996</c:v>
                </c:pt>
                <c:pt idx="3">
                  <c:v>240.42499999999998</c:v>
                </c:pt>
                <c:pt idx="4">
                  <c:v>265.34499999999997</c:v>
                </c:pt>
              </c:numCache>
            </c:numRef>
          </c:val>
          <c:extLst>
            <c:ext xmlns:c16="http://schemas.microsoft.com/office/drawing/2014/chart" uri="{C3380CC4-5D6E-409C-BE32-E72D297353CC}">
              <c16:uniqueId val="{00000004-5276-4F21-9132-4E605E287B95}"/>
            </c:ext>
          </c:extLst>
        </c:ser>
        <c:dLbls>
          <c:dLblPos val="outEnd"/>
          <c:showLegendKey val="0"/>
          <c:showVal val="1"/>
          <c:showCatName val="0"/>
          <c:showSerName val="0"/>
          <c:showPercent val="0"/>
          <c:showBubbleSize val="0"/>
        </c:dLbls>
        <c:gapWidth val="182"/>
        <c:axId val="462403608"/>
        <c:axId val="464924264"/>
      </c:barChart>
      <c:catAx>
        <c:axId val="462403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464924264"/>
        <c:crosses val="autoZero"/>
        <c:auto val="1"/>
        <c:lblAlgn val="ctr"/>
        <c:lblOffset val="100"/>
        <c:noMultiLvlLbl val="0"/>
      </c:catAx>
      <c:valAx>
        <c:axId val="464924264"/>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462403608"/>
        <c:crosses val="autoZero"/>
        <c:crossBetween val="between"/>
      </c:valAx>
      <c:spPr>
        <a:solidFill>
          <a:srgbClr val="D3B6F0"/>
        </a:solidFill>
      </c:spPr>
    </c:plotArea>
    <c:plotVisOnly val="1"/>
    <c:dispBlanksAs val="gap"/>
    <c:showDLblsOverMax val="0"/>
    <c:extLst/>
  </c:chart>
  <c:spPr>
    <a:solidFill>
      <a:srgbClr val="D3B6F0"/>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 Sales</c:name>
    <c:fmtId val="31"/>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544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9544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9544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rgbClr val="9544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TotalSales!$C$5:$C$49</c:f>
              <c:numCache>
                <c:formatCode>#,##0</c:formatCode>
                <c:ptCount val="44"/>
                <c:pt idx="0">
                  <c:v>109.155</c:v>
                </c:pt>
                <c:pt idx="1">
                  <c:v>189.66499999999999</c:v>
                </c:pt>
                <c:pt idx="2">
                  <c:v>157.44499999999999</c:v>
                </c:pt>
                <c:pt idx="3">
                  <c:v>242.36999999999998</c:v>
                </c:pt>
                <c:pt idx="4">
                  <c:v>53.664999999999992</c:v>
                </c:pt>
                <c:pt idx="5">
                  <c:v>163.01999999999998</c:v>
                </c:pt>
                <c:pt idx="6">
                  <c:v>345.02000000000004</c:v>
                </c:pt>
                <c:pt idx="7">
                  <c:v>270.14</c:v>
                </c:pt>
                <c:pt idx="8">
                  <c:v>178.70999999999998</c:v>
                </c:pt>
                <c:pt idx="9">
                  <c:v>164.63499999999999</c:v>
                </c:pt>
                <c:pt idx="10">
                  <c:v>195.58499999999998</c:v>
                </c:pt>
                <c:pt idx="11">
                  <c:v>175.61999999999998</c:v>
                </c:pt>
                <c:pt idx="12">
                  <c:v>47.25</c:v>
                </c:pt>
                <c:pt idx="13">
                  <c:v>745.44999999999982</c:v>
                </c:pt>
                <c:pt idx="14">
                  <c:v>130.47</c:v>
                </c:pt>
                <c:pt idx="15">
                  <c:v>27</c:v>
                </c:pt>
                <c:pt idx="16">
                  <c:v>163.51499999999999</c:v>
                </c:pt>
                <c:pt idx="17">
                  <c:v>507.08999999999992</c:v>
                </c:pt>
                <c:pt idx="18">
                  <c:v>409.41999999999996</c:v>
                </c:pt>
                <c:pt idx="20">
                  <c:v>116.19999999999999</c:v>
                </c:pt>
                <c:pt idx="21">
                  <c:v>225.02999999999997</c:v>
                </c:pt>
                <c:pt idx="22">
                  <c:v>515.17999999999995</c:v>
                </c:pt>
                <c:pt idx="23">
                  <c:v>69.959999999999994</c:v>
                </c:pt>
                <c:pt idx="24">
                  <c:v>179.59499999999997</c:v>
                </c:pt>
                <c:pt idx="25">
                  <c:v>342.2</c:v>
                </c:pt>
                <c:pt idx="26">
                  <c:v>358.60500000000002</c:v>
                </c:pt>
                <c:pt idx="27">
                  <c:v>57.33</c:v>
                </c:pt>
                <c:pt idx="28">
                  <c:v>178.46999999999997</c:v>
                </c:pt>
                <c:pt idx="29">
                  <c:v>299.93999999999994</c:v>
                </c:pt>
                <c:pt idx="30">
                  <c:v>52.754999999999995</c:v>
                </c:pt>
                <c:pt idx="31">
                  <c:v>153.82499999999999</c:v>
                </c:pt>
                <c:pt idx="32">
                  <c:v>713.7299999999999</c:v>
                </c:pt>
                <c:pt idx="33">
                  <c:v>238.06999999999996</c:v>
                </c:pt>
                <c:pt idx="34">
                  <c:v>200.625</c:v>
                </c:pt>
                <c:pt idx="35">
                  <c:v>234.13499999999999</c:v>
                </c:pt>
                <c:pt idx="36">
                  <c:v>112.69499999999999</c:v>
                </c:pt>
                <c:pt idx="37">
                  <c:v>59.129999999999995</c:v>
                </c:pt>
                <c:pt idx="38">
                  <c:v>193.91</c:v>
                </c:pt>
                <c:pt idx="39">
                  <c:v>91.544999999999987</c:v>
                </c:pt>
                <c:pt idx="40">
                  <c:v>148.11499999999998</c:v>
                </c:pt>
                <c:pt idx="41">
                  <c:v>146.04</c:v>
                </c:pt>
                <c:pt idx="42">
                  <c:v>247.28999999999996</c:v>
                </c:pt>
                <c:pt idx="43">
                  <c:v>47.694999999999993</c:v>
                </c:pt>
              </c:numCache>
            </c:numRef>
          </c:val>
          <c:smooth val="0"/>
          <c:extLst>
            <c:ext xmlns:c16="http://schemas.microsoft.com/office/drawing/2014/chart" uri="{C3380CC4-5D6E-409C-BE32-E72D297353CC}">
              <c16:uniqueId val="{00000000-3110-437F-905C-968FB2D498C7}"/>
            </c:ext>
          </c:extLst>
        </c:ser>
        <c:ser>
          <c:idx val="1"/>
          <c:order val="1"/>
          <c:tx>
            <c:strRef>
              <c:f>TotalSales!$D$3:$D$4</c:f>
              <c:strCache>
                <c:ptCount val="1"/>
                <c:pt idx="0">
                  <c:v>Excelsa</c:v>
                </c:pt>
              </c:strCache>
            </c:strRef>
          </c:tx>
          <c:spPr>
            <a:ln w="28575" cap="rnd">
              <a:solidFill>
                <a:srgbClr val="95440D"/>
              </a:solidFill>
              <a:round/>
            </a:ln>
            <a:effectLst/>
          </c:spPr>
          <c:marker>
            <c:symbol val="none"/>
          </c:marker>
          <c:cat>
            <c:multiLvlStrRef>
              <c:f>TotalSales!$A$5:$B$49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TotalSales!$D$5:$D$49</c:f>
              <c:numCache>
                <c:formatCode>#,##0</c:formatCode>
                <c:ptCount val="44"/>
                <c:pt idx="0">
                  <c:v>305.96999999999997</c:v>
                </c:pt>
                <c:pt idx="1">
                  <c:v>50.16</c:v>
                </c:pt>
                <c:pt idx="2">
                  <c:v>336.97</c:v>
                </c:pt>
                <c:pt idx="3">
                  <c:v>556.87499999999989</c:v>
                </c:pt>
                <c:pt idx="4">
                  <c:v>83.025000000000006</c:v>
                </c:pt>
                <c:pt idx="5">
                  <c:v>678.3599999999999</c:v>
                </c:pt>
                <c:pt idx="6">
                  <c:v>220.46999999999994</c:v>
                </c:pt>
                <c:pt idx="8">
                  <c:v>49.5</c:v>
                </c:pt>
                <c:pt idx="9">
                  <c:v>153.76499999999999</c:v>
                </c:pt>
                <c:pt idx="10">
                  <c:v>63.249999999999993</c:v>
                </c:pt>
                <c:pt idx="11">
                  <c:v>452.26499999999987</c:v>
                </c:pt>
                <c:pt idx="12">
                  <c:v>65.805000000000007</c:v>
                </c:pt>
                <c:pt idx="13">
                  <c:v>328.23500000000001</c:v>
                </c:pt>
                <c:pt idx="14">
                  <c:v>162.13499999999996</c:v>
                </c:pt>
                <c:pt idx="15">
                  <c:v>322.95999999999998</c:v>
                </c:pt>
                <c:pt idx="16">
                  <c:v>472.88</c:v>
                </c:pt>
                <c:pt idx="17">
                  <c:v>215.52999999999997</c:v>
                </c:pt>
                <c:pt idx="18">
                  <c:v>31.624999999999996</c:v>
                </c:pt>
                <c:pt idx="19">
                  <c:v>50.22</c:v>
                </c:pt>
                <c:pt idx="20">
                  <c:v>53.46</c:v>
                </c:pt>
                <c:pt idx="21">
                  <c:v>326.33999999999997</c:v>
                </c:pt>
                <c:pt idx="22">
                  <c:v>142.56</c:v>
                </c:pt>
                <c:pt idx="23">
                  <c:v>395.66</c:v>
                </c:pt>
                <c:pt idx="24">
                  <c:v>68.075000000000003</c:v>
                </c:pt>
                <c:pt idx="25">
                  <c:v>235.64999999999998</c:v>
                </c:pt>
                <c:pt idx="26">
                  <c:v>361.32499999999993</c:v>
                </c:pt>
                <c:pt idx="27">
                  <c:v>159.64000000000001</c:v>
                </c:pt>
                <c:pt idx="28">
                  <c:v>91.83</c:v>
                </c:pt>
                <c:pt idx="29">
                  <c:v>67.454999999999998</c:v>
                </c:pt>
                <c:pt idx="30">
                  <c:v>305.32499999999999</c:v>
                </c:pt>
                <c:pt idx="31">
                  <c:v>192.42</c:v>
                </c:pt>
                <c:pt idx="32">
                  <c:v>91.125000000000014</c:v>
                </c:pt>
                <c:pt idx="33">
                  <c:v>191.57499999999999</c:v>
                </c:pt>
                <c:pt idx="34">
                  <c:v>402.21999999999997</c:v>
                </c:pt>
                <c:pt idx="35">
                  <c:v>75.3</c:v>
                </c:pt>
                <c:pt idx="36">
                  <c:v>115.02</c:v>
                </c:pt>
                <c:pt idx="37">
                  <c:v>109.515</c:v>
                </c:pt>
                <c:pt idx="38">
                  <c:v>130.85999999999996</c:v>
                </c:pt>
                <c:pt idx="39">
                  <c:v>245.20499999999996</c:v>
                </c:pt>
                <c:pt idx="40">
                  <c:v>138.245</c:v>
                </c:pt>
                <c:pt idx="41">
                  <c:v>426.2</c:v>
                </c:pt>
                <c:pt idx="42">
                  <c:v>187.285</c:v>
                </c:pt>
                <c:pt idx="43">
                  <c:v>41.25</c:v>
                </c:pt>
              </c:numCache>
            </c:numRef>
          </c:val>
          <c:smooth val="0"/>
          <c:extLst>
            <c:ext xmlns:c16="http://schemas.microsoft.com/office/drawing/2014/chart" uri="{C3380CC4-5D6E-409C-BE32-E72D297353CC}">
              <c16:uniqueId val="{00000005-3110-437F-905C-968FB2D498C7}"/>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TotalSales!$E$5:$E$49</c:f>
              <c:numCache>
                <c:formatCode>#,##0</c:formatCode>
                <c:ptCount val="44"/>
                <c:pt idx="0">
                  <c:v>66.259999999999991</c:v>
                </c:pt>
                <c:pt idx="1">
                  <c:v>330.44</c:v>
                </c:pt>
                <c:pt idx="2">
                  <c:v>247.58999999999997</c:v>
                </c:pt>
                <c:pt idx="3">
                  <c:v>455.755</c:v>
                </c:pt>
                <c:pt idx="4">
                  <c:v>193.83499999999998</c:v>
                </c:pt>
                <c:pt idx="5">
                  <c:v>171.04499999999999</c:v>
                </c:pt>
                <c:pt idx="6">
                  <c:v>76.08</c:v>
                </c:pt>
                <c:pt idx="7">
                  <c:v>31.08</c:v>
                </c:pt>
                <c:pt idx="8">
                  <c:v>347.10999999999996</c:v>
                </c:pt>
                <c:pt idx="9">
                  <c:v>163.75499999999997</c:v>
                </c:pt>
                <c:pt idx="10">
                  <c:v>319.19499999999994</c:v>
                </c:pt>
                <c:pt idx="11">
                  <c:v>39.81</c:v>
                </c:pt>
                <c:pt idx="12">
                  <c:v>258.82499999999999</c:v>
                </c:pt>
                <c:pt idx="13">
                  <c:v>194.17499999999998</c:v>
                </c:pt>
                <c:pt idx="14">
                  <c:v>217.80500000000001</c:v>
                </c:pt>
                <c:pt idx="15">
                  <c:v>103.85999999999999</c:v>
                </c:pt>
                <c:pt idx="16">
                  <c:v>83.43</c:v>
                </c:pt>
                <c:pt idx="17">
                  <c:v>277.64</c:v>
                </c:pt>
                <c:pt idx="18">
                  <c:v>97.564999999999998</c:v>
                </c:pt>
                <c:pt idx="19">
                  <c:v>47.55</c:v>
                </c:pt>
                <c:pt idx="20">
                  <c:v>89.13</c:v>
                </c:pt>
                <c:pt idx="21">
                  <c:v>303.51499999999999</c:v>
                </c:pt>
                <c:pt idx="22">
                  <c:v>267.78999999999996</c:v>
                </c:pt>
                <c:pt idx="23">
                  <c:v>46.62</c:v>
                </c:pt>
                <c:pt idx="24">
                  <c:v>231.96999999999997</c:v>
                </c:pt>
                <c:pt idx="25">
                  <c:v>251.83</c:v>
                </c:pt>
                <c:pt idx="26">
                  <c:v>245.005</c:v>
                </c:pt>
                <c:pt idx="27">
                  <c:v>511.22499999999991</c:v>
                </c:pt>
                <c:pt idx="28">
                  <c:v>190.84999999999997</c:v>
                </c:pt>
                <c:pt idx="29">
                  <c:v>170.75</c:v>
                </c:pt>
                <c:pt idx="30">
                  <c:v>61.034999999999997</c:v>
                </c:pt>
                <c:pt idx="31">
                  <c:v>28.53</c:v>
                </c:pt>
                <c:pt idx="32">
                  <c:v>132.47999999999999</c:v>
                </c:pt>
                <c:pt idx="33">
                  <c:v>348.48999999999995</c:v>
                </c:pt>
                <c:pt idx="34">
                  <c:v>210.16</c:v>
                </c:pt>
                <c:pt idx="35">
                  <c:v>349.36999999999995</c:v>
                </c:pt>
                <c:pt idx="36">
                  <c:v>673.26499999999987</c:v>
                </c:pt>
                <c:pt idx="37">
                  <c:v>91.174999999999997</c:v>
                </c:pt>
                <c:pt idx="38">
                  <c:v>410.70999999999992</c:v>
                </c:pt>
                <c:pt idx="39">
                  <c:v>88.545000000000002</c:v>
                </c:pt>
                <c:pt idx="40">
                  <c:v>183.93999999999997</c:v>
                </c:pt>
                <c:pt idx="41">
                  <c:v>170.08999999999997</c:v>
                </c:pt>
                <c:pt idx="42">
                  <c:v>191.80499999999998</c:v>
                </c:pt>
                <c:pt idx="43">
                  <c:v>15.54</c:v>
                </c:pt>
              </c:numCache>
            </c:numRef>
          </c:val>
          <c:smooth val="0"/>
          <c:extLst>
            <c:ext xmlns:c16="http://schemas.microsoft.com/office/drawing/2014/chart" uri="{C3380CC4-5D6E-409C-BE32-E72D297353CC}">
              <c16:uniqueId val="{00000006-3110-437F-905C-968FB2D498C7}"/>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TotalSales!$F$5:$F$49</c:f>
              <c:numCache>
                <c:formatCode>#,##0</c:formatCode>
                <c:ptCount val="44"/>
                <c:pt idx="0">
                  <c:v>63.3</c:v>
                </c:pt>
                <c:pt idx="1">
                  <c:v>73.389999999999986</c:v>
                </c:pt>
                <c:pt idx="2">
                  <c:v>66.284999999999997</c:v>
                </c:pt>
                <c:pt idx="3">
                  <c:v>114.1</c:v>
                </c:pt>
                <c:pt idx="4">
                  <c:v>68.039999999999992</c:v>
                </c:pt>
                <c:pt idx="5">
                  <c:v>318.55500000000001</c:v>
                </c:pt>
                <c:pt idx="6">
                  <c:v>132.465</c:v>
                </c:pt>
                <c:pt idx="7">
                  <c:v>166.27499999999998</c:v>
                </c:pt>
                <c:pt idx="8">
                  <c:v>433.19999999999993</c:v>
                </c:pt>
                <c:pt idx="9">
                  <c:v>30.464999999999996</c:v>
                </c:pt>
                <c:pt idx="10">
                  <c:v>36.704999999999998</c:v>
                </c:pt>
                <c:pt idx="11">
                  <c:v>162.78999999999996</c:v>
                </c:pt>
                <c:pt idx="12">
                  <c:v>59.72</c:v>
                </c:pt>
                <c:pt idx="13">
                  <c:v>429.82999999999993</c:v>
                </c:pt>
                <c:pt idx="14">
                  <c:v>201.78</c:v>
                </c:pt>
                <c:pt idx="15">
                  <c:v>240.04</c:v>
                </c:pt>
                <c:pt idx="16">
                  <c:v>59.079999999999991</c:v>
                </c:pt>
                <c:pt idx="17">
                  <c:v>140.88</c:v>
                </c:pt>
                <c:pt idx="18">
                  <c:v>307.03500000000003</c:v>
                </c:pt>
                <c:pt idx="19">
                  <c:v>94.929999999999978</c:v>
                </c:pt>
                <c:pt idx="20">
                  <c:v>254.85999999999996</c:v>
                </c:pt>
                <c:pt idx="21">
                  <c:v>174.46999999999997</c:v>
                </c:pt>
                <c:pt idx="22">
                  <c:v>54.334999999999994</c:v>
                </c:pt>
                <c:pt idx="23">
                  <c:v>77.10499999999999</c:v>
                </c:pt>
                <c:pt idx="24">
                  <c:v>160.19499999999999</c:v>
                </c:pt>
                <c:pt idx="25">
                  <c:v>26.849999999999998</c:v>
                </c:pt>
                <c:pt idx="26">
                  <c:v>157.60499999999999</c:v>
                </c:pt>
                <c:pt idx="27">
                  <c:v>82.339999999999989</c:v>
                </c:pt>
                <c:pt idx="28">
                  <c:v>272.69</c:v>
                </c:pt>
                <c:pt idx="29">
                  <c:v>88.334999999999994</c:v>
                </c:pt>
                <c:pt idx="30">
                  <c:v>145.79</c:v>
                </c:pt>
                <c:pt idx="31">
                  <c:v>239.78499999999997</c:v>
                </c:pt>
                <c:pt idx="32">
                  <c:v>109.93999999999998</c:v>
                </c:pt>
                <c:pt idx="33">
                  <c:v>166.76499999999999</c:v>
                </c:pt>
                <c:pt idx="34">
                  <c:v>109.875</c:v>
                </c:pt>
                <c:pt idx="35">
                  <c:v>137.42499999999998</c:v>
                </c:pt>
                <c:pt idx="36">
                  <c:v>78.034999999999997</c:v>
                </c:pt>
                <c:pt idx="37">
                  <c:v>17.91</c:v>
                </c:pt>
                <c:pt idx="38">
                  <c:v>333.82499999999999</c:v>
                </c:pt>
                <c:pt idx="39">
                  <c:v>131.60499999999999</c:v>
                </c:pt>
                <c:pt idx="40">
                  <c:v>244.71999999999997</c:v>
                </c:pt>
                <c:pt idx="41">
                  <c:v>343.51</c:v>
                </c:pt>
                <c:pt idx="42">
                  <c:v>72.05</c:v>
                </c:pt>
                <c:pt idx="43">
                  <c:v>47.16</c:v>
                </c:pt>
              </c:numCache>
            </c:numRef>
          </c:val>
          <c:smooth val="0"/>
          <c:extLst>
            <c:ext xmlns:c16="http://schemas.microsoft.com/office/drawing/2014/chart" uri="{C3380CC4-5D6E-409C-BE32-E72D297353CC}">
              <c16:uniqueId val="{00000007-3110-437F-905C-968FB2D498C7}"/>
            </c:ext>
          </c:extLst>
        </c:ser>
        <c:dLbls>
          <c:showLegendKey val="0"/>
          <c:showVal val="0"/>
          <c:showCatName val="0"/>
          <c:showSerName val="0"/>
          <c:showPercent val="0"/>
          <c:showBubbleSize val="0"/>
        </c:dLbls>
        <c:smooth val="0"/>
        <c:axId val="537304552"/>
        <c:axId val="537306192"/>
      </c:lineChart>
      <c:catAx>
        <c:axId val="537304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537306192"/>
        <c:crosses val="autoZero"/>
        <c:auto val="1"/>
        <c:lblAlgn val="ctr"/>
        <c:lblOffset val="100"/>
        <c:noMultiLvlLbl val="0"/>
      </c:catAx>
      <c:valAx>
        <c:axId val="537306192"/>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537304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3B6F0"/>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 Sales</c:name>
    <c:fmtId val="29"/>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Salse By Country</a:t>
            </a:r>
          </a:p>
        </c:rich>
      </c:tx>
      <c:layout>
        <c:manualLayout>
          <c:xMode val="edge"/>
          <c:yMode val="edge"/>
          <c:x val="0.37864587926509186"/>
          <c:y val="6.34479408935093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578537"/>
          </a:solidFill>
          <a:ln w="317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1BB59"/>
          </a:solidFill>
          <a:ln w="31750">
            <a:solidFill>
              <a:schemeClr val="bg1"/>
            </a:solidFill>
          </a:ln>
          <a:effectLst/>
        </c:spPr>
      </c:pivotFmt>
      <c:pivotFmt>
        <c:idx val="2"/>
        <c:spPr>
          <a:solidFill>
            <a:srgbClr val="B7D8A0"/>
          </a:solidFill>
          <a:ln w="31750">
            <a:solidFill>
              <a:schemeClr val="bg1"/>
            </a:solidFill>
          </a:ln>
          <a:effectLst/>
        </c:spPr>
      </c:pivotFmt>
      <c:pivotFmt>
        <c:idx val="3"/>
        <c:spPr>
          <a:solidFill>
            <a:srgbClr val="578537"/>
          </a:solidFill>
          <a:ln w="317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B7D8A0"/>
          </a:solidFill>
          <a:ln w="31750">
            <a:solidFill>
              <a:schemeClr val="bg1"/>
            </a:solidFill>
          </a:ln>
          <a:effectLst/>
        </c:spPr>
      </c:pivotFmt>
      <c:pivotFmt>
        <c:idx val="5"/>
        <c:spPr>
          <a:solidFill>
            <a:srgbClr val="81BB59"/>
          </a:solidFill>
          <a:ln w="31750">
            <a:solidFill>
              <a:schemeClr val="bg1"/>
            </a:solidFill>
          </a:ln>
          <a:effectLst/>
        </c:spPr>
      </c:pivotFmt>
      <c:pivotFmt>
        <c:idx val="6"/>
        <c:spPr>
          <a:solidFill>
            <a:srgbClr val="578537"/>
          </a:solidFill>
          <a:ln w="317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B7D8A0"/>
          </a:solidFill>
          <a:ln w="31750">
            <a:solidFill>
              <a:schemeClr val="bg1"/>
            </a:solidFill>
          </a:ln>
          <a:effectLst/>
        </c:spPr>
      </c:pivotFmt>
      <c:pivotFmt>
        <c:idx val="8"/>
        <c:spPr>
          <a:solidFill>
            <a:srgbClr val="81BB59"/>
          </a:solidFill>
          <a:ln w="31750">
            <a:solidFill>
              <a:schemeClr val="bg1"/>
            </a:solidFill>
          </a:ln>
          <a:effectLst/>
        </c:spPr>
      </c:pivotFmt>
      <c:pivotFmt>
        <c:idx val="9"/>
        <c:spPr>
          <a:solidFill>
            <a:srgbClr val="578537"/>
          </a:solidFill>
          <a:ln w="317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B7D8A0"/>
          </a:solidFill>
          <a:ln w="31750">
            <a:solidFill>
              <a:schemeClr val="bg1"/>
            </a:solidFill>
          </a:ln>
          <a:effectLst/>
        </c:spPr>
      </c:pivotFmt>
      <c:pivotFmt>
        <c:idx val="11"/>
        <c:spPr>
          <a:solidFill>
            <a:srgbClr val="81BB59"/>
          </a:solidFill>
          <a:ln w="3175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578537"/>
            </a:solidFill>
            <a:ln w="31750">
              <a:solidFill>
                <a:schemeClr val="bg1"/>
              </a:solidFill>
            </a:ln>
            <a:effectLst/>
          </c:spPr>
          <c:invertIfNegative val="0"/>
          <c:dPt>
            <c:idx val="0"/>
            <c:invertIfNegative val="0"/>
            <c:bubble3D val="0"/>
            <c:spPr>
              <a:solidFill>
                <a:srgbClr val="B7D8A0"/>
              </a:solidFill>
              <a:ln w="31750">
                <a:solidFill>
                  <a:schemeClr val="bg1"/>
                </a:solidFill>
              </a:ln>
              <a:effectLst/>
            </c:spPr>
            <c:extLst>
              <c:ext xmlns:c16="http://schemas.microsoft.com/office/drawing/2014/chart" uri="{C3380CC4-5D6E-409C-BE32-E72D297353CC}">
                <c16:uniqueId val="{00000001-2C1F-4056-85D9-AC892F6D6A1A}"/>
              </c:ext>
            </c:extLst>
          </c:dPt>
          <c:dPt>
            <c:idx val="1"/>
            <c:invertIfNegative val="0"/>
            <c:bubble3D val="0"/>
            <c:spPr>
              <a:solidFill>
                <a:srgbClr val="81BB59"/>
              </a:solidFill>
              <a:ln w="31750">
                <a:solidFill>
                  <a:schemeClr val="bg1"/>
                </a:solidFill>
              </a:ln>
              <a:effectLst/>
            </c:spPr>
            <c:extLst>
              <c:ext xmlns:c16="http://schemas.microsoft.com/office/drawing/2014/chart" uri="{C3380CC4-5D6E-409C-BE32-E72D297353CC}">
                <c16:uniqueId val="{00000003-2C1F-4056-85D9-AC892F6D6A1A}"/>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CountryBarChart!$A$4:$A$7</c:f>
              <c:strCache>
                <c:ptCount val="3"/>
                <c:pt idx="0">
                  <c:v>United Kingdom</c:v>
                </c:pt>
                <c:pt idx="1">
                  <c:v>Ireland</c:v>
                </c:pt>
                <c:pt idx="2">
                  <c:v>United States</c:v>
                </c:pt>
              </c:strCache>
            </c:strRef>
          </c:cat>
          <c:val>
            <c:numRef>
              <c:f>CountryBarChart!$B$4:$B$7</c:f>
              <c:numCache>
                <c:formatCode>[$$-409]#,##0</c:formatCode>
                <c:ptCount val="3"/>
                <c:pt idx="0">
                  <c:v>1951.4749999999999</c:v>
                </c:pt>
                <c:pt idx="1">
                  <c:v>6239.13</c:v>
                </c:pt>
                <c:pt idx="2">
                  <c:v>25932.899999999983</c:v>
                </c:pt>
              </c:numCache>
            </c:numRef>
          </c:val>
          <c:extLst>
            <c:ext xmlns:c16="http://schemas.microsoft.com/office/drawing/2014/chart" uri="{C3380CC4-5D6E-409C-BE32-E72D297353CC}">
              <c16:uniqueId val="{00000006-E094-4FD3-885F-E6F1E0DEBB46}"/>
            </c:ext>
          </c:extLst>
        </c:ser>
        <c:dLbls>
          <c:dLblPos val="outEnd"/>
          <c:showLegendKey val="0"/>
          <c:showVal val="1"/>
          <c:showCatName val="0"/>
          <c:showSerName val="0"/>
          <c:showPercent val="0"/>
          <c:showBubbleSize val="0"/>
        </c:dLbls>
        <c:gapWidth val="182"/>
        <c:axId val="462403608"/>
        <c:axId val="464924264"/>
      </c:barChart>
      <c:catAx>
        <c:axId val="462403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464924264"/>
        <c:crosses val="autoZero"/>
        <c:auto val="1"/>
        <c:lblAlgn val="ctr"/>
        <c:lblOffset val="100"/>
        <c:noMultiLvlLbl val="0"/>
      </c:catAx>
      <c:valAx>
        <c:axId val="464924264"/>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462403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3B6F0"/>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xdr:colOff>
      <xdr:row>0</xdr:row>
      <xdr:rowOff>0</xdr:rowOff>
    </xdr:from>
    <xdr:to>
      <xdr:col>26</xdr:col>
      <xdr:colOff>40821</xdr:colOff>
      <xdr:row>6</xdr:row>
      <xdr:rowOff>0</xdr:rowOff>
    </xdr:to>
    <xdr:sp macro="" textlink="">
      <xdr:nvSpPr>
        <xdr:cNvPr id="4" name="Rectangle: Rounded Corners 3">
          <a:extLst>
            <a:ext uri="{FF2B5EF4-FFF2-40B4-BE49-F238E27FC236}">
              <a16:creationId xmlns:a16="http://schemas.microsoft.com/office/drawing/2014/main" id="{4994606D-ABA9-470B-A522-93532DF0A3EB}"/>
            </a:ext>
          </a:extLst>
        </xdr:cNvPr>
        <xdr:cNvSpPr/>
      </xdr:nvSpPr>
      <xdr:spPr>
        <a:xfrm>
          <a:off x="108858" y="0"/>
          <a:ext cx="15348856" cy="1006929"/>
        </a:xfrm>
        <a:prstGeom prst="roundRect">
          <a:avLst/>
        </a:prstGeom>
        <a:solidFill>
          <a:srgbClr val="3C146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6000" b="1"/>
            <a:t>COFFEE</a:t>
          </a:r>
          <a:r>
            <a:rPr lang="en-US" sz="6000" b="1" baseline="0"/>
            <a:t> SELES DASHBOARD</a:t>
          </a:r>
          <a:endParaRPr lang="en-US" sz="6000" b="1"/>
        </a:p>
      </xdr:txBody>
    </xdr:sp>
    <xdr:clientData/>
  </xdr:twoCellAnchor>
  <xdr:twoCellAnchor editAs="oneCell">
    <xdr:from>
      <xdr:col>1</xdr:col>
      <xdr:colOff>0</xdr:colOff>
      <xdr:row>6</xdr:row>
      <xdr:rowOff>0</xdr:rowOff>
    </xdr:from>
    <xdr:to>
      <xdr:col>18</xdr:col>
      <xdr:colOff>0</xdr:colOff>
      <xdr:row>14</xdr:row>
      <xdr:rowOff>0</xdr:rowOff>
    </xdr:to>
    <mc:AlternateContent xmlns:mc="http://schemas.openxmlformats.org/markup-compatibility/2006">
      <mc:Choice xmlns:tsle="http://schemas.microsoft.com/office/drawing/2012/timeslicer" Requires="tsle">
        <xdr:graphicFrame macro="">
          <xdr:nvGraphicFramePr>
            <xdr:cNvPr id="15" name="Order Date">
              <a:extLst>
                <a:ext uri="{FF2B5EF4-FFF2-40B4-BE49-F238E27FC236}">
                  <a16:creationId xmlns:a16="http://schemas.microsoft.com/office/drawing/2014/main" id="{B7363987-EC4C-44BF-8505-30CFE2480A6E}"/>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19063" y="1012031"/>
              <a:ext cx="10322718" cy="152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1</xdr:colOff>
      <xdr:row>6</xdr:row>
      <xdr:rowOff>5103</xdr:rowOff>
    </xdr:from>
    <xdr:to>
      <xdr:col>22</xdr:col>
      <xdr:colOff>81642</xdr:colOff>
      <xdr:row>10</xdr:row>
      <xdr:rowOff>95250</xdr:rowOff>
    </xdr:to>
    <mc:AlternateContent xmlns:mc="http://schemas.openxmlformats.org/markup-compatibility/2006">
      <mc:Choice xmlns:a14="http://schemas.microsoft.com/office/drawing/2010/main" Requires="a14">
        <xdr:graphicFrame macro="">
          <xdr:nvGraphicFramePr>
            <xdr:cNvPr id="16" name="Size">
              <a:extLst>
                <a:ext uri="{FF2B5EF4-FFF2-40B4-BE49-F238E27FC236}">
                  <a16:creationId xmlns:a16="http://schemas.microsoft.com/office/drawing/2014/main" id="{2E22F358-9E62-48D2-9496-BC6FFB0AA1D0}"/>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0441782" y="1017134"/>
              <a:ext cx="2510516" cy="8521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xdr:colOff>
      <xdr:row>6</xdr:row>
      <xdr:rowOff>0</xdr:rowOff>
    </xdr:from>
    <xdr:to>
      <xdr:col>26</xdr:col>
      <xdr:colOff>0</xdr:colOff>
      <xdr:row>10</xdr:row>
      <xdr:rowOff>95250</xdr:rowOff>
    </xdr:to>
    <mc:AlternateContent xmlns:mc="http://schemas.openxmlformats.org/markup-compatibility/2006">
      <mc:Choice xmlns:a14="http://schemas.microsoft.com/office/drawing/2010/main" Requires="a14">
        <xdr:graphicFrame macro="">
          <xdr:nvGraphicFramePr>
            <xdr:cNvPr id="17" name="Loyalty Card">
              <a:extLst>
                <a:ext uri="{FF2B5EF4-FFF2-40B4-BE49-F238E27FC236}">
                  <a16:creationId xmlns:a16="http://schemas.microsoft.com/office/drawing/2014/main" id="{8391B99E-44E4-4E07-9401-AD7A1D926D2C}"/>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2870657" y="1012031"/>
              <a:ext cx="2428874" cy="857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10</xdr:row>
      <xdr:rowOff>90147</xdr:rowOff>
    </xdr:from>
    <xdr:to>
      <xdr:col>26</xdr:col>
      <xdr:colOff>0</xdr:colOff>
      <xdr:row>14</xdr:row>
      <xdr:rowOff>35718</xdr:rowOff>
    </xdr:to>
    <mc:AlternateContent xmlns:mc="http://schemas.openxmlformats.org/markup-compatibility/2006">
      <mc:Choice xmlns:a14="http://schemas.microsoft.com/office/drawing/2010/main" Requires="a14">
        <xdr:graphicFrame macro="">
          <xdr:nvGraphicFramePr>
            <xdr:cNvPr id="18" name="Roast Tybe Name">
              <a:extLst>
                <a:ext uri="{FF2B5EF4-FFF2-40B4-BE49-F238E27FC236}">
                  <a16:creationId xmlns:a16="http://schemas.microsoft.com/office/drawing/2014/main" id="{2E8591FA-0472-4469-970F-563C1A88C5C6}"/>
                </a:ext>
              </a:extLst>
            </xdr:cNvPr>
            <xdr:cNvGraphicFramePr/>
          </xdr:nvGraphicFramePr>
          <xdr:xfrm>
            <a:off x="0" y="0"/>
            <a:ext cx="0" cy="0"/>
          </xdr:xfrm>
          <a:graphic>
            <a:graphicData uri="http://schemas.microsoft.com/office/drawing/2010/slicer">
              <sle:slicer xmlns:sle="http://schemas.microsoft.com/office/drawing/2010/slicer" name="Roast Tybe Name"/>
            </a:graphicData>
          </a:graphic>
        </xdr:graphicFrame>
      </mc:Choice>
      <mc:Fallback>
        <xdr:sp macro="" textlink="">
          <xdr:nvSpPr>
            <xdr:cNvPr id="0" name=""/>
            <xdr:cNvSpPr>
              <a:spLocks noTextEdit="1"/>
            </xdr:cNvSpPr>
          </xdr:nvSpPr>
          <xdr:spPr>
            <a:xfrm>
              <a:off x="10441781" y="1864178"/>
              <a:ext cx="4857750" cy="7075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0</xdr:colOff>
      <xdr:row>14</xdr:row>
      <xdr:rowOff>35719</xdr:rowOff>
    </xdr:from>
    <xdr:to>
      <xdr:col>19</xdr:col>
      <xdr:colOff>0</xdr:colOff>
      <xdr:row>36</xdr:row>
      <xdr:rowOff>0</xdr:rowOff>
    </xdr:to>
    <xdr:graphicFrame macro="">
      <xdr:nvGraphicFramePr>
        <xdr:cNvPr id="19" name="Chart 18">
          <a:extLst>
            <a:ext uri="{FF2B5EF4-FFF2-40B4-BE49-F238E27FC236}">
              <a16:creationId xmlns:a16="http://schemas.microsoft.com/office/drawing/2014/main" id="{9E7AB98F-EDB2-484A-A248-16A8374EDD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0</xdr:colOff>
      <xdr:row>14</xdr:row>
      <xdr:rowOff>11906</xdr:rowOff>
    </xdr:from>
    <xdr:to>
      <xdr:col>26</xdr:col>
      <xdr:colOff>0</xdr:colOff>
      <xdr:row>36</xdr:row>
      <xdr:rowOff>0</xdr:rowOff>
    </xdr:to>
    <xdr:graphicFrame macro="">
      <xdr:nvGraphicFramePr>
        <xdr:cNvPr id="22" name="Chart 21">
          <a:extLst>
            <a:ext uri="{FF2B5EF4-FFF2-40B4-BE49-F238E27FC236}">
              <a16:creationId xmlns:a16="http://schemas.microsoft.com/office/drawing/2014/main" id="{18D6DEDE-F6C9-4FD8-B460-247999BB7E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14</xdr:row>
      <xdr:rowOff>27214</xdr:rowOff>
    </xdr:from>
    <xdr:to>
      <xdr:col>12</xdr:col>
      <xdr:colOff>23934</xdr:colOff>
      <xdr:row>36</xdr:row>
      <xdr:rowOff>-1</xdr:rowOff>
    </xdr:to>
    <xdr:graphicFrame macro="">
      <xdr:nvGraphicFramePr>
        <xdr:cNvPr id="24" name="Chart 23">
          <a:extLst>
            <a:ext uri="{FF2B5EF4-FFF2-40B4-BE49-F238E27FC236}">
              <a16:creationId xmlns:a16="http://schemas.microsoft.com/office/drawing/2014/main" id="{0EE7F0CA-BEE2-402B-B25C-706A6C8D3C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6569</xdr:colOff>
      <xdr:row>14</xdr:row>
      <xdr:rowOff>16012</xdr:rowOff>
    </xdr:from>
    <xdr:to>
      <xdr:col>19</xdr:col>
      <xdr:colOff>6569</xdr:colOff>
      <xdr:row>35</xdr:row>
      <xdr:rowOff>170793</xdr:rowOff>
    </xdr:to>
    <xdr:graphicFrame macro="">
      <xdr:nvGraphicFramePr>
        <xdr:cNvPr id="25" name="Chart 24">
          <a:extLst>
            <a:ext uri="{FF2B5EF4-FFF2-40B4-BE49-F238E27FC236}">
              <a16:creationId xmlns:a16="http://schemas.microsoft.com/office/drawing/2014/main" id="{649BB141-F843-4876-BD54-A1CD712B93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ba" refreshedDate="46199.475820486114" createdVersion="7" refreshedVersion="7" minRefreshableVersion="3" recordCount="1000" xr:uid="{347DBD8E-B698-41A0-98B7-B0AEAFAEA0E0}">
  <cacheSource type="worksheet">
    <worksheetSource name="Orders"/>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base="1">
        <rangePr groupBy="months" startDate="2019-01-02T00:00:00" endDate="2022-08-20T00:00:00"/>
        <groupItems count="14">
          <s v="&lt;02/01/2019"/>
          <s v="Jan"/>
          <s v="Feb"/>
          <s v="Mar"/>
          <s v="Apr"/>
          <s v="May"/>
          <s v="Jun"/>
          <s v="Jul"/>
          <s v="Aug"/>
          <s v="Sep"/>
          <s v="Oct"/>
          <s v="Nov"/>
          <s v="Dec"/>
          <s v="&gt;20/08/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ntainsBlank="1" count="916">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m u="1"/>
        <e v="#N/A" u="1"/>
        <s v="#SPILL!" u="1"/>
      </sharedItems>
    </cacheField>
    <cacheField name="Email" numFmtId="0">
      <sharedItems/>
    </cacheField>
    <cacheField name="Country" numFmtId="0">
      <sharedItems count="4">
        <s v="United States"/>
        <s v="Ireland"/>
        <s v="United Kingdom"/>
        <s v="" u="1"/>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8">
      <sharedItems containsSemiMixedTypes="0" containsString="0" containsNumber="1" minValue="2.6849999999999996" maxValue="36.454999999999998"/>
    </cacheField>
    <cacheField name="Sales" numFmtId="168">
      <sharedItems containsSemiMixedTypes="0" containsString="0" containsNumber="1" minValue="2.6849999999999996" maxValue="218.73"/>
    </cacheField>
    <cacheField name="Coffee Type Name" numFmtId="0">
      <sharedItems count="4">
        <s v="Robusta"/>
        <s v="Excelsa"/>
        <s v="Arabica"/>
        <s v="Liberica"/>
      </sharedItems>
    </cacheField>
    <cacheField name="Roast Tybe Name" numFmtId="0">
      <sharedItems count="3">
        <s v="Midium"/>
        <s v="Light"/>
        <s v="Dark"/>
      </sharedItems>
    </cacheField>
    <cacheField name="Loyalty Card" numFmtId="0">
      <sharedItems count="3">
        <s v="Yes"/>
        <s v="No"/>
        <e v="#N/A" u="1"/>
      </sharedItems>
    </cacheField>
    <cacheField name="Column1" numFmtId="0">
      <sharedItems containsMixedTypes="1" containsNumber="1" containsInteger="1" minValue="0" maxValue="0"/>
    </cacheField>
    <cacheField name="Years"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5257319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s v="Aloisia Allner"/>
  </r>
  <r>
    <s v="QEV-37451-860"/>
    <x v="0"/>
    <s v="17670-51384-MA"/>
    <s v="E-M-0.5"/>
    <n v="5"/>
    <x v="0"/>
    <s v="aallner0@lulu.com"/>
    <x v="0"/>
    <s v="Exc"/>
    <s v="M"/>
    <x v="1"/>
    <n v="8.25"/>
    <n v="41.25"/>
    <x v="1"/>
    <x v="0"/>
    <x v="0"/>
    <s v="Jami Redholes"/>
  </r>
  <r>
    <s v="FAA-43335-268"/>
    <x v="1"/>
    <s v="21125-22134-PX"/>
    <s v="A-L-1"/>
    <n v="1"/>
    <x v="1"/>
    <s v="jredholes2@tmall.com"/>
    <x v="0"/>
    <s v="Ara"/>
    <s v="L"/>
    <x v="0"/>
    <n v="12.95"/>
    <n v="12.95"/>
    <x v="2"/>
    <x v="1"/>
    <x v="0"/>
    <s v="Christoffer O' Shea"/>
  </r>
  <r>
    <s v="KAC-83089-793"/>
    <x v="2"/>
    <s v="23806-46781-OU"/>
    <s v="E-M-1"/>
    <n v="2"/>
    <x v="2"/>
    <s v=""/>
    <x v="1"/>
    <s v="Exc"/>
    <s v="M"/>
    <x v="0"/>
    <n v="13.75"/>
    <n v="27.5"/>
    <x v="1"/>
    <x v="0"/>
    <x v="1"/>
    <s v="Christoffer O' Shea"/>
  </r>
  <r>
    <s v="KAC-83089-793"/>
    <x v="2"/>
    <s v="23806-46781-OU"/>
    <s v="R-L-2.5"/>
    <n v="2"/>
    <x v="2"/>
    <s v=""/>
    <x v="1"/>
    <s v="Rob"/>
    <s v="L"/>
    <x v="2"/>
    <n v="27.484999999999996"/>
    <n v="54.969999999999992"/>
    <x v="0"/>
    <x v="1"/>
    <x v="1"/>
    <s v="Beryle Cottier"/>
  </r>
  <r>
    <s v="CVP-18956-553"/>
    <x v="3"/>
    <s v="86561-91660-RB"/>
    <s v="L-D-1"/>
    <n v="3"/>
    <x v="3"/>
    <s v=""/>
    <x v="0"/>
    <s v="Lib"/>
    <s v="D"/>
    <x v="0"/>
    <n v="12.95"/>
    <n v="38.849999999999994"/>
    <x v="3"/>
    <x v="2"/>
    <x v="1"/>
    <s v="Shaylynn Lobe"/>
  </r>
  <r>
    <s v="IPP-31994-879"/>
    <x v="4"/>
    <s v="65223-29612-CB"/>
    <s v="E-D-0.5"/>
    <n v="3"/>
    <x v="4"/>
    <s v="slobe6@nifty.com"/>
    <x v="0"/>
    <s v="Exc"/>
    <s v="D"/>
    <x v="1"/>
    <n v="7.29"/>
    <n v="21.87"/>
    <x v="1"/>
    <x v="2"/>
    <x v="0"/>
    <s v="Melvin Wharfe"/>
  </r>
  <r>
    <s v="SNZ-65340-705"/>
    <x v="5"/>
    <s v="21134-81676-FR"/>
    <s v="L-L-0.2"/>
    <n v="1"/>
    <x v="5"/>
    <s v=""/>
    <x v="1"/>
    <s v="Lib"/>
    <s v="L"/>
    <x v="3"/>
    <n v="4.7549999999999999"/>
    <n v="4.7549999999999999"/>
    <x v="3"/>
    <x v="1"/>
    <x v="0"/>
    <s v="Guthrey Petracci"/>
  </r>
  <r>
    <s v="EZT-46571-659"/>
    <x v="6"/>
    <s v="03396-68805-ZC"/>
    <s v="R-M-0.5"/>
    <n v="3"/>
    <x v="6"/>
    <s v="gpetracci8@livejournal.com"/>
    <x v="0"/>
    <s v="Rob"/>
    <s v="M"/>
    <x v="1"/>
    <n v="5.97"/>
    <n v="17.91"/>
    <x v="0"/>
    <x v="0"/>
    <x v="1"/>
    <s v="Rodger Raven"/>
  </r>
  <r>
    <s v="NWQ-70061-912"/>
    <x v="0"/>
    <s v="61021-27840-ZN"/>
    <s v="R-M-0.5"/>
    <n v="1"/>
    <x v="7"/>
    <s v="rraven9@ed.gov"/>
    <x v="0"/>
    <s v="Rob"/>
    <s v="M"/>
    <x v="1"/>
    <n v="5.97"/>
    <n v="5.97"/>
    <x v="0"/>
    <x v="0"/>
    <x v="1"/>
    <s v="Ferrell Ferber"/>
  </r>
  <r>
    <s v="BKK-47233-845"/>
    <x v="7"/>
    <s v="76239-90137-UQ"/>
    <s v="A-D-1"/>
    <n v="4"/>
    <x v="8"/>
    <s v="fferbera@businesswire.com"/>
    <x v="0"/>
    <s v="Ara"/>
    <s v="D"/>
    <x v="0"/>
    <n v="9.9499999999999993"/>
    <n v="39.799999999999997"/>
    <x v="2"/>
    <x v="2"/>
    <x v="1"/>
    <s v="Duky Phizackerly"/>
  </r>
  <r>
    <s v="VQR-01002-970"/>
    <x v="8"/>
    <s v="49315-21985-BB"/>
    <s v="E-L-2.5"/>
    <n v="5"/>
    <x v="9"/>
    <s v="dphizackerlyb@utexas.edu"/>
    <x v="0"/>
    <s v="Exc"/>
    <s v="L"/>
    <x v="2"/>
    <n v="34.154999999999994"/>
    <n v="170.77499999999998"/>
    <x v="1"/>
    <x v="1"/>
    <x v="0"/>
    <s v="Rosaleen Scholar"/>
  </r>
  <r>
    <s v="SZW-48378-399"/>
    <x v="9"/>
    <s v="34136-36674-OM"/>
    <s v="R-M-1"/>
    <n v="5"/>
    <x v="10"/>
    <s v="rscholarc@nyu.edu"/>
    <x v="0"/>
    <s v="Rob"/>
    <s v="M"/>
    <x v="0"/>
    <n v="9.9499999999999993"/>
    <n v="49.75"/>
    <x v="0"/>
    <x v="0"/>
    <x v="1"/>
    <s v="Terence Vanyutin"/>
  </r>
  <r>
    <s v="ITA-87418-783"/>
    <x v="10"/>
    <s v="39396-12890-PE"/>
    <s v="R-D-2.5"/>
    <n v="2"/>
    <x v="11"/>
    <s v="tvanyutind@wix.com"/>
    <x v="0"/>
    <s v="Rob"/>
    <s v="D"/>
    <x v="2"/>
    <n v="20.584999999999997"/>
    <n v="41.169999999999995"/>
    <x v="0"/>
    <x v="2"/>
    <x v="1"/>
    <s v="Patrice Trobe"/>
  </r>
  <r>
    <s v="GNZ-46006-527"/>
    <x v="11"/>
    <s v="95875-73336-RG"/>
    <s v="L-D-0.2"/>
    <n v="3"/>
    <x v="12"/>
    <s v="ptrobee@wunderground.com"/>
    <x v="0"/>
    <s v="Lib"/>
    <s v="D"/>
    <x v="3"/>
    <n v="3.8849999999999998"/>
    <n v="11.654999999999999"/>
    <x v="3"/>
    <x v="2"/>
    <x v="0"/>
    <s v="Llywellyn Oscroft"/>
  </r>
  <r>
    <s v="FYQ-78248-319"/>
    <x v="12"/>
    <s v="25473-43727-BY"/>
    <s v="R-M-2.5"/>
    <n v="5"/>
    <x v="13"/>
    <s v="loscroftf@ebay.co.uk"/>
    <x v="0"/>
    <s v="Rob"/>
    <s v="M"/>
    <x v="2"/>
    <n v="22.884999999999998"/>
    <n v="114.42499999999998"/>
    <x v="0"/>
    <x v="0"/>
    <x v="1"/>
    <s v="Minni Alabaster"/>
  </r>
  <r>
    <s v="VAU-44387-624"/>
    <x v="13"/>
    <s v="99643-51048-IQ"/>
    <s v="A-M-0.2"/>
    <n v="6"/>
    <x v="14"/>
    <s v="malabasterg@hexun.com"/>
    <x v="0"/>
    <s v="Ara"/>
    <s v="M"/>
    <x v="3"/>
    <n v="3.375"/>
    <n v="20.25"/>
    <x v="2"/>
    <x v="0"/>
    <x v="1"/>
    <s v="Rhianon Broxup"/>
  </r>
  <r>
    <s v="RDW-33155-159"/>
    <x v="14"/>
    <s v="62173-15287-CU"/>
    <s v="A-L-1"/>
    <n v="6"/>
    <x v="15"/>
    <s v="rbroxuph@jimdo.com"/>
    <x v="0"/>
    <s v="Ara"/>
    <s v="L"/>
    <x v="0"/>
    <n v="12.95"/>
    <n v="77.699999999999989"/>
    <x v="2"/>
    <x v="1"/>
    <x v="1"/>
    <s v="Pall Redford"/>
  </r>
  <r>
    <s v="TDZ-59011-211"/>
    <x v="15"/>
    <s v="57611-05522-ST"/>
    <s v="R-D-2.5"/>
    <n v="4"/>
    <x v="16"/>
    <s v="predfordi@ow.ly"/>
    <x v="1"/>
    <s v="Rob"/>
    <s v="D"/>
    <x v="2"/>
    <n v="20.584999999999997"/>
    <n v="82.339999999999989"/>
    <x v="0"/>
    <x v="2"/>
    <x v="0"/>
    <s v="Aurea Corradino"/>
  </r>
  <r>
    <s v="IDU-25793-399"/>
    <x v="16"/>
    <s v="76664-37050-DT"/>
    <s v="A-M-0.2"/>
    <n v="5"/>
    <x v="17"/>
    <s v="acorradinoj@harvard.edu"/>
    <x v="0"/>
    <s v="Ara"/>
    <s v="M"/>
    <x v="3"/>
    <n v="3.375"/>
    <n v="16.875"/>
    <x v="2"/>
    <x v="0"/>
    <x v="0"/>
    <s v="Aurea Corradino"/>
  </r>
  <r>
    <s v="IDU-25793-399"/>
    <x v="16"/>
    <s v="76664-37050-DT"/>
    <s v="E-D-0.2"/>
    <n v="4"/>
    <x v="17"/>
    <s v="acorradinoj@harvard.edu"/>
    <x v="0"/>
    <s v="Exc"/>
    <s v="D"/>
    <x v="3"/>
    <n v="3.645"/>
    <n v="14.58"/>
    <x v="1"/>
    <x v="2"/>
    <x v="0"/>
    <s v="Avrit Davidowsky"/>
  </r>
  <r>
    <s v="NUO-20013-488"/>
    <x v="16"/>
    <s v="03090-88267-BQ"/>
    <s v="A-D-0.2"/>
    <n v="6"/>
    <x v="18"/>
    <s v="adavidowskyl@netvibes.com"/>
    <x v="0"/>
    <s v="Ara"/>
    <s v="D"/>
    <x v="3"/>
    <n v="2.9849999999999999"/>
    <n v="17.91"/>
    <x v="2"/>
    <x v="2"/>
    <x v="1"/>
    <s v="Annabel Antuk"/>
  </r>
  <r>
    <s v="UQU-65630-479"/>
    <x v="17"/>
    <s v="37651-47492-NC"/>
    <s v="R-M-2.5"/>
    <n v="4"/>
    <x v="19"/>
    <s v="aantukm@kickstarter.com"/>
    <x v="0"/>
    <s v="Rob"/>
    <s v="M"/>
    <x v="2"/>
    <n v="22.884999999999998"/>
    <n v="91.539999999999992"/>
    <x v="0"/>
    <x v="0"/>
    <x v="0"/>
    <s v="Iorgo Kleinert"/>
  </r>
  <r>
    <s v="FEO-11834-332"/>
    <x v="18"/>
    <s v="95399-57205-HI"/>
    <s v="A-D-0.2"/>
    <n v="4"/>
    <x v="20"/>
    <s v="ikleinertn@timesonline.co.uk"/>
    <x v="0"/>
    <s v="Ara"/>
    <s v="D"/>
    <x v="3"/>
    <n v="2.9849999999999999"/>
    <n v="11.94"/>
    <x v="2"/>
    <x v="2"/>
    <x v="0"/>
    <s v="Chrisy Blofeld"/>
  </r>
  <r>
    <s v="TKY-71558-096"/>
    <x v="19"/>
    <s v="24010-66714-HW"/>
    <s v="A-M-1"/>
    <n v="1"/>
    <x v="21"/>
    <s v="cblofeldo@amazon.co.uk"/>
    <x v="0"/>
    <s v="Ara"/>
    <s v="M"/>
    <x v="0"/>
    <n v="11.25"/>
    <n v="11.25"/>
    <x v="2"/>
    <x v="0"/>
    <x v="1"/>
    <s v="Culley Farris"/>
  </r>
  <r>
    <s v="OXY-65322-253"/>
    <x v="20"/>
    <s v="07591-92789-UA"/>
    <s v="E-M-0.2"/>
    <n v="3"/>
    <x v="22"/>
    <s v=""/>
    <x v="0"/>
    <s v="Exc"/>
    <s v="M"/>
    <x v="3"/>
    <n v="4.125"/>
    <n v="12.375"/>
    <x v="1"/>
    <x v="0"/>
    <x v="0"/>
    <s v="Selene Shales"/>
  </r>
  <r>
    <s v="EVP-43500-491"/>
    <x v="21"/>
    <s v="49231-44455-IC"/>
    <s v="A-M-0.5"/>
    <n v="4"/>
    <x v="23"/>
    <s v="sshalesq@umich.edu"/>
    <x v="0"/>
    <s v="Ara"/>
    <s v="M"/>
    <x v="1"/>
    <n v="6.75"/>
    <n v="27"/>
    <x v="2"/>
    <x v="0"/>
    <x v="0"/>
    <s v="Vivie Danneil"/>
  </r>
  <r>
    <s v="WAG-26945-689"/>
    <x v="22"/>
    <s v="50124-88608-EO"/>
    <s v="A-M-0.2"/>
    <n v="5"/>
    <x v="24"/>
    <s v="vdanneilr@mtv.com"/>
    <x v="1"/>
    <s v="Ara"/>
    <s v="M"/>
    <x v="3"/>
    <n v="3.375"/>
    <n v="16.875"/>
    <x v="2"/>
    <x v="0"/>
    <x v="1"/>
    <s v="Theresita Newbury"/>
  </r>
  <r>
    <s v="CHE-78995-767"/>
    <x v="23"/>
    <s v="00888-74814-UZ"/>
    <s v="A-D-0.5"/>
    <n v="3"/>
    <x v="25"/>
    <s v="tnewburys@usda.gov"/>
    <x v="1"/>
    <s v="Ara"/>
    <s v="D"/>
    <x v="1"/>
    <n v="5.97"/>
    <n v="17.91"/>
    <x v="2"/>
    <x v="2"/>
    <x v="1"/>
    <s v="Mozelle Calcutt"/>
  </r>
  <r>
    <s v="RYZ-14633-602"/>
    <x v="21"/>
    <s v="14158-30713-OB"/>
    <s v="A-D-1"/>
    <n v="4"/>
    <x v="26"/>
    <s v="mcalcuttt@baidu.com"/>
    <x v="1"/>
    <s v="Ara"/>
    <s v="D"/>
    <x v="0"/>
    <n v="9.9499999999999993"/>
    <n v="39.799999999999997"/>
    <x v="2"/>
    <x v="2"/>
    <x v="0"/>
    <s v="Adrian Swaine"/>
  </r>
  <r>
    <s v="WOQ-36015-429"/>
    <x v="24"/>
    <s v="51427-89175-QJ"/>
    <s v="L-M-0.2"/>
    <n v="5"/>
    <x v="27"/>
    <s v=""/>
    <x v="0"/>
    <s v="Lib"/>
    <s v="M"/>
    <x v="3"/>
    <n v="4.3650000000000002"/>
    <n v="21.825000000000003"/>
    <x v="3"/>
    <x v="0"/>
    <x v="1"/>
    <s v="Adrian Swaine"/>
  </r>
  <r>
    <s v="WOQ-36015-429"/>
    <x v="24"/>
    <s v="51427-89175-QJ"/>
    <s v="A-D-0.5"/>
    <n v="6"/>
    <x v="27"/>
    <s v=""/>
    <x v="0"/>
    <s v="Ara"/>
    <s v="D"/>
    <x v="1"/>
    <n v="5.97"/>
    <n v="35.82"/>
    <x v="2"/>
    <x v="2"/>
    <x v="1"/>
    <s v="Adrian Swaine"/>
  </r>
  <r>
    <s v="WOQ-36015-429"/>
    <x v="24"/>
    <s v="51427-89175-QJ"/>
    <s v="L-M-0.5"/>
    <n v="6"/>
    <x v="27"/>
    <e v="#N/A"/>
    <x v="1"/>
    <s v="Lib"/>
    <s v="M"/>
    <x v="1"/>
    <n v="8.73"/>
    <n v="52.38"/>
    <x v="3"/>
    <x v="0"/>
    <x v="1"/>
    <s v="Gallard Gatheral"/>
  </r>
  <r>
    <s v="SCT-60553-454"/>
    <x v="25"/>
    <s v="39123-12846-YJ"/>
    <s v="L-L-0.2"/>
    <n v="5"/>
    <x v="28"/>
    <s v="ggatheralx@123-reg.co.uk"/>
    <x v="0"/>
    <s v="Lib"/>
    <s v="L"/>
    <x v="3"/>
    <n v="4.7549999999999999"/>
    <n v="23.774999999999999"/>
    <x v="3"/>
    <x v="1"/>
    <x v="1"/>
    <s v="Una Welberry"/>
  </r>
  <r>
    <s v="GFK-52063-244"/>
    <x v="26"/>
    <s v="44981-99666-XB"/>
    <s v="L-L-0.5"/>
    <n v="6"/>
    <x v="29"/>
    <s v="uwelberryy@ebay.co.uk"/>
    <x v="2"/>
    <s v="Lib"/>
    <s v="L"/>
    <x v="1"/>
    <n v="9.51"/>
    <n v="57.06"/>
    <x v="3"/>
    <x v="1"/>
    <x v="0"/>
    <s v="Faber Eilhart"/>
  </r>
  <r>
    <s v="AMM-79521-378"/>
    <x v="27"/>
    <s v="24825-51803-CQ"/>
    <s v="A-D-0.5"/>
    <n v="6"/>
    <x v="30"/>
    <s v="feilhartz@who.int"/>
    <x v="0"/>
    <s v="Ara"/>
    <s v="D"/>
    <x v="1"/>
    <n v="5.97"/>
    <n v="35.82"/>
    <x v="2"/>
    <x v="2"/>
    <x v="1"/>
    <s v="Zorina Ponting"/>
  </r>
  <r>
    <s v="QUQ-90580-772"/>
    <x v="28"/>
    <s v="77634-13918-GJ"/>
    <s v="L-M-0.2"/>
    <n v="2"/>
    <x v="31"/>
    <s v="zponting10@altervista.org"/>
    <x v="0"/>
    <s v="Lib"/>
    <s v="M"/>
    <x v="3"/>
    <n v="4.3650000000000002"/>
    <n v="8.73"/>
    <x v="3"/>
    <x v="0"/>
    <x v="1"/>
    <s v="Silvio Strase"/>
  </r>
  <r>
    <s v="LGD-24408-274"/>
    <x v="29"/>
    <s v="13694-25001-LX"/>
    <s v="L-L-0.5"/>
    <n v="3"/>
    <x v="32"/>
    <s v="sstrase11@booking.com"/>
    <x v="0"/>
    <s v="Lib"/>
    <s v="L"/>
    <x v="1"/>
    <n v="9.51"/>
    <n v="28.53"/>
    <x v="3"/>
    <x v="1"/>
    <x v="1"/>
    <s v="Dorie de la Tremoille"/>
  </r>
  <r>
    <s v="HCT-95608-959"/>
    <x v="30"/>
    <s v="08523-01791-TI"/>
    <s v="R-M-2.5"/>
    <n v="5"/>
    <x v="33"/>
    <s v="dde12@unesco.org"/>
    <x v="0"/>
    <s v="Rob"/>
    <s v="M"/>
    <x v="2"/>
    <n v="22.884999999999998"/>
    <n v="114.42499999999998"/>
    <x v="0"/>
    <x v="0"/>
    <x v="1"/>
    <s v="Hy Zanetto"/>
  </r>
  <r>
    <s v="OFX-99147-470"/>
    <x v="31"/>
    <s v="49860-68865-AB"/>
    <s v="R-M-1"/>
    <n v="6"/>
    <x v="34"/>
    <s v=""/>
    <x v="0"/>
    <s v="Rob"/>
    <s v="M"/>
    <x v="0"/>
    <n v="9.9499999999999993"/>
    <n v="59.699999999999996"/>
    <x v="0"/>
    <x v="0"/>
    <x v="0"/>
    <s v="Jessica McNess"/>
  </r>
  <r>
    <s v="LUO-37559-016"/>
    <x v="32"/>
    <s v="21240-83132-SP"/>
    <s v="L-M-1"/>
    <n v="3"/>
    <x v="35"/>
    <s v=""/>
    <x v="0"/>
    <s v="Lib"/>
    <s v="M"/>
    <x v="0"/>
    <n v="14.55"/>
    <n v="43.650000000000006"/>
    <x v="3"/>
    <x v="0"/>
    <x v="1"/>
    <s v="Lorenzo Yeoland"/>
  </r>
  <r>
    <s v="XWC-20610-167"/>
    <x v="33"/>
    <s v="08350-81623-TF"/>
    <s v="E-D-0.2"/>
    <n v="2"/>
    <x v="36"/>
    <s v="lyeoland15@pbs.org"/>
    <x v="0"/>
    <s v="Exc"/>
    <s v="D"/>
    <x v="3"/>
    <n v="3.645"/>
    <n v="7.29"/>
    <x v="1"/>
    <x v="2"/>
    <x v="0"/>
    <s v="Abigail Tolworthy"/>
  </r>
  <r>
    <s v="GPU-79113-136"/>
    <x v="34"/>
    <s v="73284-01385-SJ"/>
    <s v="R-D-0.2"/>
    <n v="3"/>
    <x v="37"/>
    <s v="atolworthy16@toplist.cz"/>
    <x v="0"/>
    <s v="Rob"/>
    <s v="D"/>
    <x v="3"/>
    <n v="2.6849999999999996"/>
    <n v="8.0549999999999997"/>
    <x v="0"/>
    <x v="2"/>
    <x v="0"/>
    <s v="Maurie Bartol"/>
  </r>
  <r>
    <s v="ULR-52653-960"/>
    <x v="35"/>
    <s v="04152-34436-IE"/>
    <s v="L-L-2.5"/>
    <n v="2"/>
    <x v="38"/>
    <s v=""/>
    <x v="0"/>
    <s v="Lib"/>
    <s v="L"/>
    <x v="2"/>
    <n v="36.454999999999998"/>
    <n v="72.91"/>
    <x v="3"/>
    <x v="1"/>
    <x v="1"/>
    <s v="Olag Baudassi"/>
  </r>
  <r>
    <s v="HPI-42308-142"/>
    <x v="36"/>
    <s v="06631-86965-XP"/>
    <s v="E-M-0.5"/>
    <n v="2"/>
    <x v="39"/>
    <s v="obaudassi18@seesaa.net"/>
    <x v="0"/>
    <s v="Exc"/>
    <s v="M"/>
    <x v="1"/>
    <n v="8.25"/>
    <n v="16.5"/>
    <x v="1"/>
    <x v="0"/>
    <x v="0"/>
    <s v="Petey Kingsbury"/>
  </r>
  <r>
    <s v="XHI-30227-581"/>
    <x v="37"/>
    <s v="54619-08558-ZU"/>
    <s v="L-D-2.5"/>
    <n v="6"/>
    <x v="40"/>
    <s v="pkingsbury19@comcast.net"/>
    <x v="0"/>
    <s v="Lib"/>
    <s v="D"/>
    <x v="2"/>
    <n v="29.784999999999997"/>
    <n v="178.70999999999998"/>
    <x v="3"/>
    <x v="2"/>
    <x v="1"/>
    <s v="Donna Baskeyfied"/>
  </r>
  <r>
    <s v="DJH-05202-380"/>
    <x v="38"/>
    <s v="85589-17020-CX"/>
    <s v="E-M-2.5"/>
    <n v="2"/>
    <x v="41"/>
    <s v=""/>
    <x v="0"/>
    <s v="Exc"/>
    <s v="M"/>
    <x v="2"/>
    <n v="31.624999999999996"/>
    <n v="63.249999999999993"/>
    <x v="1"/>
    <x v="0"/>
    <x v="0"/>
    <s v="Arda Curley"/>
  </r>
  <r>
    <s v="VMW-26889-781"/>
    <x v="39"/>
    <s v="36078-91009-WU"/>
    <s v="A-L-0.2"/>
    <n v="2"/>
    <x v="42"/>
    <s v="acurley1b@hao123.com"/>
    <x v="0"/>
    <s v="Ara"/>
    <s v="L"/>
    <x v="3"/>
    <n v="3.8849999999999998"/>
    <n v="7.77"/>
    <x v="2"/>
    <x v="1"/>
    <x v="0"/>
    <s v="Raynor McGilvary"/>
  </r>
  <r>
    <s v="DBU-81099-586"/>
    <x v="40"/>
    <s v="15770-27099-GX"/>
    <s v="A-D-2.5"/>
    <n v="4"/>
    <x v="43"/>
    <s v="rmcgilvary1c@tamu.edu"/>
    <x v="0"/>
    <s v="Ara"/>
    <s v="D"/>
    <x v="2"/>
    <n v="22.884999999999998"/>
    <n v="91.539999999999992"/>
    <x v="2"/>
    <x v="2"/>
    <x v="1"/>
    <s v="Isis Pikett"/>
  </r>
  <r>
    <s v="PQA-54820-810"/>
    <x v="41"/>
    <s v="91460-04823-BX"/>
    <s v="A-L-1"/>
    <n v="3"/>
    <x v="44"/>
    <s v="ipikett1d@xinhuanet.com"/>
    <x v="0"/>
    <s v="Ara"/>
    <s v="L"/>
    <x v="0"/>
    <n v="12.95"/>
    <n v="38.849999999999994"/>
    <x v="2"/>
    <x v="1"/>
    <x v="1"/>
    <s v="Inger Bouldon"/>
  </r>
  <r>
    <s v="XKB-41924-202"/>
    <x v="42"/>
    <s v="45089-52817-WN"/>
    <s v="L-D-0.5"/>
    <n v="2"/>
    <x v="45"/>
    <s v="ibouldon1e@gizmodo.com"/>
    <x v="0"/>
    <s v="Lib"/>
    <s v="D"/>
    <x v="1"/>
    <n v="7.77"/>
    <n v="15.54"/>
    <x v="3"/>
    <x v="2"/>
    <x v="1"/>
    <s v="Karry Flanders"/>
  </r>
  <r>
    <s v="DWZ-69106-473"/>
    <x v="43"/>
    <s v="76447-50326-IC"/>
    <s v="L-L-2.5"/>
    <n v="4"/>
    <x v="46"/>
    <s v="kflanders1f@over-blog.com"/>
    <x v="1"/>
    <s v="Lib"/>
    <s v="L"/>
    <x v="2"/>
    <n v="36.454999999999998"/>
    <n v="145.82"/>
    <x v="3"/>
    <x v="1"/>
    <x v="0"/>
    <s v="Hartley Mattioli"/>
  </r>
  <r>
    <s v="YHV-68700-050"/>
    <x v="44"/>
    <s v="26333-67911-OL"/>
    <s v="R-M-0.5"/>
    <n v="5"/>
    <x v="47"/>
    <s v="hmattioli1g@webmd.com"/>
    <x v="2"/>
    <s v="Rob"/>
    <s v="M"/>
    <x v="1"/>
    <n v="5.97"/>
    <n v="29.849999999999998"/>
    <x v="0"/>
    <x v="0"/>
    <x v="1"/>
    <s v="Hartley Mattioli"/>
  </r>
  <r>
    <s v="YHV-68700-050"/>
    <x v="44"/>
    <s v="26333-67911-OL"/>
    <s v="L-L-2.5"/>
    <n v="2"/>
    <x v="47"/>
    <s v="hmattioli1g@webmd.com"/>
    <x v="2"/>
    <s v="Lib"/>
    <s v="L"/>
    <x v="2"/>
    <n v="36.454999999999998"/>
    <n v="72.91"/>
    <x v="3"/>
    <x v="1"/>
    <x v="1"/>
    <s v="Archambault Gillard"/>
  </r>
  <r>
    <s v="KRB-88066-642"/>
    <x v="45"/>
    <s v="22107-86640-SB"/>
    <s v="L-M-1"/>
    <n v="5"/>
    <x v="48"/>
    <s v="agillard1i@issuu.com"/>
    <x v="0"/>
    <s v="Lib"/>
    <s v="M"/>
    <x v="0"/>
    <n v="14.55"/>
    <n v="72.75"/>
    <x v="3"/>
    <x v="0"/>
    <x v="1"/>
    <s v="Salomo Cushworth"/>
  </r>
  <r>
    <s v="LQU-08404-173"/>
    <x v="46"/>
    <s v="09960-34242-LZ"/>
    <s v="L-L-1"/>
    <n v="3"/>
    <x v="49"/>
    <s v=""/>
    <x v="0"/>
    <s v="Lib"/>
    <s v="L"/>
    <x v="0"/>
    <n v="15.85"/>
    <n v="47.55"/>
    <x v="3"/>
    <x v="1"/>
    <x v="1"/>
    <s v="Theda Grizard"/>
  </r>
  <r>
    <s v="CWK-60159-881"/>
    <x v="47"/>
    <s v="04671-85591-RT"/>
    <s v="E-D-0.2"/>
    <n v="3"/>
    <x v="50"/>
    <s v="tgrizard1k@odnoklassniki.ru"/>
    <x v="0"/>
    <s v="Exc"/>
    <s v="D"/>
    <x v="3"/>
    <n v="3.645"/>
    <n v="10.935"/>
    <x v="1"/>
    <x v="2"/>
    <x v="0"/>
    <s v="Rozele Relton"/>
  </r>
  <r>
    <s v="EEG-74197-843"/>
    <x v="48"/>
    <s v="25729-68859-UA"/>
    <s v="E-L-1"/>
    <n v="4"/>
    <x v="51"/>
    <s v="rrelton1l@stanford.edu"/>
    <x v="0"/>
    <s v="Exc"/>
    <s v="L"/>
    <x v="0"/>
    <n v="14.85"/>
    <n v="59.4"/>
    <x v="1"/>
    <x v="1"/>
    <x v="1"/>
    <s v="Willa Rolling"/>
  </r>
  <r>
    <s v="UCZ-59708-525"/>
    <x v="49"/>
    <s v="05501-86351-NX"/>
    <s v="L-D-2.5"/>
    <n v="3"/>
    <x v="52"/>
    <s v=""/>
    <x v="0"/>
    <s v="Lib"/>
    <s v="D"/>
    <x v="2"/>
    <n v="29.784999999999997"/>
    <n v="89.35499999999999"/>
    <x v="3"/>
    <x v="2"/>
    <x v="0"/>
    <s v="Stanislaus Gilroy"/>
  </r>
  <r>
    <s v="HUB-47311-849"/>
    <x v="50"/>
    <s v="04521-04300-OK"/>
    <s v="L-M-0.5"/>
    <n v="3"/>
    <x v="53"/>
    <s v="sgilroy1n@eepurl.com"/>
    <x v="0"/>
    <s v="Lib"/>
    <s v="M"/>
    <x v="1"/>
    <n v="8.73"/>
    <n v="26.19"/>
    <x v="3"/>
    <x v="0"/>
    <x v="0"/>
    <s v="Correy Cottingham"/>
  </r>
  <r>
    <s v="WYM-17686-694"/>
    <x v="51"/>
    <s v="58689-55264-VK"/>
    <s v="A-D-2.5"/>
    <n v="5"/>
    <x v="54"/>
    <s v="ccottingham1o@wikipedia.org"/>
    <x v="0"/>
    <s v="Ara"/>
    <s v="D"/>
    <x v="2"/>
    <n v="22.884999999999998"/>
    <n v="114.42499999999998"/>
    <x v="2"/>
    <x v="2"/>
    <x v="1"/>
    <s v="Pammi Endacott"/>
  </r>
  <r>
    <s v="ZYQ-15797-695"/>
    <x v="52"/>
    <s v="79436-73011-MM"/>
    <s v="R-D-0.5"/>
    <n v="5"/>
    <x v="55"/>
    <s v=""/>
    <x v="2"/>
    <s v="Rob"/>
    <s v="D"/>
    <x v="1"/>
    <n v="5.3699999999999992"/>
    <n v="26.849999999999994"/>
    <x v="0"/>
    <x v="2"/>
    <x v="0"/>
    <s v="Nona Linklater"/>
  </r>
  <r>
    <s v="EEJ-16185-108"/>
    <x v="53"/>
    <s v="65552-60476-KY"/>
    <s v="L-L-0.2"/>
    <n v="5"/>
    <x v="56"/>
    <s v=""/>
    <x v="0"/>
    <s v="Lib"/>
    <s v="L"/>
    <x v="3"/>
    <n v="4.7549999999999999"/>
    <n v="23.774999999999999"/>
    <x v="3"/>
    <x v="1"/>
    <x v="0"/>
    <s v="Annadiane Dykes"/>
  </r>
  <r>
    <s v="RWR-77888-800"/>
    <x v="54"/>
    <s v="69904-02729-YS"/>
    <s v="A-M-0.5"/>
    <n v="1"/>
    <x v="57"/>
    <s v="adykes1r@eventbrite.com"/>
    <x v="0"/>
    <s v="Ara"/>
    <s v="M"/>
    <x v="1"/>
    <n v="6.75"/>
    <n v="6.75"/>
    <x v="2"/>
    <x v="0"/>
    <x v="1"/>
    <s v="Felecia Dodgson"/>
  </r>
  <r>
    <s v="LHN-75209-742"/>
    <x v="55"/>
    <s v="01433-04270-AX"/>
    <s v="R-M-0.5"/>
    <n v="6"/>
    <x v="58"/>
    <s v=""/>
    <x v="0"/>
    <s v="Rob"/>
    <s v="M"/>
    <x v="1"/>
    <n v="5.97"/>
    <n v="35.82"/>
    <x v="0"/>
    <x v="0"/>
    <x v="0"/>
    <s v="Angelia Cockrem"/>
  </r>
  <r>
    <s v="TIR-71396-998"/>
    <x v="56"/>
    <s v="14204-14186-LA"/>
    <s v="R-D-2.5"/>
    <n v="4"/>
    <x v="59"/>
    <s v="acockrem1t@engadget.com"/>
    <x v="0"/>
    <s v="Rob"/>
    <s v="D"/>
    <x v="2"/>
    <n v="20.584999999999997"/>
    <n v="82.339999999999989"/>
    <x v="0"/>
    <x v="2"/>
    <x v="0"/>
    <s v="Belvia Umpleby"/>
  </r>
  <r>
    <s v="RXF-37618-213"/>
    <x v="57"/>
    <s v="32948-34398-HC"/>
    <s v="R-L-0.5"/>
    <n v="1"/>
    <x v="60"/>
    <s v="bumpleby1u@soundcloud.com"/>
    <x v="0"/>
    <s v="Rob"/>
    <s v="L"/>
    <x v="1"/>
    <n v="7.169999999999999"/>
    <n v="7.169999999999999"/>
    <x v="0"/>
    <x v="1"/>
    <x v="0"/>
    <s v="Nat Saleway"/>
  </r>
  <r>
    <s v="ANM-16388-634"/>
    <x v="58"/>
    <s v="77343-52608-FF"/>
    <s v="L-L-0.2"/>
    <n v="2"/>
    <x v="61"/>
    <s v="nsaleway1v@dedecms.com"/>
    <x v="0"/>
    <s v="Lib"/>
    <s v="L"/>
    <x v="3"/>
    <n v="4.7549999999999999"/>
    <n v="9.51"/>
    <x v="3"/>
    <x v="1"/>
    <x v="1"/>
    <s v="Hayward Goulter"/>
  </r>
  <r>
    <s v="WYL-29300-070"/>
    <x v="59"/>
    <s v="42770-36274-QA"/>
    <s v="R-M-0.2"/>
    <n v="1"/>
    <x v="62"/>
    <s v="hgoulter1w@abc.net.au"/>
    <x v="0"/>
    <s v="Rob"/>
    <s v="M"/>
    <x v="3"/>
    <n v="2.9849999999999999"/>
    <n v="2.9849999999999999"/>
    <x v="0"/>
    <x v="0"/>
    <x v="1"/>
    <s v="Gay Rizzello"/>
  </r>
  <r>
    <s v="JHW-74554-805"/>
    <x v="60"/>
    <s v="14103-58987-ZU"/>
    <s v="R-M-1"/>
    <n v="6"/>
    <x v="63"/>
    <s v="grizzello1x@symantec.com"/>
    <x v="2"/>
    <s v="Rob"/>
    <s v="M"/>
    <x v="0"/>
    <n v="9.9499999999999993"/>
    <n v="59.699999999999996"/>
    <x v="0"/>
    <x v="0"/>
    <x v="0"/>
    <s v="Shannon List"/>
  </r>
  <r>
    <s v="KYS-27063-603"/>
    <x v="61"/>
    <s v="69958-32065-SW"/>
    <s v="E-L-2.5"/>
    <n v="4"/>
    <x v="64"/>
    <s v="slist1y@mapquest.com"/>
    <x v="0"/>
    <s v="Exc"/>
    <s v="L"/>
    <x v="2"/>
    <n v="34.154999999999994"/>
    <n v="136.61999999999998"/>
    <x v="1"/>
    <x v="1"/>
    <x v="1"/>
    <s v="Shirlene Edmondson"/>
  </r>
  <r>
    <s v="GAZ-58626-277"/>
    <x v="62"/>
    <s v="69533-84907-FA"/>
    <s v="L-L-0.2"/>
    <n v="2"/>
    <x v="65"/>
    <s v="sedmondson1z@theguardian.com"/>
    <x v="1"/>
    <s v="Lib"/>
    <s v="L"/>
    <x v="3"/>
    <n v="4.7549999999999999"/>
    <n v="9.51"/>
    <x v="3"/>
    <x v="1"/>
    <x v="1"/>
    <s v="Aurlie McCarl"/>
  </r>
  <r>
    <s v="RPJ-37787-335"/>
    <x v="63"/>
    <s v="76005-95461-CI"/>
    <s v="A-M-2.5"/>
    <n v="3"/>
    <x v="66"/>
    <s v=""/>
    <x v="0"/>
    <s v="Ara"/>
    <s v="M"/>
    <x v="2"/>
    <n v="25.874999999999996"/>
    <n v="77.624999999999986"/>
    <x v="2"/>
    <x v="0"/>
    <x v="1"/>
    <s v="Alikee Carryer"/>
  </r>
  <r>
    <s v="LEF-83057-763"/>
    <x v="64"/>
    <s v="15395-90855-VB"/>
    <s v="L-M-0.2"/>
    <n v="5"/>
    <x v="67"/>
    <s v=""/>
    <x v="0"/>
    <s v="Lib"/>
    <s v="M"/>
    <x v="3"/>
    <n v="4.3650000000000002"/>
    <n v="21.825000000000003"/>
    <x v="3"/>
    <x v="0"/>
    <x v="0"/>
    <s v="Jennifer Rangall"/>
  </r>
  <r>
    <s v="RPW-36123-215"/>
    <x v="65"/>
    <s v="80640-45811-LB"/>
    <s v="E-L-0.5"/>
    <n v="2"/>
    <x v="68"/>
    <s v="jrangall22@newsvine.com"/>
    <x v="0"/>
    <s v="Exc"/>
    <s v="L"/>
    <x v="1"/>
    <n v="8.91"/>
    <n v="17.82"/>
    <x v="1"/>
    <x v="1"/>
    <x v="0"/>
    <s v="Kipper Boorn"/>
  </r>
  <r>
    <s v="WLL-59044-117"/>
    <x v="66"/>
    <s v="28476-04082-GR"/>
    <s v="R-D-1"/>
    <n v="6"/>
    <x v="69"/>
    <s v="kboorn23@ezinearticles.com"/>
    <x v="1"/>
    <s v="Rob"/>
    <s v="D"/>
    <x v="0"/>
    <n v="8.9499999999999993"/>
    <n v="53.699999999999996"/>
    <x v="0"/>
    <x v="2"/>
    <x v="0"/>
    <s v="Melania Beadle"/>
  </r>
  <r>
    <s v="AWT-22827-563"/>
    <x v="67"/>
    <s v="12018-75670-EU"/>
    <s v="R-L-0.2"/>
    <n v="1"/>
    <x v="70"/>
    <s v=""/>
    <x v="1"/>
    <s v="Rob"/>
    <s v="L"/>
    <x v="3"/>
    <n v="3.5849999999999995"/>
    <n v="3.5849999999999995"/>
    <x v="0"/>
    <x v="1"/>
    <x v="0"/>
    <s v="Colene Elgey"/>
  </r>
  <r>
    <s v="QLM-07145-668"/>
    <x v="68"/>
    <s v="86437-17399-FK"/>
    <s v="E-D-0.2"/>
    <n v="2"/>
    <x v="71"/>
    <s v="celgey25@webs.com"/>
    <x v="0"/>
    <s v="Exc"/>
    <s v="D"/>
    <x v="3"/>
    <n v="3.645"/>
    <n v="7.29"/>
    <x v="1"/>
    <x v="2"/>
    <x v="1"/>
    <s v="Lothaire Mizzi"/>
  </r>
  <r>
    <s v="HVQ-64398-930"/>
    <x v="69"/>
    <s v="62979-53167-ML"/>
    <s v="A-M-0.5"/>
    <n v="6"/>
    <x v="72"/>
    <s v="lmizzi26@rakuten.co.jp"/>
    <x v="0"/>
    <s v="Ara"/>
    <s v="M"/>
    <x v="1"/>
    <n v="6.75"/>
    <n v="40.5"/>
    <x v="2"/>
    <x v="0"/>
    <x v="0"/>
    <s v="Cletis Giacomazzo"/>
  </r>
  <r>
    <s v="WRT-40778-247"/>
    <x v="70"/>
    <s v="54810-81899-HL"/>
    <s v="R-L-1"/>
    <n v="4"/>
    <x v="73"/>
    <s v="cgiacomazzo27@jigsy.com"/>
    <x v="0"/>
    <s v="Rob"/>
    <s v="L"/>
    <x v="0"/>
    <n v="11.95"/>
    <n v="47.8"/>
    <x v="0"/>
    <x v="1"/>
    <x v="1"/>
    <s v="Ami Arnow"/>
  </r>
  <r>
    <s v="SUB-13006-125"/>
    <x v="71"/>
    <s v="26103-41504-IB"/>
    <s v="A-L-0.5"/>
    <n v="5"/>
    <x v="74"/>
    <s v="aarnow28@arizona.edu"/>
    <x v="0"/>
    <s v="Ara"/>
    <s v="L"/>
    <x v="1"/>
    <n v="7.77"/>
    <n v="38.849999999999994"/>
    <x v="2"/>
    <x v="1"/>
    <x v="0"/>
    <s v="Sheppard Yann"/>
  </r>
  <r>
    <s v="CQM-49696-263"/>
    <x v="72"/>
    <s v="76534-45229-SG"/>
    <s v="L-L-2.5"/>
    <n v="3"/>
    <x v="75"/>
    <s v="syann29@senate.gov"/>
    <x v="0"/>
    <s v="Lib"/>
    <s v="L"/>
    <x v="2"/>
    <n v="36.454999999999998"/>
    <n v="109.36499999999999"/>
    <x v="3"/>
    <x v="1"/>
    <x v="0"/>
    <s v="Bunny Naulls"/>
  </r>
  <r>
    <s v="KXN-85094-246"/>
    <x v="73"/>
    <s v="81744-27332-RR"/>
    <s v="L-M-2.5"/>
    <n v="3"/>
    <x v="76"/>
    <s v="bnaulls2a@tiny.cc"/>
    <x v="1"/>
    <s v="Lib"/>
    <s v="M"/>
    <x v="2"/>
    <n v="33.464999999999996"/>
    <n v="100.39499999999998"/>
    <x v="3"/>
    <x v="0"/>
    <x v="0"/>
    <s v="Hally Lorait"/>
  </r>
  <r>
    <s v="XOQ-12405-419"/>
    <x v="74"/>
    <s v="91513-75657-PH"/>
    <s v="R-D-2.5"/>
    <n v="4"/>
    <x v="77"/>
    <s v=""/>
    <x v="0"/>
    <s v="Rob"/>
    <s v="D"/>
    <x v="2"/>
    <n v="20.584999999999997"/>
    <n v="82.339999999999989"/>
    <x v="0"/>
    <x v="2"/>
    <x v="0"/>
    <s v="Zaccaria Sherewood"/>
  </r>
  <r>
    <s v="HYF-10254-369"/>
    <x v="75"/>
    <s v="30373-66619-CB"/>
    <s v="L-L-0.5"/>
    <n v="1"/>
    <x v="78"/>
    <s v="zsherewood2c@apache.org"/>
    <x v="0"/>
    <s v="Lib"/>
    <s v="L"/>
    <x v="1"/>
    <n v="9.51"/>
    <n v="9.51"/>
    <x v="3"/>
    <x v="1"/>
    <x v="1"/>
    <s v="Jeffrey Dufaire"/>
  </r>
  <r>
    <s v="XXJ-47000-307"/>
    <x v="76"/>
    <s v="31582-23562-FM"/>
    <s v="A-L-2.5"/>
    <n v="3"/>
    <x v="79"/>
    <s v="jdufaire2d@fc2.com"/>
    <x v="0"/>
    <s v="Ara"/>
    <s v="L"/>
    <x v="2"/>
    <n v="29.784999999999997"/>
    <n v="89.35499999999999"/>
    <x v="2"/>
    <x v="1"/>
    <x v="1"/>
    <s v="Jeffrey Dufaire"/>
  </r>
  <r>
    <s v="XXJ-47000-307"/>
    <x v="76"/>
    <s v="31582-23562-FM"/>
    <s v="A-D-0.2"/>
    <n v="4"/>
    <x v="79"/>
    <s v="jdufaire2d@fc2.com"/>
    <x v="0"/>
    <s v="Ara"/>
    <s v="D"/>
    <x v="3"/>
    <n v="2.9849999999999999"/>
    <n v="11.94"/>
    <x v="2"/>
    <x v="2"/>
    <x v="1"/>
    <s v="Beitris Keaveney"/>
  </r>
  <r>
    <s v="ZDK-82166-357"/>
    <x v="77"/>
    <s v="81431-12577-VD"/>
    <s v="A-M-1"/>
    <n v="3"/>
    <x v="80"/>
    <s v="bkeaveney2f@netlog.com"/>
    <x v="0"/>
    <s v="Ara"/>
    <s v="M"/>
    <x v="0"/>
    <n v="11.25"/>
    <n v="33.75"/>
    <x v="2"/>
    <x v="0"/>
    <x v="1"/>
    <s v="Elna Grise"/>
  </r>
  <r>
    <s v="IHN-19982-362"/>
    <x v="78"/>
    <s v="68894-91205-MP"/>
    <s v="R-L-1"/>
    <n v="3"/>
    <x v="81"/>
    <s v="egrise2g@cargocollective.com"/>
    <x v="0"/>
    <s v="Rob"/>
    <s v="L"/>
    <x v="0"/>
    <n v="11.95"/>
    <n v="35.849999999999994"/>
    <x v="0"/>
    <x v="1"/>
    <x v="1"/>
    <s v="Torie Gottelier"/>
  </r>
  <r>
    <s v="VMT-10030-889"/>
    <x v="79"/>
    <s v="87602-55754-VN"/>
    <s v="A-L-1"/>
    <n v="6"/>
    <x v="82"/>
    <s v="tgottelier2h@vistaprint.com"/>
    <x v="0"/>
    <s v="Ara"/>
    <s v="L"/>
    <x v="0"/>
    <n v="12.95"/>
    <n v="77.699999999999989"/>
    <x v="2"/>
    <x v="1"/>
    <x v="1"/>
    <s v="Loydie Langlais"/>
  </r>
  <r>
    <s v="NHL-11063-100"/>
    <x v="80"/>
    <s v="39181-35745-WH"/>
    <s v="A-L-1"/>
    <n v="4"/>
    <x v="83"/>
    <s v=""/>
    <x v="1"/>
    <s v="Ara"/>
    <s v="L"/>
    <x v="0"/>
    <n v="12.95"/>
    <n v="51.8"/>
    <x v="2"/>
    <x v="1"/>
    <x v="0"/>
    <s v="Adham Greenhead"/>
  </r>
  <r>
    <s v="ROV-87448-086"/>
    <x v="81"/>
    <s v="30381-64762-NG"/>
    <s v="A-M-2.5"/>
    <n v="4"/>
    <x v="84"/>
    <s v="agreenhead2j@dailymail.co.uk"/>
    <x v="0"/>
    <s v="Ara"/>
    <s v="M"/>
    <x v="2"/>
    <n v="25.874999999999996"/>
    <n v="103.49999999999999"/>
    <x v="2"/>
    <x v="0"/>
    <x v="1"/>
    <s v="Hamish MacSherry"/>
  </r>
  <r>
    <s v="DGY-35773-612"/>
    <x v="82"/>
    <s v="17503-27693-ZH"/>
    <s v="E-L-1"/>
    <n v="3"/>
    <x v="85"/>
    <s v=""/>
    <x v="0"/>
    <s v="Exc"/>
    <s v="L"/>
    <x v="0"/>
    <n v="14.85"/>
    <n v="44.55"/>
    <x v="1"/>
    <x v="1"/>
    <x v="0"/>
    <s v="Else Langcaster"/>
  </r>
  <r>
    <s v="YWH-50638-556"/>
    <x v="83"/>
    <s v="89442-35633-HJ"/>
    <s v="E-L-0.5"/>
    <n v="4"/>
    <x v="86"/>
    <s v="elangcaster2l@spotify.com"/>
    <x v="2"/>
    <s v="Exc"/>
    <s v="L"/>
    <x v="1"/>
    <n v="8.91"/>
    <n v="35.64"/>
    <x v="1"/>
    <x v="1"/>
    <x v="0"/>
    <s v="Rudy Farquharson"/>
  </r>
  <r>
    <s v="ISL-11200-600"/>
    <x v="84"/>
    <s v="13654-85265-IL"/>
    <s v="A-D-0.2"/>
    <n v="6"/>
    <x v="87"/>
    <s v=""/>
    <x v="1"/>
    <s v="Ara"/>
    <s v="D"/>
    <x v="3"/>
    <n v="2.9849999999999999"/>
    <n v="17.91"/>
    <x v="2"/>
    <x v="2"/>
    <x v="0"/>
    <s v="Norene Magauran"/>
  </r>
  <r>
    <s v="LBZ-75997-047"/>
    <x v="85"/>
    <s v="40946-22090-FP"/>
    <s v="A-M-2.5"/>
    <n v="6"/>
    <x v="88"/>
    <s v="nmagauran2n@51.la"/>
    <x v="0"/>
    <s v="Ara"/>
    <s v="M"/>
    <x v="2"/>
    <n v="25.874999999999996"/>
    <n v="155.24999999999997"/>
    <x v="2"/>
    <x v="0"/>
    <x v="1"/>
    <s v="Vicki Kirdsch"/>
  </r>
  <r>
    <s v="EUH-08089-954"/>
    <x v="86"/>
    <s v="29050-93691-TS"/>
    <s v="A-D-0.2"/>
    <n v="2"/>
    <x v="89"/>
    <s v="vkirdsch2o@google.fr"/>
    <x v="0"/>
    <s v="Ara"/>
    <s v="D"/>
    <x v="3"/>
    <n v="2.9849999999999999"/>
    <n v="5.97"/>
    <x v="2"/>
    <x v="2"/>
    <x v="1"/>
    <s v="Ilysa Whapple"/>
  </r>
  <r>
    <s v="BLD-12227-251"/>
    <x v="87"/>
    <s v="64395-74865-WF"/>
    <s v="A-M-0.5"/>
    <n v="2"/>
    <x v="90"/>
    <s v="iwhapple2p@com.com"/>
    <x v="0"/>
    <s v="Ara"/>
    <s v="M"/>
    <x v="1"/>
    <n v="6.75"/>
    <n v="13.5"/>
    <x v="2"/>
    <x v="0"/>
    <x v="1"/>
    <s v="Ruy Cancellieri"/>
  </r>
  <r>
    <s v="OPY-30711-853"/>
    <x v="25"/>
    <s v="81861-66046-SU"/>
    <s v="A-D-0.2"/>
    <n v="1"/>
    <x v="91"/>
    <s v=""/>
    <x v="1"/>
    <s v="Ara"/>
    <s v="D"/>
    <x v="3"/>
    <n v="2.9849999999999999"/>
    <n v="2.9849999999999999"/>
    <x v="2"/>
    <x v="2"/>
    <x v="1"/>
    <s v="Aube Follett"/>
  </r>
  <r>
    <s v="DBC-44122-300"/>
    <x v="88"/>
    <s v="13366-78506-KP"/>
    <s v="L-M-0.2"/>
    <n v="3"/>
    <x v="92"/>
    <s v=""/>
    <x v="0"/>
    <s v="Lib"/>
    <s v="M"/>
    <x v="3"/>
    <n v="4.3650000000000002"/>
    <n v="13.095000000000001"/>
    <x v="3"/>
    <x v="0"/>
    <x v="0"/>
    <s v="Rudiger Di Bartolomeo"/>
  </r>
  <r>
    <s v="FJQ-60035-234"/>
    <x v="89"/>
    <s v="08847-29858-HN"/>
    <s v="A-L-0.2"/>
    <n v="2"/>
    <x v="93"/>
    <s v=""/>
    <x v="0"/>
    <s v="Ara"/>
    <s v="L"/>
    <x v="3"/>
    <n v="3.8849999999999998"/>
    <n v="7.77"/>
    <x v="2"/>
    <x v="1"/>
    <x v="0"/>
    <s v="Nickey Youles"/>
  </r>
  <r>
    <s v="HSF-66926-425"/>
    <x v="90"/>
    <s v="00539-42510-RY"/>
    <s v="L-D-2.5"/>
    <n v="5"/>
    <x v="94"/>
    <s v="nyoules2t@reference.com"/>
    <x v="1"/>
    <s v="Lib"/>
    <s v="D"/>
    <x v="2"/>
    <n v="29.784999999999997"/>
    <n v="148.92499999999998"/>
    <x v="3"/>
    <x v="2"/>
    <x v="0"/>
    <s v="Dyanna Aizikovitz"/>
  </r>
  <r>
    <s v="LQG-41416-375"/>
    <x v="91"/>
    <s v="45190-08727-NV"/>
    <s v="L-D-1"/>
    <n v="3"/>
    <x v="95"/>
    <s v="daizikovitz2u@answers.com"/>
    <x v="1"/>
    <s v="Lib"/>
    <s v="D"/>
    <x v="0"/>
    <n v="12.95"/>
    <n v="38.849999999999994"/>
    <x v="3"/>
    <x v="2"/>
    <x v="0"/>
    <s v="Bram Revel"/>
  </r>
  <r>
    <s v="VZO-97265-841"/>
    <x v="92"/>
    <s v="87049-37901-FU"/>
    <s v="R-M-0.2"/>
    <n v="4"/>
    <x v="96"/>
    <s v="brevel2v@fastcompany.com"/>
    <x v="0"/>
    <s v="Rob"/>
    <s v="M"/>
    <x v="3"/>
    <n v="2.9849999999999999"/>
    <n v="11.94"/>
    <x v="0"/>
    <x v="0"/>
    <x v="1"/>
    <s v="Emiline Priddis"/>
  </r>
  <r>
    <s v="MOR-12987-399"/>
    <x v="93"/>
    <s v="34015-31593-JC"/>
    <s v="L-M-1"/>
    <n v="6"/>
    <x v="97"/>
    <s v="epriddis2w@nationalgeographic.com"/>
    <x v="0"/>
    <s v="Lib"/>
    <s v="M"/>
    <x v="0"/>
    <n v="14.55"/>
    <n v="87.300000000000011"/>
    <x v="3"/>
    <x v="0"/>
    <x v="1"/>
    <s v="Queenie Veel"/>
  </r>
  <r>
    <s v="UOA-23786-489"/>
    <x v="94"/>
    <s v="90305-50099-SV"/>
    <s v="A-M-0.5"/>
    <n v="6"/>
    <x v="98"/>
    <s v="qveel2x@jugem.jp"/>
    <x v="0"/>
    <s v="Ara"/>
    <s v="M"/>
    <x v="1"/>
    <n v="6.75"/>
    <n v="40.5"/>
    <x v="2"/>
    <x v="0"/>
    <x v="0"/>
    <s v="Lind Conyers"/>
  </r>
  <r>
    <s v="AJL-52941-018"/>
    <x v="95"/>
    <s v="55871-61935-MF"/>
    <s v="E-D-1"/>
    <n v="2"/>
    <x v="99"/>
    <s v="lconyers2y@twitter.com"/>
    <x v="0"/>
    <s v="Exc"/>
    <s v="D"/>
    <x v="0"/>
    <n v="12.15"/>
    <n v="24.3"/>
    <x v="1"/>
    <x v="2"/>
    <x v="1"/>
    <s v="Pen Wye"/>
  </r>
  <r>
    <s v="XSZ-84273-421"/>
    <x v="96"/>
    <s v="15405-60469-TM"/>
    <s v="R-M-0.5"/>
    <n v="3"/>
    <x v="100"/>
    <s v="pwye2z@dagondesign.com"/>
    <x v="0"/>
    <s v="Rob"/>
    <s v="M"/>
    <x v="1"/>
    <n v="5.97"/>
    <n v="17.91"/>
    <x v="0"/>
    <x v="0"/>
    <x v="0"/>
    <s v="Isahella Hagland"/>
  </r>
  <r>
    <s v="NUN-48214-216"/>
    <x v="97"/>
    <s v="06953-94794-FB"/>
    <s v="A-M-0.5"/>
    <n v="4"/>
    <x v="101"/>
    <s v=""/>
    <x v="0"/>
    <s v="Ara"/>
    <s v="M"/>
    <x v="1"/>
    <n v="6.75"/>
    <n v="27"/>
    <x v="2"/>
    <x v="0"/>
    <x v="1"/>
    <s v="Terry Sheryn"/>
  </r>
  <r>
    <s v="AKV-93064-769"/>
    <x v="98"/>
    <s v="22305-40299-CY"/>
    <s v="L-D-0.5"/>
    <n v="1"/>
    <x v="102"/>
    <s v="tsheryn31@mtv.com"/>
    <x v="0"/>
    <s v="Lib"/>
    <s v="D"/>
    <x v="1"/>
    <n v="7.77"/>
    <n v="7.77"/>
    <x v="3"/>
    <x v="2"/>
    <x v="0"/>
    <s v="Marie-jeanne Redgrave"/>
  </r>
  <r>
    <s v="BRB-40903-533"/>
    <x v="99"/>
    <s v="09020-56774-GU"/>
    <s v="E-L-0.2"/>
    <n v="3"/>
    <x v="103"/>
    <s v="mredgrave32@cargocollective.com"/>
    <x v="0"/>
    <s v="Exc"/>
    <s v="L"/>
    <x v="3"/>
    <n v="4.4550000000000001"/>
    <n v="13.365"/>
    <x v="1"/>
    <x v="1"/>
    <x v="0"/>
    <s v="Betty Fominov"/>
  </r>
  <r>
    <s v="GPR-19973-483"/>
    <x v="100"/>
    <s v="92926-08470-YS"/>
    <s v="R-D-0.5"/>
    <n v="5"/>
    <x v="104"/>
    <s v="bfominov33@yale.edu"/>
    <x v="0"/>
    <s v="Rob"/>
    <s v="D"/>
    <x v="1"/>
    <n v="5.3699999999999992"/>
    <n v="26.849999999999994"/>
    <x v="0"/>
    <x v="2"/>
    <x v="1"/>
    <s v="Shawnee Critchlow"/>
  </r>
  <r>
    <s v="XIY-43041-882"/>
    <x v="101"/>
    <s v="07250-63194-JO"/>
    <s v="A-M-1"/>
    <n v="1"/>
    <x v="105"/>
    <s v="scritchlow34@un.org"/>
    <x v="0"/>
    <s v="Ara"/>
    <s v="M"/>
    <x v="0"/>
    <n v="11.25"/>
    <n v="11.25"/>
    <x v="2"/>
    <x v="0"/>
    <x v="1"/>
    <s v="Merrel Steptow"/>
  </r>
  <r>
    <s v="YGY-98425-969"/>
    <x v="102"/>
    <s v="63787-96257-TQ"/>
    <s v="L-M-1"/>
    <n v="1"/>
    <x v="106"/>
    <s v="msteptow35@earthlink.net"/>
    <x v="1"/>
    <s v="Lib"/>
    <s v="M"/>
    <x v="0"/>
    <n v="14.55"/>
    <n v="14.55"/>
    <x v="3"/>
    <x v="0"/>
    <x v="1"/>
    <s v="Carmina Hubbuck"/>
  </r>
  <r>
    <s v="MSB-08397-648"/>
    <x v="103"/>
    <s v="49530-25460-RW"/>
    <s v="R-L-0.2"/>
    <n v="4"/>
    <x v="107"/>
    <s v=""/>
    <x v="0"/>
    <s v="Rob"/>
    <s v="L"/>
    <x v="3"/>
    <n v="3.5849999999999995"/>
    <n v="14.339999999999998"/>
    <x v="0"/>
    <x v="1"/>
    <x v="1"/>
    <s v="Ingeberg Mulliner"/>
  </r>
  <r>
    <s v="WDR-06028-345"/>
    <x v="104"/>
    <s v="66508-21373-OQ"/>
    <s v="L-L-1"/>
    <n v="1"/>
    <x v="108"/>
    <s v="imulliner37@pinterest.com"/>
    <x v="2"/>
    <s v="Lib"/>
    <s v="L"/>
    <x v="0"/>
    <n v="15.85"/>
    <n v="15.85"/>
    <x v="3"/>
    <x v="1"/>
    <x v="1"/>
    <s v="Geneva Standley"/>
  </r>
  <r>
    <s v="MXM-42948-061"/>
    <x v="105"/>
    <s v="20203-03950-FY"/>
    <s v="L-L-0.2"/>
    <n v="4"/>
    <x v="109"/>
    <s v="gstandley38@dion.ne.jp"/>
    <x v="1"/>
    <s v="Lib"/>
    <s v="L"/>
    <x v="3"/>
    <n v="4.7549999999999999"/>
    <n v="19.02"/>
    <x v="3"/>
    <x v="1"/>
    <x v="0"/>
    <s v="Brook Drage"/>
  </r>
  <r>
    <s v="MGQ-98961-173"/>
    <x v="11"/>
    <s v="83895-90735-XH"/>
    <s v="L-L-0.5"/>
    <n v="4"/>
    <x v="110"/>
    <s v="bdrage39@youku.com"/>
    <x v="0"/>
    <s v="Lib"/>
    <s v="L"/>
    <x v="1"/>
    <n v="9.51"/>
    <n v="38.04"/>
    <x v="3"/>
    <x v="1"/>
    <x v="1"/>
    <s v="Muffin Yallop"/>
  </r>
  <r>
    <s v="RFH-64349-897"/>
    <x v="106"/>
    <s v="61954-61462-RJ"/>
    <s v="E-D-0.5"/>
    <n v="3"/>
    <x v="111"/>
    <s v="myallop3a@fema.gov"/>
    <x v="0"/>
    <s v="Exc"/>
    <s v="D"/>
    <x v="1"/>
    <n v="7.29"/>
    <n v="21.87"/>
    <x v="1"/>
    <x v="2"/>
    <x v="0"/>
    <s v="Cordi Switsur"/>
  </r>
  <r>
    <s v="TKL-20738-660"/>
    <x v="107"/>
    <s v="47939-53158-LS"/>
    <s v="E-M-0.2"/>
    <n v="1"/>
    <x v="112"/>
    <s v="cswitsur3b@chronoengine.com"/>
    <x v="0"/>
    <s v="Exc"/>
    <s v="M"/>
    <x v="3"/>
    <n v="4.125"/>
    <n v="4.125"/>
    <x v="1"/>
    <x v="0"/>
    <x v="1"/>
    <s v="Cordi Switsur"/>
  </r>
  <r>
    <s v="TKL-20738-660"/>
    <x v="107"/>
    <s v="47939-53158-LS"/>
    <s v="A-L-0.2"/>
    <n v="1"/>
    <x v="112"/>
    <s v="cswitsur3b@chronoengine.com"/>
    <x v="0"/>
    <s v="Ara"/>
    <s v="L"/>
    <x v="3"/>
    <n v="3.8849999999999998"/>
    <n v="3.8849999999999998"/>
    <x v="2"/>
    <x v="1"/>
    <x v="1"/>
    <s v="Cordi Switsur"/>
  </r>
  <r>
    <s v="TKL-20738-660"/>
    <x v="107"/>
    <s v="47939-53158-LS"/>
    <s v="E-M-1"/>
    <n v="5"/>
    <x v="112"/>
    <e v="#N/A"/>
    <x v="1"/>
    <s v="Exc"/>
    <s v="M"/>
    <x v="0"/>
    <n v="13.75"/>
    <n v="68.75"/>
    <x v="1"/>
    <x v="0"/>
    <x v="1"/>
    <s v="Mahala Ludwell"/>
  </r>
  <r>
    <s v="GOW-03198-575"/>
    <x v="108"/>
    <s v="61513-27752-FA"/>
    <s v="A-D-0.5"/>
    <n v="4"/>
    <x v="113"/>
    <s v="mludwell3e@blogger.com"/>
    <x v="0"/>
    <s v="Ara"/>
    <s v="D"/>
    <x v="1"/>
    <n v="5.97"/>
    <n v="23.88"/>
    <x v="2"/>
    <x v="2"/>
    <x v="0"/>
    <s v="Doll Beauchamp"/>
  </r>
  <r>
    <s v="QJB-90477-635"/>
    <x v="109"/>
    <s v="89714-19856-WX"/>
    <s v="L-L-2.5"/>
    <n v="4"/>
    <x v="114"/>
    <s v="dbeauchamp3f@usda.gov"/>
    <x v="0"/>
    <s v="Lib"/>
    <s v="L"/>
    <x v="2"/>
    <n v="36.454999999999998"/>
    <n v="145.82"/>
    <x v="3"/>
    <x v="1"/>
    <x v="1"/>
    <s v="Stanford Rodliff"/>
  </r>
  <r>
    <s v="MWP-46239-785"/>
    <x v="110"/>
    <s v="87979-56781-YV"/>
    <s v="L-M-0.2"/>
    <n v="5"/>
    <x v="115"/>
    <s v="srodliff3g@ted.com"/>
    <x v="0"/>
    <s v="Lib"/>
    <s v="M"/>
    <x v="3"/>
    <n v="4.3650000000000002"/>
    <n v="21.825000000000003"/>
    <x v="3"/>
    <x v="0"/>
    <x v="0"/>
    <s v="Stevana Woodham"/>
  </r>
  <r>
    <s v="QDV-03406-248"/>
    <x v="111"/>
    <s v="74126-88836-KA"/>
    <s v="L-M-0.5"/>
    <n v="3"/>
    <x v="116"/>
    <s v="swoodham3h@businesswire.com"/>
    <x v="1"/>
    <s v="Lib"/>
    <s v="M"/>
    <x v="1"/>
    <n v="8.73"/>
    <n v="26.19"/>
    <x v="3"/>
    <x v="0"/>
    <x v="0"/>
    <s v="Hewet Synnot"/>
  </r>
  <r>
    <s v="GPH-40635-105"/>
    <x v="112"/>
    <s v="37397-05992-VO"/>
    <s v="A-M-1"/>
    <n v="1"/>
    <x v="117"/>
    <s v="hsynnot3i@about.com"/>
    <x v="0"/>
    <s v="Ara"/>
    <s v="M"/>
    <x v="0"/>
    <n v="11.25"/>
    <n v="11.25"/>
    <x v="2"/>
    <x v="0"/>
    <x v="1"/>
    <s v="Raleigh Lepere"/>
  </r>
  <r>
    <s v="JOM-80930-071"/>
    <x v="113"/>
    <s v="54904-18397-UD"/>
    <s v="L-D-1"/>
    <n v="6"/>
    <x v="118"/>
    <s v="rlepere3j@shop-pro.jp"/>
    <x v="1"/>
    <s v="Lib"/>
    <s v="D"/>
    <x v="0"/>
    <n v="12.95"/>
    <n v="77.699999999999989"/>
    <x v="3"/>
    <x v="2"/>
    <x v="1"/>
    <s v="Timofei Woofinden"/>
  </r>
  <r>
    <s v="OIL-26493-755"/>
    <x v="114"/>
    <s v="19017-95853-EK"/>
    <s v="A-M-0.5"/>
    <n v="1"/>
    <x v="119"/>
    <s v="twoofinden3k@businesswire.com"/>
    <x v="0"/>
    <s v="Ara"/>
    <s v="M"/>
    <x v="1"/>
    <n v="6.75"/>
    <n v="6.75"/>
    <x v="2"/>
    <x v="0"/>
    <x v="1"/>
    <s v="Evelina Dacca"/>
  </r>
  <r>
    <s v="CYV-13426-645"/>
    <x v="115"/>
    <s v="88593-59934-VU"/>
    <s v="E-D-1"/>
    <n v="1"/>
    <x v="120"/>
    <s v="edacca3l@google.pl"/>
    <x v="0"/>
    <s v="Exc"/>
    <s v="D"/>
    <x v="0"/>
    <n v="12.15"/>
    <n v="12.15"/>
    <x v="1"/>
    <x v="2"/>
    <x v="0"/>
    <s v="Bidget Tremellier"/>
  </r>
  <r>
    <s v="WRP-39846-614"/>
    <x v="49"/>
    <s v="47493-68564-YM"/>
    <s v="A-L-2.5"/>
    <n v="5"/>
    <x v="121"/>
    <s v=""/>
    <x v="1"/>
    <s v="Ara"/>
    <s v="L"/>
    <x v="2"/>
    <n v="29.784999999999997"/>
    <n v="148.92499999999998"/>
    <x v="2"/>
    <x v="1"/>
    <x v="0"/>
    <s v="Bobinette Hindsberg"/>
  </r>
  <r>
    <s v="VDZ-76673-968"/>
    <x v="116"/>
    <s v="82246-82543-DW"/>
    <s v="E-D-0.5"/>
    <n v="2"/>
    <x v="122"/>
    <s v="bhindsberg3n@blogs.com"/>
    <x v="0"/>
    <s v="Exc"/>
    <s v="D"/>
    <x v="1"/>
    <n v="7.29"/>
    <n v="14.58"/>
    <x v="1"/>
    <x v="2"/>
    <x v="0"/>
    <s v="Osbert Robins"/>
  </r>
  <r>
    <s v="VTV-03546-175"/>
    <x v="117"/>
    <s v="03384-62101-IY"/>
    <s v="A-L-2.5"/>
    <n v="5"/>
    <x v="123"/>
    <s v="orobins3o@salon.com"/>
    <x v="0"/>
    <s v="Ara"/>
    <s v="L"/>
    <x v="2"/>
    <n v="29.784999999999997"/>
    <n v="148.92499999999998"/>
    <x v="2"/>
    <x v="1"/>
    <x v="0"/>
    <s v="Othello Syseland"/>
  </r>
  <r>
    <s v="GHR-72274-715"/>
    <x v="118"/>
    <s v="86881-41559-OR"/>
    <s v="L-D-1"/>
    <n v="1"/>
    <x v="124"/>
    <s v="osyseland3p@independent.co.uk"/>
    <x v="0"/>
    <s v="Lib"/>
    <s v="D"/>
    <x v="0"/>
    <n v="12.95"/>
    <n v="12.95"/>
    <x v="3"/>
    <x v="2"/>
    <x v="1"/>
    <s v="Ewell Hanby"/>
  </r>
  <r>
    <s v="ZGK-97262-313"/>
    <x v="119"/>
    <s v="02536-18494-AQ"/>
    <s v="E-M-2.5"/>
    <n v="3"/>
    <x v="125"/>
    <s v=""/>
    <x v="0"/>
    <s v="Exc"/>
    <s v="M"/>
    <x v="2"/>
    <n v="31.624999999999996"/>
    <n v="94.874999999999986"/>
    <x v="1"/>
    <x v="0"/>
    <x v="0"/>
    <s v="Blancha McAmish"/>
  </r>
  <r>
    <s v="ZFS-30776-804"/>
    <x v="120"/>
    <s v="58638-01029-CB"/>
    <s v="A-L-0.5"/>
    <n v="5"/>
    <x v="126"/>
    <e v="#N/A"/>
    <x v="1"/>
    <s v="Ara"/>
    <s v="L"/>
    <x v="1"/>
    <n v="7.77"/>
    <n v="38.849999999999994"/>
    <x v="2"/>
    <x v="1"/>
    <x v="0"/>
    <s v="Lowell Keenleyside"/>
  </r>
  <r>
    <s v="QUU-91729-492"/>
    <x v="121"/>
    <s v="90312-11148-LA"/>
    <s v="A-D-0.2"/>
    <n v="4"/>
    <x v="127"/>
    <s v="lkeenleyside3s@topsy.com"/>
    <x v="0"/>
    <s v="Ara"/>
    <s v="D"/>
    <x v="3"/>
    <n v="2.9849999999999999"/>
    <n v="11.94"/>
    <x v="2"/>
    <x v="2"/>
    <x v="1"/>
    <s v="Elonore Joliffe"/>
  </r>
  <r>
    <s v="PVI-72795-960"/>
    <x v="122"/>
    <s v="68239-74809-TF"/>
    <s v="E-L-2.5"/>
    <n v="3"/>
    <x v="128"/>
    <s v=""/>
    <x v="1"/>
    <s v="Exc"/>
    <s v="L"/>
    <x v="2"/>
    <n v="34.154999999999994"/>
    <n v="102.46499999999997"/>
    <x v="1"/>
    <x v="1"/>
    <x v="1"/>
    <s v="Abraham Coleman"/>
  </r>
  <r>
    <s v="PPP-78935-365"/>
    <x v="123"/>
    <s v="91074-60023-IP"/>
    <s v="E-D-1"/>
    <n v="4"/>
    <x v="129"/>
    <s v=""/>
    <x v="0"/>
    <s v="Exc"/>
    <s v="D"/>
    <x v="0"/>
    <n v="12.15"/>
    <n v="48.6"/>
    <x v="1"/>
    <x v="2"/>
    <x v="1"/>
    <s v="Rivy Farington"/>
  </r>
  <r>
    <s v="JUO-34131-517"/>
    <x v="124"/>
    <s v="07972-83748-JI"/>
    <s v="L-D-1"/>
    <n v="6"/>
    <x v="130"/>
    <s v=""/>
    <x v="0"/>
    <s v="Lib"/>
    <s v="D"/>
    <x v="0"/>
    <n v="12.95"/>
    <n v="77.699999999999989"/>
    <x v="3"/>
    <x v="2"/>
    <x v="0"/>
    <s v="Vallie Kundt"/>
  </r>
  <r>
    <s v="ZJE-89333-489"/>
    <x v="125"/>
    <s v="08694-57330-XR"/>
    <s v="L-D-2.5"/>
    <n v="1"/>
    <x v="131"/>
    <s v="vkundt3w@bigcartel.com"/>
    <x v="1"/>
    <s v="Lib"/>
    <s v="D"/>
    <x v="2"/>
    <n v="29.784999999999997"/>
    <n v="29.784999999999997"/>
    <x v="3"/>
    <x v="2"/>
    <x v="0"/>
    <s v="Boyd Bett"/>
  </r>
  <r>
    <s v="LOO-35324-159"/>
    <x v="126"/>
    <s v="68412-11126-YJ"/>
    <s v="A-L-0.2"/>
    <n v="4"/>
    <x v="132"/>
    <s v="bbett3x@google.de"/>
    <x v="0"/>
    <s v="Ara"/>
    <s v="L"/>
    <x v="3"/>
    <n v="3.8849999999999998"/>
    <n v="15.54"/>
    <x v="2"/>
    <x v="1"/>
    <x v="0"/>
    <s v="Julio Armytage"/>
  </r>
  <r>
    <s v="JBQ-93412-846"/>
    <x v="127"/>
    <s v="69037-66822-DW"/>
    <s v="E-L-2.5"/>
    <n v="4"/>
    <x v="133"/>
    <s v=""/>
    <x v="1"/>
    <s v="Exc"/>
    <s v="L"/>
    <x v="2"/>
    <n v="34.154999999999994"/>
    <n v="136.61999999999998"/>
    <x v="1"/>
    <x v="1"/>
    <x v="0"/>
    <s v="Deana Staite"/>
  </r>
  <r>
    <s v="EHX-66333-637"/>
    <x v="128"/>
    <s v="01297-94364-XH"/>
    <s v="L-M-0.5"/>
    <n v="2"/>
    <x v="134"/>
    <s v="dstaite3z@scientificamerican.com"/>
    <x v="0"/>
    <s v="Lib"/>
    <s v="M"/>
    <x v="1"/>
    <n v="8.73"/>
    <n v="17.46"/>
    <x v="3"/>
    <x v="0"/>
    <x v="1"/>
    <s v="Winn Keyse"/>
  </r>
  <r>
    <s v="WXG-25759-236"/>
    <x v="103"/>
    <s v="39919-06540-ZI"/>
    <s v="E-L-2.5"/>
    <n v="2"/>
    <x v="135"/>
    <s v="wkeyse40@apple.com"/>
    <x v="0"/>
    <s v="Exc"/>
    <s v="L"/>
    <x v="2"/>
    <n v="34.154999999999994"/>
    <n v="68.309999999999988"/>
    <x v="1"/>
    <x v="1"/>
    <x v="0"/>
    <s v="Osmund Clausen-Thue"/>
  </r>
  <r>
    <s v="QNA-31113-984"/>
    <x v="129"/>
    <s v="60512-78550-WS"/>
    <s v="L-M-0.2"/>
    <n v="4"/>
    <x v="136"/>
    <s v="oclausenthue41@marriott.com"/>
    <x v="0"/>
    <s v="Lib"/>
    <s v="M"/>
    <x v="3"/>
    <n v="4.3650000000000002"/>
    <n v="17.46"/>
    <x v="3"/>
    <x v="0"/>
    <x v="1"/>
    <s v="Leonore Francisco"/>
  </r>
  <r>
    <s v="ZWI-52029-159"/>
    <x v="130"/>
    <s v="40172-12000-AU"/>
    <s v="L-M-1"/>
    <n v="3"/>
    <x v="137"/>
    <s v="lfrancisco42@fema.gov"/>
    <x v="0"/>
    <s v="Lib"/>
    <s v="M"/>
    <x v="0"/>
    <n v="14.55"/>
    <n v="43.650000000000006"/>
    <x v="3"/>
    <x v="0"/>
    <x v="1"/>
    <s v="Leonore Francisco"/>
  </r>
  <r>
    <s v="ZWI-52029-159"/>
    <x v="130"/>
    <s v="40172-12000-AU"/>
    <s v="E-M-1"/>
    <n v="2"/>
    <x v="137"/>
    <s v="lfrancisco42@fema.gov"/>
    <x v="0"/>
    <s v="Exc"/>
    <s v="M"/>
    <x v="0"/>
    <n v="13.75"/>
    <n v="27.5"/>
    <x v="1"/>
    <x v="0"/>
    <x v="1"/>
    <s v="Giacobo Skingle"/>
  </r>
  <r>
    <s v="DFS-49954-707"/>
    <x v="131"/>
    <s v="39019-13649-CL"/>
    <s v="E-D-0.2"/>
    <n v="5"/>
    <x v="138"/>
    <s v="gskingle44@clickbank.net"/>
    <x v="0"/>
    <s v="Exc"/>
    <s v="D"/>
    <x v="3"/>
    <n v="3.645"/>
    <n v="18.225000000000001"/>
    <x v="1"/>
    <x v="2"/>
    <x v="0"/>
    <s v="Gerard Pirdy"/>
  </r>
  <r>
    <s v="VYP-89830-878"/>
    <x v="132"/>
    <s v="12715-05198-QU"/>
    <s v="A-M-2.5"/>
    <n v="2"/>
    <x v="139"/>
    <s v=""/>
    <x v="0"/>
    <s v="Ara"/>
    <s v="M"/>
    <x v="2"/>
    <n v="25.874999999999996"/>
    <n v="51.749999999999993"/>
    <x v="2"/>
    <x v="0"/>
    <x v="0"/>
    <s v="Jacinthe Balsillie"/>
  </r>
  <r>
    <s v="AMT-40418-362"/>
    <x v="133"/>
    <s v="04513-76520-QO"/>
    <s v="L-D-1"/>
    <n v="1"/>
    <x v="140"/>
    <s v="jbalsillie46@princeton.edu"/>
    <x v="0"/>
    <s v="Lib"/>
    <s v="D"/>
    <x v="0"/>
    <n v="12.95"/>
    <n v="12.95"/>
    <x v="3"/>
    <x v="2"/>
    <x v="0"/>
    <s v="Quinton Fouracres"/>
  </r>
  <r>
    <s v="NFQ-23241-793"/>
    <x v="134"/>
    <s v="88446-59251-SQ"/>
    <s v="A-M-1"/>
    <n v="3"/>
    <x v="141"/>
    <s v=""/>
    <x v="0"/>
    <s v="Ara"/>
    <s v="M"/>
    <x v="0"/>
    <n v="11.25"/>
    <n v="33.75"/>
    <x v="2"/>
    <x v="0"/>
    <x v="0"/>
    <s v="Bettina Leffek"/>
  </r>
  <r>
    <s v="JQK-64922-985"/>
    <x v="113"/>
    <s v="23779-10274-KN"/>
    <s v="R-M-2.5"/>
    <n v="3"/>
    <x v="142"/>
    <s v="bleffek48@ning.com"/>
    <x v="0"/>
    <s v="Rob"/>
    <s v="M"/>
    <x v="2"/>
    <n v="22.884999999999998"/>
    <n v="68.655000000000001"/>
    <x v="0"/>
    <x v="0"/>
    <x v="0"/>
    <s v="Hetti Penson"/>
  </r>
  <r>
    <s v="YET-17732-678"/>
    <x v="135"/>
    <s v="57235-92842-DK"/>
    <s v="R-D-0.2"/>
    <n v="1"/>
    <x v="143"/>
    <s v=""/>
    <x v="0"/>
    <s v="Rob"/>
    <s v="D"/>
    <x v="3"/>
    <n v="2.6849999999999996"/>
    <n v="2.6849999999999996"/>
    <x v="0"/>
    <x v="2"/>
    <x v="1"/>
    <s v="Jocko Pray"/>
  </r>
  <r>
    <s v="NKW-24945-846"/>
    <x v="35"/>
    <s v="75977-30364-AY"/>
    <s v="A-D-2.5"/>
    <n v="5"/>
    <x v="144"/>
    <s v="jpray4a@youtube.com"/>
    <x v="0"/>
    <s v="Ara"/>
    <s v="D"/>
    <x v="2"/>
    <n v="22.884999999999998"/>
    <n v="114.42499999999998"/>
    <x v="2"/>
    <x v="2"/>
    <x v="1"/>
    <s v="Grete Holborn"/>
  </r>
  <r>
    <s v="VKA-82720-513"/>
    <x v="136"/>
    <s v="12299-30914-NG"/>
    <s v="A-M-2.5"/>
    <n v="6"/>
    <x v="145"/>
    <s v="gholborn4b@ow.ly"/>
    <x v="0"/>
    <s v="Ara"/>
    <s v="M"/>
    <x v="2"/>
    <n v="25.874999999999996"/>
    <n v="155.24999999999997"/>
    <x v="2"/>
    <x v="0"/>
    <x v="0"/>
    <s v="Fielding Keinrat"/>
  </r>
  <r>
    <s v="THA-60599-417"/>
    <x v="137"/>
    <s v="59971-35626-YJ"/>
    <s v="A-M-2.5"/>
    <n v="3"/>
    <x v="146"/>
    <s v="fkeinrat4c@dailymail.co.uk"/>
    <x v="0"/>
    <s v="Ara"/>
    <s v="M"/>
    <x v="2"/>
    <n v="25.874999999999996"/>
    <n v="77.624999999999986"/>
    <x v="2"/>
    <x v="0"/>
    <x v="0"/>
    <s v="Paulo Yea"/>
  </r>
  <r>
    <s v="MEK-39769-035"/>
    <x v="138"/>
    <s v="15380-76513-PS"/>
    <s v="R-D-2.5"/>
    <n v="3"/>
    <x v="147"/>
    <s v="pyea4d@aol.com"/>
    <x v="1"/>
    <s v="Rob"/>
    <s v="D"/>
    <x v="2"/>
    <n v="20.584999999999997"/>
    <n v="61.754999999999995"/>
    <x v="0"/>
    <x v="2"/>
    <x v="1"/>
    <s v="Say Risborough"/>
  </r>
  <r>
    <s v="JAF-18294-750"/>
    <x v="139"/>
    <s v="73564-98204-EY"/>
    <s v="R-D-2.5"/>
    <n v="6"/>
    <x v="148"/>
    <s v=""/>
    <x v="0"/>
    <s v="Rob"/>
    <s v="D"/>
    <x v="2"/>
    <n v="20.584999999999997"/>
    <n v="123.50999999999999"/>
    <x v="0"/>
    <x v="2"/>
    <x v="0"/>
    <s v="Alexa Sizey"/>
  </r>
  <r>
    <s v="TME-59627-221"/>
    <x v="140"/>
    <s v="72282-40594-RX"/>
    <s v="L-L-2.5"/>
    <n v="6"/>
    <x v="149"/>
    <s v=""/>
    <x v="0"/>
    <s v="Lib"/>
    <s v="L"/>
    <x v="2"/>
    <n v="36.454999999999998"/>
    <n v="218.73"/>
    <x v="3"/>
    <x v="1"/>
    <x v="1"/>
    <s v="Kari Swede"/>
  </r>
  <r>
    <s v="UDG-65353-824"/>
    <x v="141"/>
    <s v="17514-94165-RJ"/>
    <s v="E-M-0.5"/>
    <n v="4"/>
    <x v="150"/>
    <s v="kswede4g@addthis.com"/>
    <x v="0"/>
    <s v="Exc"/>
    <s v="M"/>
    <x v="1"/>
    <n v="8.25"/>
    <n v="33"/>
    <x v="1"/>
    <x v="0"/>
    <x v="1"/>
    <s v="Leontine Rubrow"/>
  </r>
  <r>
    <s v="ENQ-42923-176"/>
    <x v="142"/>
    <s v="56248-75861-JX"/>
    <s v="A-L-0.5"/>
    <n v="3"/>
    <x v="151"/>
    <s v="lrubrow4h@microsoft.com"/>
    <x v="0"/>
    <s v="Ara"/>
    <s v="L"/>
    <x v="1"/>
    <n v="7.77"/>
    <n v="23.31"/>
    <x v="2"/>
    <x v="1"/>
    <x v="1"/>
    <s v="Dottie Tift"/>
  </r>
  <r>
    <s v="CBT-55781-720"/>
    <x v="143"/>
    <s v="97855-54761-IS"/>
    <s v="E-D-0.5"/>
    <n v="3"/>
    <x v="152"/>
    <s v="dtift4i@netvibes.com"/>
    <x v="0"/>
    <s v="Exc"/>
    <s v="D"/>
    <x v="1"/>
    <n v="7.29"/>
    <n v="21.87"/>
    <x v="1"/>
    <x v="2"/>
    <x v="0"/>
    <s v="Gerardo Schonfeld"/>
  </r>
  <r>
    <s v="NEU-86533-016"/>
    <x v="144"/>
    <s v="96544-91644-IT"/>
    <s v="R-D-0.2"/>
    <n v="6"/>
    <x v="153"/>
    <s v="gschonfeld4j@oracle.com"/>
    <x v="0"/>
    <s v="Rob"/>
    <s v="D"/>
    <x v="3"/>
    <n v="2.6849999999999996"/>
    <n v="16.11"/>
    <x v="0"/>
    <x v="2"/>
    <x v="1"/>
    <s v="Claiborne Feye"/>
  </r>
  <r>
    <s v="BYU-58154-603"/>
    <x v="145"/>
    <s v="51971-70393-QM"/>
    <s v="E-D-0.5"/>
    <n v="4"/>
    <x v="154"/>
    <s v="cfeye4k@google.co.jp"/>
    <x v="1"/>
    <s v="Exc"/>
    <s v="D"/>
    <x v="1"/>
    <n v="7.29"/>
    <n v="29.16"/>
    <x v="1"/>
    <x v="2"/>
    <x v="1"/>
    <s v="Mina Elstone"/>
  </r>
  <r>
    <s v="EHJ-05910-257"/>
    <x v="146"/>
    <s v="06812-11924-IK"/>
    <s v="R-D-1"/>
    <n v="6"/>
    <x v="155"/>
    <s v=""/>
    <x v="0"/>
    <s v="Rob"/>
    <s v="D"/>
    <x v="0"/>
    <n v="8.9499999999999993"/>
    <n v="53.699999999999996"/>
    <x v="0"/>
    <x v="2"/>
    <x v="0"/>
    <s v="Sherman Mewrcik"/>
  </r>
  <r>
    <s v="EIL-44855-309"/>
    <x v="147"/>
    <s v="59741-90220-OW"/>
    <s v="R-D-0.5"/>
    <n v="5"/>
    <x v="156"/>
    <s v=""/>
    <x v="0"/>
    <s v="Rob"/>
    <s v="D"/>
    <x v="1"/>
    <n v="5.3699999999999992"/>
    <n v="26.849999999999994"/>
    <x v="0"/>
    <x v="2"/>
    <x v="0"/>
    <s v="Tamarah Fero"/>
  </r>
  <r>
    <s v="HCA-87224-420"/>
    <x v="148"/>
    <s v="62682-27930-PD"/>
    <s v="E-M-0.5"/>
    <n v="5"/>
    <x v="157"/>
    <s v="tfero4n@comsenz.com"/>
    <x v="0"/>
    <s v="Exc"/>
    <s v="M"/>
    <x v="1"/>
    <n v="8.25"/>
    <n v="41.25"/>
    <x v="1"/>
    <x v="0"/>
    <x v="0"/>
    <s v="Stanislaus Valsler"/>
  </r>
  <r>
    <s v="ABO-29054-365"/>
    <x v="149"/>
    <s v="00256-19905-YG"/>
    <s v="A-M-0.5"/>
    <n v="6"/>
    <x v="158"/>
    <s v=""/>
    <x v="1"/>
    <s v="Ara"/>
    <s v="M"/>
    <x v="1"/>
    <n v="6.75"/>
    <n v="40.5"/>
    <x v="2"/>
    <x v="0"/>
    <x v="1"/>
    <s v="Felita Dauney"/>
  </r>
  <r>
    <s v="TKN-58485-031"/>
    <x v="150"/>
    <s v="38890-22576-UI"/>
    <s v="R-D-1"/>
    <n v="2"/>
    <x v="159"/>
    <s v="fdauney4p@sphinn.com"/>
    <x v="1"/>
    <s v="Rob"/>
    <s v="D"/>
    <x v="0"/>
    <n v="8.9499999999999993"/>
    <n v="17.899999999999999"/>
    <x v="0"/>
    <x v="2"/>
    <x v="1"/>
    <s v="Serena Earley"/>
  </r>
  <r>
    <s v="RCK-04069-371"/>
    <x v="151"/>
    <s v="94573-61802-PH"/>
    <s v="E-L-2.5"/>
    <n v="2"/>
    <x v="160"/>
    <s v="searley4q@youku.com"/>
    <x v="2"/>
    <s v="Exc"/>
    <s v="L"/>
    <x v="2"/>
    <n v="34.154999999999994"/>
    <n v="68.309999999999988"/>
    <x v="1"/>
    <x v="1"/>
    <x v="1"/>
    <s v="Minny Chamberlayne"/>
  </r>
  <r>
    <s v="IRJ-67095-738"/>
    <x v="13"/>
    <s v="86447-02699-UT"/>
    <s v="E-M-2.5"/>
    <n v="2"/>
    <x v="161"/>
    <s v="mchamberlayne4r@bigcartel.com"/>
    <x v="0"/>
    <s v="Exc"/>
    <s v="M"/>
    <x v="2"/>
    <n v="31.624999999999996"/>
    <n v="63.249999999999993"/>
    <x v="1"/>
    <x v="0"/>
    <x v="0"/>
    <s v="Bartholemy Flaherty"/>
  </r>
  <r>
    <s v="VEA-31961-977"/>
    <x v="79"/>
    <s v="51432-27169-KN"/>
    <s v="E-D-0.5"/>
    <n v="3"/>
    <x v="162"/>
    <s v="bflaherty4s@moonfruit.com"/>
    <x v="1"/>
    <s v="Exc"/>
    <s v="D"/>
    <x v="1"/>
    <n v="7.29"/>
    <n v="21.87"/>
    <x v="1"/>
    <x v="2"/>
    <x v="1"/>
    <s v="Oran Colbeck"/>
  </r>
  <r>
    <s v="BAF-42286-205"/>
    <x v="152"/>
    <s v="43074-00987-PB"/>
    <s v="R-M-2.5"/>
    <n v="4"/>
    <x v="163"/>
    <s v="ocolbeck4t@sina.com.cn"/>
    <x v="0"/>
    <s v="Rob"/>
    <s v="M"/>
    <x v="2"/>
    <n v="22.884999999999998"/>
    <n v="91.539999999999992"/>
    <x v="0"/>
    <x v="0"/>
    <x v="1"/>
    <s v="Elysee Sketch"/>
  </r>
  <r>
    <s v="WOR-52762-511"/>
    <x v="153"/>
    <s v="04739-85772-QT"/>
    <s v="E-L-2.5"/>
    <n v="6"/>
    <x v="164"/>
    <s v=""/>
    <x v="0"/>
    <s v="Exc"/>
    <s v="L"/>
    <x v="2"/>
    <n v="34.154999999999994"/>
    <n v="204.92999999999995"/>
    <x v="1"/>
    <x v="1"/>
    <x v="0"/>
    <s v="Ethelda Hobbing"/>
  </r>
  <r>
    <s v="ZWK-03995-815"/>
    <x v="154"/>
    <s v="28279-78469-YW"/>
    <s v="E-M-2.5"/>
    <n v="2"/>
    <x v="165"/>
    <s v="ehobbing4v@nsw.gov.au"/>
    <x v="0"/>
    <s v="Exc"/>
    <s v="M"/>
    <x v="2"/>
    <n v="31.624999999999996"/>
    <n v="63.249999999999993"/>
    <x v="1"/>
    <x v="0"/>
    <x v="0"/>
    <s v="Odille Thynne"/>
  </r>
  <r>
    <s v="CKF-43291-846"/>
    <x v="155"/>
    <s v="91829-99544-DS"/>
    <s v="E-L-2.5"/>
    <n v="1"/>
    <x v="166"/>
    <s v="othynne4w@auda.org.au"/>
    <x v="0"/>
    <s v="Exc"/>
    <s v="L"/>
    <x v="2"/>
    <n v="34.154999999999994"/>
    <n v="34.154999999999994"/>
    <x v="1"/>
    <x v="1"/>
    <x v="0"/>
    <s v="Emlynne Heining"/>
  </r>
  <r>
    <s v="RMW-74160-339"/>
    <x v="156"/>
    <s v="38978-59582-JP"/>
    <s v="R-L-2.5"/>
    <n v="4"/>
    <x v="167"/>
    <s v="eheining4x@flickr.com"/>
    <x v="0"/>
    <s v="Rob"/>
    <s v="L"/>
    <x v="2"/>
    <n v="27.484999999999996"/>
    <n v="109.93999999999998"/>
    <x v="0"/>
    <x v="1"/>
    <x v="0"/>
    <s v="Katerina Melloi"/>
  </r>
  <r>
    <s v="FMT-94584-786"/>
    <x v="22"/>
    <s v="86504-96610-BH"/>
    <s v="A-L-1"/>
    <n v="2"/>
    <x v="168"/>
    <s v="kmelloi4y@imdb.com"/>
    <x v="0"/>
    <s v="Ara"/>
    <s v="L"/>
    <x v="0"/>
    <n v="12.95"/>
    <n v="25.9"/>
    <x v="2"/>
    <x v="1"/>
    <x v="1"/>
    <s v="Tiffany Scardafield"/>
  </r>
  <r>
    <s v="NWT-78222-575"/>
    <x v="157"/>
    <s v="75986-98864-EZ"/>
    <s v="A-D-0.2"/>
    <n v="1"/>
    <x v="169"/>
    <s v=""/>
    <x v="1"/>
    <s v="Ara"/>
    <s v="D"/>
    <x v="3"/>
    <n v="2.9849999999999999"/>
    <n v="2.9849999999999999"/>
    <x v="2"/>
    <x v="2"/>
    <x v="1"/>
    <s v="Abrahan Mussen"/>
  </r>
  <r>
    <s v="EOI-02511-919"/>
    <x v="158"/>
    <s v="66776-88682-RG"/>
    <s v="E-L-0.2"/>
    <n v="5"/>
    <x v="170"/>
    <s v="amussen50@51.la"/>
    <x v="0"/>
    <s v="Exc"/>
    <s v="L"/>
    <x v="3"/>
    <n v="4.4550000000000001"/>
    <n v="22.274999999999999"/>
    <x v="1"/>
    <x v="1"/>
    <x v="1"/>
    <s v="Abrahan Mussen"/>
  </r>
  <r>
    <s v="EOI-02511-919"/>
    <x v="158"/>
    <s v="66776-88682-RG"/>
    <s v="A-D-0.5"/>
    <n v="5"/>
    <x v="170"/>
    <s v="amussen50@51.la"/>
    <x v="0"/>
    <s v="Ara"/>
    <s v="D"/>
    <x v="1"/>
    <n v="5.97"/>
    <n v="29.849999999999998"/>
    <x v="2"/>
    <x v="2"/>
    <x v="1"/>
    <s v="Anny Mundford"/>
  </r>
  <r>
    <s v="UCT-03935-589"/>
    <x v="78"/>
    <s v="85851-78384-DM"/>
    <s v="R-D-0.5"/>
    <n v="6"/>
    <x v="171"/>
    <s v="amundford52@nbcnews.com"/>
    <x v="0"/>
    <s v="Rob"/>
    <s v="D"/>
    <x v="1"/>
    <n v="5.3699999999999992"/>
    <n v="32.22"/>
    <x v="0"/>
    <x v="2"/>
    <x v="1"/>
    <s v="Tory Walas"/>
  </r>
  <r>
    <s v="SBI-60013-494"/>
    <x v="159"/>
    <s v="55232-81621-BX"/>
    <s v="E-M-0.2"/>
    <n v="2"/>
    <x v="172"/>
    <s v="twalas53@google.ca"/>
    <x v="0"/>
    <s v="Exc"/>
    <s v="M"/>
    <x v="3"/>
    <n v="4.125"/>
    <n v="8.25"/>
    <x v="1"/>
    <x v="0"/>
    <x v="1"/>
    <s v="Isa Blazewicz"/>
  </r>
  <r>
    <s v="QRA-73277-814"/>
    <x v="160"/>
    <s v="80310-92912-JA"/>
    <s v="A-L-0.5"/>
    <n v="4"/>
    <x v="173"/>
    <s v="iblazewicz54@thetimes.co.uk"/>
    <x v="0"/>
    <s v="Ara"/>
    <s v="L"/>
    <x v="1"/>
    <n v="7.77"/>
    <n v="31.08"/>
    <x v="2"/>
    <x v="1"/>
    <x v="1"/>
    <s v="Angie Rizzetti"/>
  </r>
  <r>
    <s v="EQE-31648-909"/>
    <x v="161"/>
    <s v="19821-05175-WZ"/>
    <s v="E-D-0.5"/>
    <n v="5"/>
    <x v="174"/>
    <s v="arizzetti55@naver.com"/>
    <x v="0"/>
    <s v="Exc"/>
    <s v="D"/>
    <x v="1"/>
    <n v="7.29"/>
    <n v="36.450000000000003"/>
    <x v="1"/>
    <x v="2"/>
    <x v="0"/>
    <s v="Mord Meriet"/>
  </r>
  <r>
    <s v="QOO-24615-950"/>
    <x v="162"/>
    <s v="01338-83217-GV"/>
    <s v="R-M-2.5"/>
    <n v="3"/>
    <x v="175"/>
    <s v="mmeriet56@noaa.gov"/>
    <x v="0"/>
    <s v="Rob"/>
    <s v="M"/>
    <x v="2"/>
    <n v="22.884999999999998"/>
    <n v="68.655000000000001"/>
    <x v="0"/>
    <x v="0"/>
    <x v="1"/>
    <s v="Lawrence Pratt"/>
  </r>
  <r>
    <s v="WDV-73864-037"/>
    <x v="70"/>
    <s v="66044-25298-TA"/>
    <s v="L-M-0.5"/>
    <n v="5"/>
    <x v="176"/>
    <s v="lpratt57@netvibes.com"/>
    <x v="0"/>
    <s v="Lib"/>
    <s v="M"/>
    <x v="1"/>
    <n v="8.73"/>
    <n v="43.650000000000006"/>
    <x v="3"/>
    <x v="0"/>
    <x v="0"/>
    <s v="Astrix Kitchingham"/>
  </r>
  <r>
    <s v="PKR-88575-066"/>
    <x v="163"/>
    <s v="28728-47861-TZ"/>
    <s v="E-L-0.2"/>
    <n v="1"/>
    <x v="177"/>
    <s v="akitchingham58@com.com"/>
    <x v="0"/>
    <s v="Exc"/>
    <s v="L"/>
    <x v="3"/>
    <n v="4.4550000000000001"/>
    <n v="4.4550000000000001"/>
    <x v="1"/>
    <x v="1"/>
    <x v="0"/>
    <s v="Burnard Bartholin"/>
  </r>
  <r>
    <s v="BWR-85735-955"/>
    <x v="153"/>
    <s v="32638-38620-AX"/>
    <s v="L-M-1"/>
    <n v="3"/>
    <x v="178"/>
    <s v="bbartholin59@xinhuanet.com"/>
    <x v="0"/>
    <s v="Lib"/>
    <s v="M"/>
    <x v="0"/>
    <n v="14.55"/>
    <n v="43.650000000000006"/>
    <x v="3"/>
    <x v="0"/>
    <x v="0"/>
    <s v="Madelene Prinn"/>
  </r>
  <r>
    <s v="YFX-64795-136"/>
    <x v="164"/>
    <s v="83163-65741-IH"/>
    <s v="L-M-2.5"/>
    <n v="1"/>
    <x v="179"/>
    <s v="mprinn5a@usa.gov"/>
    <x v="0"/>
    <s v="Lib"/>
    <s v="M"/>
    <x v="2"/>
    <n v="33.464999999999996"/>
    <n v="33.464999999999996"/>
    <x v="3"/>
    <x v="0"/>
    <x v="0"/>
    <s v="Alisun Baudino"/>
  </r>
  <r>
    <s v="DDO-71442-967"/>
    <x v="165"/>
    <s v="89422-58281-FD"/>
    <s v="L-D-0.2"/>
    <n v="5"/>
    <x v="180"/>
    <s v="abaudino5b@netvibes.com"/>
    <x v="0"/>
    <s v="Lib"/>
    <s v="D"/>
    <x v="3"/>
    <n v="3.8849999999999998"/>
    <n v="19.424999999999997"/>
    <x v="3"/>
    <x v="2"/>
    <x v="0"/>
    <s v="Philipa Petrushanko"/>
  </r>
  <r>
    <s v="ILQ-11027-588"/>
    <x v="166"/>
    <s v="76293-30918-DQ"/>
    <s v="E-D-1"/>
    <n v="6"/>
    <x v="181"/>
    <s v="ppetrushanko5c@blinklist.com"/>
    <x v="1"/>
    <s v="Exc"/>
    <s v="D"/>
    <x v="0"/>
    <n v="12.15"/>
    <n v="72.900000000000006"/>
    <x v="1"/>
    <x v="2"/>
    <x v="0"/>
    <s v="Kimberli Mustchin"/>
  </r>
  <r>
    <s v="KRZ-13868-122"/>
    <x v="167"/>
    <s v="86779-84838-EJ"/>
    <s v="E-L-1"/>
    <n v="3"/>
    <x v="182"/>
    <s v=""/>
    <x v="0"/>
    <s v="Exc"/>
    <s v="L"/>
    <x v="0"/>
    <n v="14.85"/>
    <n v="44.55"/>
    <x v="1"/>
    <x v="1"/>
    <x v="1"/>
    <s v="Emlynne Laird"/>
  </r>
  <r>
    <s v="VRM-93594-914"/>
    <x v="168"/>
    <s v="66806-41795-MX"/>
    <s v="E-D-0.5"/>
    <n v="5"/>
    <x v="183"/>
    <s v="elaird5e@bing.com"/>
    <x v="0"/>
    <s v="Exc"/>
    <s v="D"/>
    <x v="1"/>
    <n v="7.29"/>
    <n v="36.450000000000003"/>
    <x v="1"/>
    <x v="2"/>
    <x v="1"/>
    <s v="Marlena Howsden"/>
  </r>
  <r>
    <s v="HXL-22497-359"/>
    <x v="169"/>
    <s v="64875-71224-UI"/>
    <s v="A-L-1"/>
    <n v="3"/>
    <x v="184"/>
    <s v="mhowsden5f@infoseek.co.jp"/>
    <x v="0"/>
    <s v="Ara"/>
    <s v="L"/>
    <x v="0"/>
    <n v="12.95"/>
    <n v="38.849999999999994"/>
    <x v="2"/>
    <x v="1"/>
    <x v="1"/>
    <s v="Nealson Cuttler"/>
  </r>
  <r>
    <s v="NOP-21394-646"/>
    <x v="170"/>
    <s v="16982-35708-BZ"/>
    <s v="E-L-0.5"/>
    <n v="6"/>
    <x v="185"/>
    <s v="ncuttler5g@parallels.com"/>
    <x v="0"/>
    <s v="Exc"/>
    <s v="L"/>
    <x v="1"/>
    <n v="8.91"/>
    <n v="53.46"/>
    <x v="1"/>
    <x v="1"/>
    <x v="1"/>
    <s v="Nealson Cuttler"/>
  </r>
  <r>
    <s v="NOP-21394-646"/>
    <x v="170"/>
    <s v="16982-35708-BZ"/>
    <s v="L-D-2.5"/>
    <n v="2"/>
    <x v="185"/>
    <s v="ncuttler5g@parallels.com"/>
    <x v="0"/>
    <s v="Lib"/>
    <s v="D"/>
    <x v="2"/>
    <n v="29.784999999999997"/>
    <n v="59.569999999999993"/>
    <x v="3"/>
    <x v="2"/>
    <x v="1"/>
    <s v="Nealson Cuttler"/>
  </r>
  <r>
    <s v="NOP-21394-646"/>
    <x v="170"/>
    <s v="16982-35708-BZ"/>
    <s v="L-D-2.5"/>
    <n v="3"/>
    <x v="185"/>
    <e v="#N/A"/>
    <x v="1"/>
    <s v="Lib"/>
    <s v="D"/>
    <x v="2"/>
    <n v="29.784999999999997"/>
    <n v="89.35499999999999"/>
    <x v="3"/>
    <x v="2"/>
    <x v="1"/>
    <s v="Nealson Cuttler"/>
  </r>
  <r>
    <s v="NOP-21394-646"/>
    <x v="170"/>
    <s v="16982-35708-BZ"/>
    <s v="L-L-0.5"/>
    <n v="4"/>
    <x v="185"/>
    <e v="#N/A"/>
    <x v="1"/>
    <s v="Lib"/>
    <s v="L"/>
    <x v="1"/>
    <n v="9.51"/>
    <n v="38.04"/>
    <x v="3"/>
    <x v="1"/>
    <x v="1"/>
    <s v="Nealson Cuttler"/>
  </r>
  <r>
    <s v="NOP-21394-646"/>
    <x v="170"/>
    <s v="16982-35708-BZ"/>
    <s v="E-M-1"/>
    <n v="3"/>
    <x v="185"/>
    <e v="#N/A"/>
    <x v="1"/>
    <s v="Exc"/>
    <s v="M"/>
    <x v="0"/>
    <n v="13.75"/>
    <n v="41.25"/>
    <x v="1"/>
    <x v="0"/>
    <x v="1"/>
    <s v="Adriana Lazarus"/>
  </r>
  <r>
    <s v="FTV-77095-168"/>
    <x v="171"/>
    <s v="66708-26678-QK"/>
    <s v="L-L-0.5"/>
    <n v="6"/>
    <x v="186"/>
    <s v=""/>
    <x v="0"/>
    <s v="Lib"/>
    <s v="L"/>
    <x v="1"/>
    <n v="9.51"/>
    <n v="57.06"/>
    <x v="3"/>
    <x v="1"/>
    <x v="1"/>
    <s v="Tallie felip"/>
  </r>
  <r>
    <s v="BOR-02906-411"/>
    <x v="172"/>
    <s v="08743-09057-OO"/>
    <s v="L-D-2.5"/>
    <n v="6"/>
    <x v="187"/>
    <s v="tfelip5m@typepad.com"/>
    <x v="0"/>
    <s v="Lib"/>
    <s v="D"/>
    <x v="2"/>
    <n v="29.784999999999997"/>
    <n v="178.70999999999998"/>
    <x v="3"/>
    <x v="2"/>
    <x v="0"/>
    <s v="Vanna Le - Count"/>
  </r>
  <r>
    <s v="WMP-68847-770"/>
    <x v="173"/>
    <s v="37490-01572-JW"/>
    <s v="L-L-0.2"/>
    <n v="1"/>
    <x v="188"/>
    <s v="vle5n@disqus.com"/>
    <x v="0"/>
    <s v="Lib"/>
    <s v="L"/>
    <x v="3"/>
    <n v="4.7549999999999999"/>
    <n v="4.7549999999999999"/>
    <x v="3"/>
    <x v="1"/>
    <x v="1"/>
    <s v="Sarette Ducarel"/>
  </r>
  <r>
    <s v="TMO-22785-872"/>
    <x v="174"/>
    <s v="01811-60350-CU"/>
    <s v="E-M-1"/>
    <n v="6"/>
    <x v="189"/>
    <s v=""/>
    <x v="0"/>
    <s v="Exc"/>
    <s v="M"/>
    <x v="0"/>
    <n v="13.75"/>
    <n v="82.5"/>
    <x v="1"/>
    <x v="0"/>
    <x v="1"/>
    <s v="Kendra Glison"/>
  </r>
  <r>
    <s v="TJG-73587-353"/>
    <x v="175"/>
    <s v="24766-58139-GT"/>
    <s v="R-D-0.2"/>
    <n v="3"/>
    <x v="190"/>
    <s v=""/>
    <x v="0"/>
    <s v="Rob"/>
    <s v="D"/>
    <x v="3"/>
    <n v="2.6849999999999996"/>
    <n v="8.0549999999999997"/>
    <x v="0"/>
    <x v="2"/>
    <x v="0"/>
    <s v="Nertie Poolman"/>
  </r>
  <r>
    <s v="OOU-61343-455"/>
    <x v="176"/>
    <s v="90123-70970-NY"/>
    <s v="A-M-1"/>
    <n v="2"/>
    <x v="191"/>
    <s v="npoolman5q@howstuffworks.com"/>
    <x v="0"/>
    <s v="Ara"/>
    <s v="M"/>
    <x v="0"/>
    <n v="11.25"/>
    <n v="22.5"/>
    <x v="2"/>
    <x v="0"/>
    <x v="1"/>
    <s v="Orbadiah Duny"/>
  </r>
  <r>
    <s v="RMA-08327-369"/>
    <x v="142"/>
    <s v="93809-05424-MG"/>
    <s v="A-M-0.5"/>
    <n v="6"/>
    <x v="192"/>
    <s v="oduny5r@constantcontact.com"/>
    <x v="0"/>
    <s v="Ara"/>
    <s v="M"/>
    <x v="1"/>
    <n v="6.75"/>
    <n v="40.5"/>
    <x v="2"/>
    <x v="0"/>
    <x v="0"/>
    <s v="Constance Halfhide"/>
  </r>
  <r>
    <s v="SFB-97929-779"/>
    <x v="177"/>
    <s v="85425-33494-HQ"/>
    <s v="E-D-0.5"/>
    <n v="4"/>
    <x v="193"/>
    <s v="chalfhide5s@google.ru"/>
    <x v="1"/>
    <s v="Exc"/>
    <s v="D"/>
    <x v="1"/>
    <n v="7.29"/>
    <n v="29.16"/>
    <x v="1"/>
    <x v="2"/>
    <x v="0"/>
    <s v="Fransisco Malecky"/>
  </r>
  <r>
    <s v="AUP-10128-606"/>
    <x v="178"/>
    <s v="54387-64897-XC"/>
    <s v="A-M-0.5"/>
    <n v="1"/>
    <x v="194"/>
    <s v="fmalecky5t@list-manage.com"/>
    <x v="2"/>
    <s v="Ara"/>
    <s v="M"/>
    <x v="1"/>
    <n v="6.75"/>
    <n v="6.75"/>
    <x v="2"/>
    <x v="0"/>
    <x v="1"/>
    <s v="Anselma Attwater"/>
  </r>
  <r>
    <s v="YTW-40242-005"/>
    <x v="179"/>
    <s v="01035-70465-UO"/>
    <s v="L-D-1"/>
    <n v="4"/>
    <x v="195"/>
    <s v="aattwater5u@wikia.com"/>
    <x v="0"/>
    <s v="Lib"/>
    <s v="D"/>
    <x v="0"/>
    <n v="12.95"/>
    <n v="51.8"/>
    <x v="3"/>
    <x v="2"/>
    <x v="0"/>
    <s v="Minette Whellans"/>
  </r>
  <r>
    <s v="PRP-53390-819"/>
    <x v="180"/>
    <s v="84260-39432-ML"/>
    <s v="E-L-0.5"/>
    <n v="6"/>
    <x v="196"/>
    <s v="mwhellans5v@mapquest.com"/>
    <x v="0"/>
    <s v="Exc"/>
    <s v="L"/>
    <x v="1"/>
    <n v="8.91"/>
    <n v="53.46"/>
    <x v="1"/>
    <x v="1"/>
    <x v="1"/>
    <s v="Dael Camilletti"/>
  </r>
  <r>
    <s v="GSJ-01065-125"/>
    <x v="181"/>
    <s v="69779-40609-RS"/>
    <s v="E-D-0.2"/>
    <n v="4"/>
    <x v="197"/>
    <s v="dcamilletti5w@businesswire.com"/>
    <x v="0"/>
    <s v="Exc"/>
    <s v="D"/>
    <x v="3"/>
    <n v="3.645"/>
    <n v="14.58"/>
    <x v="1"/>
    <x v="2"/>
    <x v="0"/>
    <s v="Emiline Galgey"/>
  </r>
  <r>
    <s v="YQU-65147-580"/>
    <x v="182"/>
    <s v="80247-70000-HT"/>
    <s v="R-D-2.5"/>
    <n v="1"/>
    <x v="198"/>
    <s v="egalgey5x@wufoo.com"/>
    <x v="0"/>
    <s v="Rob"/>
    <s v="D"/>
    <x v="2"/>
    <n v="20.584999999999997"/>
    <n v="20.584999999999997"/>
    <x v="0"/>
    <x v="2"/>
    <x v="1"/>
    <s v="Murdock Hame"/>
  </r>
  <r>
    <s v="QPM-95832-683"/>
    <x v="183"/>
    <s v="35058-04550-VC"/>
    <s v="L-L-1"/>
    <n v="2"/>
    <x v="199"/>
    <s v="mhame5y@newsvine.com"/>
    <x v="1"/>
    <s v="Lib"/>
    <s v="L"/>
    <x v="0"/>
    <n v="15.85"/>
    <n v="31.7"/>
    <x v="3"/>
    <x v="1"/>
    <x v="1"/>
    <s v="Ilka Gurnee"/>
  </r>
  <r>
    <s v="BNQ-88920-567"/>
    <x v="184"/>
    <s v="27226-53717-SY"/>
    <s v="L-D-0.2"/>
    <n v="6"/>
    <x v="200"/>
    <s v="igurnee5z@usnews.com"/>
    <x v="0"/>
    <s v="Lib"/>
    <s v="D"/>
    <x v="3"/>
    <n v="3.8849999999999998"/>
    <n v="23.31"/>
    <x v="3"/>
    <x v="2"/>
    <x v="1"/>
    <s v="Alfy Snowding"/>
  </r>
  <r>
    <s v="PUX-47906-110"/>
    <x v="185"/>
    <s v="02002-98725-CH"/>
    <s v="L-M-1"/>
    <n v="4"/>
    <x v="201"/>
    <s v="asnowding60@comsenz.com"/>
    <x v="0"/>
    <s v="Lib"/>
    <s v="M"/>
    <x v="0"/>
    <n v="14.55"/>
    <n v="58.2"/>
    <x v="3"/>
    <x v="0"/>
    <x v="0"/>
    <s v="Godfry Poinsett"/>
  </r>
  <r>
    <s v="COL-72079-610"/>
    <x v="186"/>
    <s v="38487-01549-MV"/>
    <s v="E-L-0.5"/>
    <n v="4"/>
    <x v="202"/>
    <s v="gpoinsett61@berkeley.edu"/>
    <x v="0"/>
    <s v="Exc"/>
    <s v="L"/>
    <x v="1"/>
    <n v="8.91"/>
    <n v="35.64"/>
    <x v="1"/>
    <x v="1"/>
    <x v="1"/>
    <s v="Rem Furman"/>
  </r>
  <r>
    <s v="LBC-45686-819"/>
    <x v="187"/>
    <s v="98573-41811-EQ"/>
    <s v="A-M-1"/>
    <n v="5"/>
    <x v="203"/>
    <s v="rfurman62@t.co"/>
    <x v="1"/>
    <s v="Ara"/>
    <s v="M"/>
    <x v="0"/>
    <n v="11.25"/>
    <n v="56.25"/>
    <x v="2"/>
    <x v="0"/>
    <x v="0"/>
    <s v="Charis Crosier"/>
  </r>
  <r>
    <s v="BLQ-03709-265"/>
    <x v="148"/>
    <s v="72463-75685-MV"/>
    <s v="R-L-0.2"/>
    <n v="3"/>
    <x v="204"/>
    <s v="ccrosier63@xrea.com"/>
    <x v="0"/>
    <s v="Rob"/>
    <s v="L"/>
    <x v="3"/>
    <n v="3.5849999999999995"/>
    <n v="10.754999999999999"/>
    <x v="0"/>
    <x v="1"/>
    <x v="1"/>
    <s v="Charis Crosier"/>
  </r>
  <r>
    <s v="BLQ-03709-265"/>
    <x v="148"/>
    <s v="72463-75685-MV"/>
    <s v="R-M-0.2"/>
    <n v="5"/>
    <x v="204"/>
    <s v="ccrosier63@xrea.com"/>
    <x v="0"/>
    <s v="Rob"/>
    <s v="M"/>
    <x v="3"/>
    <n v="2.9849999999999999"/>
    <n v="14.924999999999999"/>
    <x v="0"/>
    <x v="0"/>
    <x v="1"/>
    <s v="Lenka Rushmer"/>
  </r>
  <r>
    <s v="VFZ-91673-181"/>
    <x v="188"/>
    <s v="10225-91535-AI"/>
    <s v="A-L-1"/>
    <n v="6"/>
    <x v="205"/>
    <s v="lrushmer65@europa.eu"/>
    <x v="0"/>
    <s v="Ara"/>
    <s v="L"/>
    <x v="0"/>
    <n v="12.95"/>
    <n v="77.699999999999989"/>
    <x v="2"/>
    <x v="1"/>
    <x v="0"/>
    <s v="Waneta Edinborough"/>
  </r>
  <r>
    <s v="WKD-81956-870"/>
    <x v="189"/>
    <s v="48090-06534-HI"/>
    <s v="L-D-0.5"/>
    <n v="3"/>
    <x v="206"/>
    <s v="wedinborough66@github.io"/>
    <x v="0"/>
    <s v="Lib"/>
    <s v="D"/>
    <x v="1"/>
    <n v="7.77"/>
    <n v="23.31"/>
    <x v="3"/>
    <x v="2"/>
    <x v="1"/>
    <s v="Bobbe Piggott"/>
  </r>
  <r>
    <s v="TNI-91067-006"/>
    <x v="190"/>
    <s v="80444-58185-FX"/>
    <s v="E-L-1"/>
    <n v="4"/>
    <x v="207"/>
    <s v=""/>
    <x v="0"/>
    <s v="Exc"/>
    <s v="L"/>
    <x v="0"/>
    <n v="14.85"/>
    <n v="59.4"/>
    <x v="1"/>
    <x v="1"/>
    <x v="0"/>
    <s v="Ketty Bromehead"/>
  </r>
  <r>
    <s v="IZA-61469-812"/>
    <x v="191"/>
    <s v="13561-92774-WP"/>
    <s v="L-D-2.5"/>
    <n v="4"/>
    <x v="208"/>
    <s v="kbromehead68@un.org"/>
    <x v="0"/>
    <s v="Lib"/>
    <s v="D"/>
    <x v="2"/>
    <n v="29.784999999999997"/>
    <n v="119.13999999999999"/>
    <x v="3"/>
    <x v="2"/>
    <x v="0"/>
    <s v="Elsbeth Westerman"/>
  </r>
  <r>
    <s v="PSS-22466-862"/>
    <x v="192"/>
    <s v="11550-78378-GE"/>
    <s v="R-L-0.2"/>
    <n v="4"/>
    <x v="209"/>
    <s v="ewesterman69@si.edu"/>
    <x v="1"/>
    <s v="Rob"/>
    <s v="L"/>
    <x v="3"/>
    <n v="3.5849999999999995"/>
    <n v="14.339999999999998"/>
    <x v="0"/>
    <x v="1"/>
    <x v="1"/>
    <s v="Anabelle Hutchens"/>
  </r>
  <r>
    <s v="REH-56504-397"/>
    <x v="193"/>
    <s v="90961-35603-RP"/>
    <s v="A-M-2.5"/>
    <n v="5"/>
    <x v="210"/>
    <s v="ahutchens6a@amazonaws.com"/>
    <x v="0"/>
    <s v="Ara"/>
    <s v="M"/>
    <x v="2"/>
    <n v="25.874999999999996"/>
    <n v="129.37499999999997"/>
    <x v="2"/>
    <x v="0"/>
    <x v="1"/>
    <s v="Noak Wyvill"/>
  </r>
  <r>
    <s v="ALA-62598-016"/>
    <x v="194"/>
    <s v="57145-03803-ZL"/>
    <s v="R-D-0.2"/>
    <n v="6"/>
    <x v="211"/>
    <s v="nwyvill6b@naver.com"/>
    <x v="2"/>
    <s v="Rob"/>
    <s v="D"/>
    <x v="3"/>
    <n v="2.6849999999999996"/>
    <n v="16.11"/>
    <x v="0"/>
    <x v="2"/>
    <x v="0"/>
    <s v="Beltran Mathon"/>
  </r>
  <r>
    <s v="EYE-70374-835"/>
    <x v="195"/>
    <s v="89115-11966-VF"/>
    <s v="R-L-0.2"/>
    <n v="5"/>
    <x v="212"/>
    <s v="bmathon6c@barnesandnoble.com"/>
    <x v="0"/>
    <s v="Rob"/>
    <s v="L"/>
    <x v="3"/>
    <n v="3.5849999999999995"/>
    <n v="17.924999999999997"/>
    <x v="0"/>
    <x v="1"/>
    <x v="1"/>
    <s v="Kristos Streight"/>
  </r>
  <r>
    <s v="CCZ-19589-212"/>
    <x v="196"/>
    <s v="05754-41702-FG"/>
    <s v="L-M-0.2"/>
    <n v="2"/>
    <x v="213"/>
    <s v="kstreight6d@about.com"/>
    <x v="0"/>
    <s v="Lib"/>
    <s v="M"/>
    <x v="3"/>
    <n v="4.3650000000000002"/>
    <n v="8.73"/>
    <x v="3"/>
    <x v="0"/>
    <x v="1"/>
    <s v="Portie Cutchie"/>
  </r>
  <r>
    <s v="BPT-83989-157"/>
    <x v="197"/>
    <s v="84269-49816-ML"/>
    <s v="A-M-2.5"/>
    <n v="2"/>
    <x v="214"/>
    <s v="pcutchie6e@globo.com"/>
    <x v="0"/>
    <s v="Ara"/>
    <s v="M"/>
    <x v="2"/>
    <n v="25.874999999999996"/>
    <n v="51.749999999999993"/>
    <x v="2"/>
    <x v="0"/>
    <x v="1"/>
    <s v="Sinclare Edsell"/>
  </r>
  <r>
    <s v="YFH-87456-208"/>
    <x v="198"/>
    <s v="23600-98432-ME"/>
    <s v="L-M-0.2"/>
    <n v="2"/>
    <x v="215"/>
    <s v=""/>
    <x v="0"/>
    <s v="Lib"/>
    <s v="M"/>
    <x v="3"/>
    <n v="4.3650000000000002"/>
    <n v="8.73"/>
    <x v="3"/>
    <x v="0"/>
    <x v="0"/>
    <s v="Conny Gheraldi"/>
  </r>
  <r>
    <s v="JLN-14700-924"/>
    <x v="199"/>
    <s v="79058-02767-CP"/>
    <s v="L-L-0.2"/>
    <n v="5"/>
    <x v="216"/>
    <s v="cgheraldi6g@opera.com"/>
    <x v="2"/>
    <s v="Lib"/>
    <s v="L"/>
    <x v="3"/>
    <n v="4.7549999999999999"/>
    <n v="23.774999999999999"/>
    <x v="3"/>
    <x v="1"/>
    <x v="1"/>
    <s v="Beryle Kenwell"/>
  </r>
  <r>
    <s v="JVW-22582-137"/>
    <x v="200"/>
    <s v="89208-74646-UK"/>
    <s v="E-M-0.2"/>
    <n v="5"/>
    <x v="217"/>
    <s v="bkenwell6h@over-blog.com"/>
    <x v="0"/>
    <s v="Exc"/>
    <s v="M"/>
    <x v="3"/>
    <n v="4.125"/>
    <n v="20.625"/>
    <x v="1"/>
    <x v="0"/>
    <x v="1"/>
    <s v="Tomas Sutty"/>
  </r>
  <r>
    <s v="LAA-41879-001"/>
    <x v="201"/>
    <s v="11408-81032-UR"/>
    <s v="L-L-2.5"/>
    <n v="1"/>
    <x v="218"/>
    <s v="tsutty6i@google.es"/>
    <x v="0"/>
    <s v="Lib"/>
    <s v="L"/>
    <x v="2"/>
    <n v="36.454999999999998"/>
    <n v="36.454999999999998"/>
    <x v="3"/>
    <x v="1"/>
    <x v="1"/>
    <s v="Samuele Ales0"/>
  </r>
  <r>
    <s v="BRV-64870-915"/>
    <x v="202"/>
    <s v="32070-55528-UG"/>
    <s v="L-L-2.5"/>
    <n v="5"/>
    <x v="219"/>
    <s v=""/>
    <x v="1"/>
    <s v="Lib"/>
    <s v="L"/>
    <x v="2"/>
    <n v="36.454999999999998"/>
    <n v="182.27499999999998"/>
    <x v="3"/>
    <x v="1"/>
    <x v="1"/>
    <s v="Carlie Harce"/>
  </r>
  <r>
    <s v="RGJ-12544-083"/>
    <x v="203"/>
    <s v="48873-84433-PN"/>
    <s v="L-D-2.5"/>
    <n v="3"/>
    <x v="220"/>
    <s v="charce6k@cafepress.com"/>
    <x v="1"/>
    <s v="Lib"/>
    <s v="D"/>
    <x v="2"/>
    <n v="29.784999999999997"/>
    <n v="89.35499999999999"/>
    <x v="3"/>
    <x v="2"/>
    <x v="1"/>
    <s v="Craggy Bril"/>
  </r>
  <r>
    <s v="JJX-83339-346"/>
    <x v="204"/>
    <s v="32928-18158-OW"/>
    <s v="R-L-0.2"/>
    <n v="1"/>
    <x v="221"/>
    <s v=""/>
    <x v="0"/>
    <s v="Rob"/>
    <s v="L"/>
    <x v="3"/>
    <n v="3.5849999999999995"/>
    <n v="3.5849999999999995"/>
    <x v="0"/>
    <x v="1"/>
    <x v="0"/>
    <s v="Friederike Drysdale"/>
  </r>
  <r>
    <s v="BIU-21970-705"/>
    <x v="205"/>
    <s v="89711-56688-GG"/>
    <s v="R-M-2.5"/>
    <n v="2"/>
    <x v="222"/>
    <s v="fdrysdale6m@symantec.com"/>
    <x v="0"/>
    <s v="Rob"/>
    <s v="M"/>
    <x v="2"/>
    <n v="22.884999999999998"/>
    <n v="45.769999999999996"/>
    <x v="0"/>
    <x v="0"/>
    <x v="0"/>
    <s v="Devon Magowan"/>
  </r>
  <r>
    <s v="ELJ-87741-745"/>
    <x v="206"/>
    <s v="48389-71976-JB"/>
    <s v="E-L-1"/>
    <n v="4"/>
    <x v="223"/>
    <s v="dmagowan6n@fc2.com"/>
    <x v="0"/>
    <s v="Exc"/>
    <s v="L"/>
    <x v="0"/>
    <n v="14.85"/>
    <n v="59.4"/>
    <x v="1"/>
    <x v="1"/>
    <x v="1"/>
    <s v="Codi Littrell"/>
  </r>
  <r>
    <s v="SGI-48226-857"/>
    <x v="207"/>
    <s v="84033-80762-EQ"/>
    <s v="A-M-2.5"/>
    <n v="6"/>
    <x v="224"/>
    <s v=""/>
    <x v="0"/>
    <s v="Ara"/>
    <s v="M"/>
    <x v="2"/>
    <n v="25.874999999999996"/>
    <n v="155.24999999999997"/>
    <x v="2"/>
    <x v="0"/>
    <x v="0"/>
    <s v="Christel Speak"/>
  </r>
  <r>
    <s v="AHV-66988-037"/>
    <x v="208"/>
    <s v="12743-00952-KO"/>
    <s v="R-M-2.5"/>
    <n v="2"/>
    <x v="225"/>
    <s v=""/>
    <x v="0"/>
    <s v="Rob"/>
    <s v="M"/>
    <x v="2"/>
    <n v="22.884999999999998"/>
    <n v="45.769999999999996"/>
    <x v="0"/>
    <x v="0"/>
    <x v="1"/>
    <s v="Sibella Rushbrooke"/>
  </r>
  <r>
    <s v="ISK-42066-094"/>
    <x v="209"/>
    <s v="41505-42181-EF"/>
    <s v="E-D-1"/>
    <n v="3"/>
    <x v="226"/>
    <s v="srushbrooke6q@youku.com"/>
    <x v="0"/>
    <s v="Exc"/>
    <s v="D"/>
    <x v="0"/>
    <n v="12.15"/>
    <n v="36.450000000000003"/>
    <x v="1"/>
    <x v="2"/>
    <x v="0"/>
    <s v="Tammie Drynan"/>
  </r>
  <r>
    <s v="FTC-35822-530"/>
    <x v="210"/>
    <s v="14307-87663-KB"/>
    <s v="E-D-0.5"/>
    <n v="4"/>
    <x v="227"/>
    <s v="tdrynan6r@deviantart.com"/>
    <x v="0"/>
    <s v="Exc"/>
    <s v="D"/>
    <x v="1"/>
    <n v="7.29"/>
    <n v="29.16"/>
    <x v="1"/>
    <x v="2"/>
    <x v="0"/>
    <s v="Effie Yurkov"/>
  </r>
  <r>
    <s v="VSS-56247-688"/>
    <x v="211"/>
    <s v="08360-19442-GB"/>
    <s v="L-M-2.5"/>
    <n v="4"/>
    <x v="228"/>
    <s v="eyurkov6s@hud.gov"/>
    <x v="0"/>
    <s v="Lib"/>
    <s v="M"/>
    <x v="2"/>
    <n v="33.464999999999996"/>
    <n v="133.85999999999999"/>
    <x v="3"/>
    <x v="0"/>
    <x v="1"/>
    <s v="Lexie Mallan"/>
  </r>
  <r>
    <s v="HVW-25584-144"/>
    <x v="212"/>
    <s v="93405-51204-UW"/>
    <s v="L-L-0.2"/>
    <n v="5"/>
    <x v="229"/>
    <s v="lmallan6t@state.gov"/>
    <x v="0"/>
    <s v="Lib"/>
    <s v="L"/>
    <x v="3"/>
    <n v="4.7549999999999999"/>
    <n v="23.774999999999999"/>
    <x v="3"/>
    <x v="1"/>
    <x v="0"/>
    <s v="Georgena Bentjens"/>
  </r>
  <r>
    <s v="MUY-15309-209"/>
    <x v="213"/>
    <s v="97152-03355-IW"/>
    <s v="L-D-1"/>
    <n v="3"/>
    <x v="230"/>
    <s v="gbentjens6u@netlog.com"/>
    <x v="2"/>
    <s v="Lib"/>
    <s v="D"/>
    <x v="0"/>
    <n v="12.95"/>
    <n v="38.849999999999994"/>
    <x v="3"/>
    <x v="2"/>
    <x v="1"/>
    <s v="Delmar Beasant"/>
  </r>
  <r>
    <s v="VAJ-44572-469"/>
    <x v="63"/>
    <s v="79216-73157-TE"/>
    <s v="R-L-0.2"/>
    <n v="6"/>
    <x v="231"/>
    <s v=""/>
    <x v="1"/>
    <s v="Rob"/>
    <s v="L"/>
    <x v="3"/>
    <n v="3.5849999999999995"/>
    <n v="21.509999999999998"/>
    <x v="0"/>
    <x v="1"/>
    <x v="0"/>
    <s v="Lyn Entwistle"/>
  </r>
  <r>
    <s v="YJU-84377-606"/>
    <x v="214"/>
    <s v="20259-47723-AC"/>
    <s v="A-D-1"/>
    <n v="1"/>
    <x v="232"/>
    <s v="lentwistle6w@omniture.com"/>
    <x v="0"/>
    <s v="Ara"/>
    <s v="D"/>
    <x v="0"/>
    <n v="9.9499999999999993"/>
    <n v="9.9499999999999993"/>
    <x v="2"/>
    <x v="2"/>
    <x v="0"/>
    <s v="Zacharias Kiffe"/>
  </r>
  <r>
    <s v="VNC-93921-469"/>
    <x v="215"/>
    <s v="04666-71569-RI"/>
    <s v="L-L-1"/>
    <n v="1"/>
    <x v="233"/>
    <s v="zkiffe74@cyberchimps.com"/>
    <x v="0"/>
    <s v="Lib"/>
    <s v="L"/>
    <x v="0"/>
    <n v="15.85"/>
    <n v="15.85"/>
    <x v="3"/>
    <x v="1"/>
    <x v="0"/>
    <s v="Mercedes Acott"/>
  </r>
  <r>
    <s v="OGB-91614-810"/>
    <x v="216"/>
    <s v="08909-77713-CG"/>
    <s v="R-M-0.2"/>
    <n v="1"/>
    <x v="234"/>
    <s v="macott6y@pagesperso-orange.fr"/>
    <x v="0"/>
    <s v="Rob"/>
    <s v="M"/>
    <x v="3"/>
    <n v="2.9849999999999999"/>
    <n v="2.9849999999999999"/>
    <x v="0"/>
    <x v="0"/>
    <x v="0"/>
    <s v="Connor Heaviside"/>
  </r>
  <r>
    <s v="BQI-61647-496"/>
    <x v="217"/>
    <s v="84340-73931-VV"/>
    <s v="E-M-1"/>
    <n v="5"/>
    <x v="235"/>
    <s v="cheaviside6z@rediff.com"/>
    <x v="0"/>
    <s v="Exc"/>
    <s v="M"/>
    <x v="0"/>
    <n v="13.75"/>
    <n v="68.75"/>
    <x v="1"/>
    <x v="0"/>
    <x v="0"/>
    <s v="Devy Bulbrook"/>
  </r>
  <r>
    <s v="IOM-51636-823"/>
    <x v="218"/>
    <s v="04609-95151-XH"/>
    <s v="A-D-1"/>
    <n v="3"/>
    <x v="236"/>
    <s v=""/>
    <x v="0"/>
    <s v="Ara"/>
    <s v="D"/>
    <x v="0"/>
    <n v="9.9499999999999993"/>
    <n v="29.849999999999998"/>
    <x v="2"/>
    <x v="2"/>
    <x v="1"/>
    <s v="Leia Kernan"/>
  </r>
  <r>
    <s v="GGD-38107-641"/>
    <x v="219"/>
    <s v="99562-88650-YF"/>
    <s v="L-M-1"/>
    <n v="4"/>
    <x v="237"/>
    <s v="lkernan71@wsj.com"/>
    <x v="0"/>
    <s v="Lib"/>
    <s v="M"/>
    <x v="0"/>
    <n v="14.55"/>
    <n v="58.2"/>
    <x v="3"/>
    <x v="0"/>
    <x v="1"/>
    <s v="Rosaline McLae"/>
  </r>
  <r>
    <s v="LTO-95975-728"/>
    <x v="220"/>
    <s v="46560-73885-PJ"/>
    <s v="R-L-0.5"/>
    <n v="4"/>
    <x v="238"/>
    <s v="rmclae72@dailymotion.com"/>
    <x v="2"/>
    <s v="Rob"/>
    <s v="L"/>
    <x v="1"/>
    <n v="7.169999999999999"/>
    <n v="28.679999999999996"/>
    <x v="0"/>
    <x v="1"/>
    <x v="1"/>
    <s v="Cleve Blowfelde"/>
  </r>
  <r>
    <s v="IGM-84664-265"/>
    <x v="114"/>
    <s v="80179-44620-WN"/>
    <s v="R-L-0.5"/>
    <n v="3"/>
    <x v="239"/>
    <s v="cblowfelde73@ustream.tv"/>
    <x v="0"/>
    <s v="Rob"/>
    <s v="L"/>
    <x v="1"/>
    <n v="7.169999999999999"/>
    <n v="21.509999999999998"/>
    <x v="0"/>
    <x v="1"/>
    <x v="1"/>
    <s v="Zacharias Kiffe"/>
  </r>
  <r>
    <s v="SKO-45740-621"/>
    <x v="221"/>
    <s v="04666-71569-RI"/>
    <s v="L-M-0.5"/>
    <n v="2"/>
    <x v="233"/>
    <s v="zkiffe74@cyberchimps.com"/>
    <x v="0"/>
    <s v="Lib"/>
    <s v="M"/>
    <x v="1"/>
    <n v="8.73"/>
    <n v="17.46"/>
    <x v="3"/>
    <x v="0"/>
    <x v="0"/>
    <s v="Denyse O'Calleran"/>
  </r>
  <r>
    <s v="FOJ-02234-063"/>
    <x v="222"/>
    <s v="59081-87231-VP"/>
    <s v="E-D-2.5"/>
    <n v="1"/>
    <x v="240"/>
    <s v="docalleran75@ucla.edu"/>
    <x v="0"/>
    <s v="Exc"/>
    <s v="D"/>
    <x v="2"/>
    <n v="27.945"/>
    <n v="27.945"/>
    <x v="1"/>
    <x v="2"/>
    <x v="0"/>
    <s v="Cobby Cromwell"/>
  </r>
  <r>
    <s v="MSJ-11909-468"/>
    <x v="188"/>
    <s v="07878-45872-CC"/>
    <s v="E-D-2.5"/>
    <n v="5"/>
    <x v="241"/>
    <s v="ccromwell76@desdev.cn"/>
    <x v="0"/>
    <s v="Exc"/>
    <s v="D"/>
    <x v="2"/>
    <n v="27.945"/>
    <n v="139.72499999999999"/>
    <x v="1"/>
    <x v="2"/>
    <x v="1"/>
    <s v="Irv Hay"/>
  </r>
  <r>
    <s v="DKB-78053-329"/>
    <x v="223"/>
    <s v="12444-05174-OO"/>
    <s v="R-M-0.2"/>
    <n v="2"/>
    <x v="242"/>
    <s v="ihay77@lulu.com"/>
    <x v="2"/>
    <s v="Rob"/>
    <s v="M"/>
    <x v="3"/>
    <n v="2.9849999999999999"/>
    <n v="5.97"/>
    <x v="0"/>
    <x v="0"/>
    <x v="1"/>
    <s v="Tani Taffarello"/>
  </r>
  <r>
    <s v="DFZ-45083-941"/>
    <x v="224"/>
    <s v="34665-62561-AU"/>
    <s v="R-L-2.5"/>
    <n v="1"/>
    <x v="243"/>
    <s v="ttaffarello78@sciencedaily.com"/>
    <x v="0"/>
    <s v="Rob"/>
    <s v="L"/>
    <x v="2"/>
    <n v="27.484999999999996"/>
    <n v="27.484999999999996"/>
    <x v="0"/>
    <x v="1"/>
    <x v="0"/>
    <s v="Monique Canty"/>
  </r>
  <r>
    <s v="OTA-40969-710"/>
    <x v="83"/>
    <s v="77877-11993-QH"/>
    <s v="R-L-1"/>
    <n v="5"/>
    <x v="244"/>
    <s v="mcanty79@jigsy.com"/>
    <x v="0"/>
    <s v="Rob"/>
    <s v="L"/>
    <x v="0"/>
    <n v="11.95"/>
    <n v="59.75"/>
    <x v="0"/>
    <x v="1"/>
    <x v="0"/>
    <s v="Javier Kopke"/>
  </r>
  <r>
    <s v="GRH-45571-667"/>
    <x v="104"/>
    <s v="32291-18308-YZ"/>
    <s v="E-M-1"/>
    <n v="3"/>
    <x v="245"/>
    <s v="jkopke7a@auda.org.au"/>
    <x v="0"/>
    <s v="Exc"/>
    <s v="M"/>
    <x v="0"/>
    <n v="13.75"/>
    <n v="41.25"/>
    <x v="1"/>
    <x v="0"/>
    <x v="1"/>
    <s v="Mar McIver"/>
  </r>
  <r>
    <s v="NXV-05302-067"/>
    <x v="225"/>
    <s v="25754-33191-ZI"/>
    <s v="L-M-2.5"/>
    <n v="4"/>
    <x v="246"/>
    <s v=""/>
    <x v="0"/>
    <s v="Lib"/>
    <s v="M"/>
    <x v="2"/>
    <n v="33.464999999999996"/>
    <n v="133.85999999999999"/>
    <x v="3"/>
    <x v="0"/>
    <x v="1"/>
    <s v="Arabella Fransewich"/>
  </r>
  <r>
    <s v="VZH-86274-142"/>
    <x v="226"/>
    <s v="53120-45532-KL"/>
    <s v="R-L-1"/>
    <n v="5"/>
    <x v="247"/>
    <s v=""/>
    <x v="1"/>
    <s v="Rob"/>
    <s v="L"/>
    <x v="0"/>
    <n v="11.95"/>
    <n v="59.75"/>
    <x v="0"/>
    <x v="1"/>
    <x v="0"/>
    <s v="Violette Hellmore"/>
  </r>
  <r>
    <s v="KIX-93248-135"/>
    <x v="227"/>
    <s v="36605-83052-WB"/>
    <s v="A-D-0.5"/>
    <n v="1"/>
    <x v="248"/>
    <s v="vhellmore7d@bbc.co.uk"/>
    <x v="0"/>
    <s v="Ara"/>
    <s v="D"/>
    <x v="1"/>
    <n v="5.97"/>
    <n v="5.97"/>
    <x v="2"/>
    <x v="2"/>
    <x v="0"/>
    <s v="Myles Seawright"/>
  </r>
  <r>
    <s v="AXR-10962-010"/>
    <x v="180"/>
    <s v="53683-35977-KI"/>
    <s v="E-D-1"/>
    <n v="2"/>
    <x v="249"/>
    <s v="mseawright7e@nbcnews.com"/>
    <x v="2"/>
    <s v="Exc"/>
    <s v="D"/>
    <x v="0"/>
    <n v="12.15"/>
    <n v="24.3"/>
    <x v="1"/>
    <x v="2"/>
    <x v="1"/>
    <s v="Silvana Northeast"/>
  </r>
  <r>
    <s v="IHS-71573-008"/>
    <x v="228"/>
    <s v="07972-83134-NM"/>
    <s v="E-D-0.2"/>
    <n v="6"/>
    <x v="250"/>
    <s v="snortheast7f@mashable.com"/>
    <x v="0"/>
    <s v="Exc"/>
    <s v="D"/>
    <x v="3"/>
    <n v="3.645"/>
    <n v="21.87"/>
    <x v="1"/>
    <x v="2"/>
    <x v="0"/>
    <s v="Anselma Attwater"/>
  </r>
  <r>
    <s v="QTR-19001-114"/>
    <x v="229"/>
    <s v="01035-70465-UO"/>
    <s v="A-D-1"/>
    <n v="2"/>
    <x v="195"/>
    <e v="#N/A"/>
    <x v="1"/>
    <s v="Ara"/>
    <s v="D"/>
    <x v="0"/>
    <n v="9.9499999999999993"/>
    <n v="19.899999999999999"/>
    <x v="2"/>
    <x v="2"/>
    <x v="0"/>
    <s v="Monica Fearon"/>
  </r>
  <r>
    <s v="WBK-62297-910"/>
    <x v="230"/>
    <s v="25514-23938-IQ"/>
    <s v="A-D-0.2"/>
    <n v="2"/>
    <x v="251"/>
    <s v="mfearon7h@reverbnation.com"/>
    <x v="0"/>
    <s v="Ara"/>
    <s v="D"/>
    <x v="3"/>
    <n v="2.9849999999999999"/>
    <n v="5.97"/>
    <x v="2"/>
    <x v="2"/>
    <x v="1"/>
    <s v="Barney Chisnell"/>
  </r>
  <r>
    <s v="OGY-19377-175"/>
    <x v="231"/>
    <s v="49084-44492-OJ"/>
    <s v="E-D-0.5"/>
    <n v="1"/>
    <x v="252"/>
    <s v=""/>
    <x v="1"/>
    <s v="Exc"/>
    <s v="D"/>
    <x v="1"/>
    <n v="7.29"/>
    <n v="7.29"/>
    <x v="1"/>
    <x v="2"/>
    <x v="0"/>
    <s v="Jasper Sisneros"/>
  </r>
  <r>
    <s v="ESR-66651-814"/>
    <x v="80"/>
    <s v="76624-72205-CK"/>
    <s v="A-D-0.2"/>
    <n v="4"/>
    <x v="253"/>
    <s v="jsisneros7j@a8.net"/>
    <x v="0"/>
    <s v="Ara"/>
    <s v="D"/>
    <x v="3"/>
    <n v="2.9849999999999999"/>
    <n v="11.94"/>
    <x v="2"/>
    <x v="2"/>
    <x v="0"/>
    <s v="Zachariah Carlson"/>
  </r>
  <r>
    <s v="CPX-46916-770"/>
    <x v="232"/>
    <s v="12729-50170-JE"/>
    <s v="R-L-1"/>
    <n v="6"/>
    <x v="254"/>
    <s v="zcarlson7k@bigcartel.com"/>
    <x v="1"/>
    <s v="Rob"/>
    <s v="L"/>
    <x v="0"/>
    <n v="11.95"/>
    <n v="71.699999999999989"/>
    <x v="0"/>
    <x v="1"/>
    <x v="0"/>
    <s v="Warner Maddox"/>
  </r>
  <r>
    <s v="MDC-03318-645"/>
    <x v="233"/>
    <s v="43974-44760-QI"/>
    <s v="A-L-0.2"/>
    <n v="2"/>
    <x v="255"/>
    <s v="wmaddox7l@timesonline.co.uk"/>
    <x v="0"/>
    <s v="Ara"/>
    <s v="L"/>
    <x v="3"/>
    <n v="3.8849999999999998"/>
    <n v="7.77"/>
    <x v="2"/>
    <x v="1"/>
    <x v="1"/>
    <s v="Donnie Hedlestone"/>
  </r>
  <r>
    <s v="SFF-86059-407"/>
    <x v="234"/>
    <s v="30585-48726-BK"/>
    <s v="A-M-2.5"/>
    <n v="1"/>
    <x v="256"/>
    <s v="dhedlestone7m@craigslist.org"/>
    <x v="0"/>
    <s v="Ara"/>
    <s v="M"/>
    <x v="2"/>
    <n v="25.874999999999996"/>
    <n v="25.874999999999996"/>
    <x v="2"/>
    <x v="0"/>
    <x v="1"/>
    <s v="Teddi Crowthe"/>
  </r>
  <r>
    <s v="SCL-94540-788"/>
    <x v="235"/>
    <s v="16123-07017-TY"/>
    <s v="E-L-2.5"/>
    <n v="6"/>
    <x v="257"/>
    <s v="tcrowthe7n@europa.eu"/>
    <x v="0"/>
    <s v="Exc"/>
    <s v="L"/>
    <x v="2"/>
    <n v="34.154999999999994"/>
    <n v="204.92999999999995"/>
    <x v="1"/>
    <x v="1"/>
    <x v="1"/>
    <s v="Dorelia Bury"/>
  </r>
  <r>
    <s v="HVU-21634-076"/>
    <x v="236"/>
    <s v="27723-45097-MH"/>
    <s v="R-L-2.5"/>
    <n v="4"/>
    <x v="258"/>
    <s v="dbury7o@tinyurl.com"/>
    <x v="1"/>
    <s v="Rob"/>
    <s v="L"/>
    <x v="2"/>
    <n v="27.484999999999996"/>
    <n v="109.93999999999998"/>
    <x v="0"/>
    <x v="1"/>
    <x v="0"/>
    <s v="Gussy Broadbear"/>
  </r>
  <r>
    <s v="XUS-73326-418"/>
    <x v="237"/>
    <s v="37078-56703-AF"/>
    <s v="E-L-1"/>
    <n v="6"/>
    <x v="259"/>
    <s v="gbroadbear7p@omniture.com"/>
    <x v="0"/>
    <s v="Exc"/>
    <s v="L"/>
    <x v="0"/>
    <n v="14.85"/>
    <n v="89.1"/>
    <x v="1"/>
    <x v="1"/>
    <x v="1"/>
    <s v="Emlynne Palfrey"/>
  </r>
  <r>
    <s v="XWD-18933-006"/>
    <x v="238"/>
    <s v="79420-11075-MY"/>
    <s v="A-L-0.2"/>
    <n v="2"/>
    <x v="260"/>
    <s v="epalfrey7q@devhub.com"/>
    <x v="0"/>
    <s v="Ara"/>
    <s v="L"/>
    <x v="3"/>
    <n v="3.8849999999999998"/>
    <n v="7.77"/>
    <x v="2"/>
    <x v="1"/>
    <x v="0"/>
    <s v="Parsifal Metrick"/>
  </r>
  <r>
    <s v="HPD-65272-772"/>
    <x v="52"/>
    <s v="57504-13456-UO"/>
    <s v="L-M-2.5"/>
    <n v="1"/>
    <x v="261"/>
    <s v="pmetrick7r@rakuten.co.jp"/>
    <x v="0"/>
    <s v="Lib"/>
    <s v="M"/>
    <x v="2"/>
    <n v="33.464999999999996"/>
    <n v="33.464999999999996"/>
    <x v="3"/>
    <x v="0"/>
    <x v="0"/>
    <s v="Christopher Grieveson"/>
  </r>
  <r>
    <s v="JEG-93140-224"/>
    <x v="146"/>
    <s v="53751-57560-CN"/>
    <s v="E-M-0.5"/>
    <n v="5"/>
    <x v="262"/>
    <s v=""/>
    <x v="0"/>
    <s v="Exc"/>
    <s v="M"/>
    <x v="1"/>
    <n v="8.25"/>
    <n v="41.25"/>
    <x v="1"/>
    <x v="0"/>
    <x v="0"/>
    <s v="Karlan Karby"/>
  </r>
  <r>
    <s v="NNH-62058-950"/>
    <x v="239"/>
    <s v="96112-42558-EA"/>
    <s v="E-L-1"/>
    <n v="4"/>
    <x v="263"/>
    <s v="kkarby7t@sbwire.com"/>
    <x v="0"/>
    <s v="Exc"/>
    <s v="L"/>
    <x v="0"/>
    <n v="14.85"/>
    <n v="59.4"/>
    <x v="1"/>
    <x v="1"/>
    <x v="0"/>
    <s v="Flory Crumpe"/>
  </r>
  <r>
    <s v="LTD-71429-845"/>
    <x v="240"/>
    <s v="03157-23165-UB"/>
    <s v="A-L-0.5"/>
    <n v="1"/>
    <x v="264"/>
    <s v="fcrumpe7u@ftc.gov"/>
    <x v="2"/>
    <s v="Ara"/>
    <s v="L"/>
    <x v="1"/>
    <n v="7.77"/>
    <n v="7.77"/>
    <x v="2"/>
    <x v="1"/>
    <x v="1"/>
    <s v="Amity Chatto"/>
  </r>
  <r>
    <s v="MPV-26985-215"/>
    <x v="241"/>
    <s v="51466-52850-AG"/>
    <s v="R-D-0.5"/>
    <n v="1"/>
    <x v="265"/>
    <s v="achatto7v@sakura.ne.jp"/>
    <x v="2"/>
    <s v="Rob"/>
    <s v="D"/>
    <x v="1"/>
    <n v="5.3699999999999992"/>
    <n v="5.3699999999999992"/>
    <x v="0"/>
    <x v="2"/>
    <x v="0"/>
    <s v="Nanine McCarthy"/>
  </r>
  <r>
    <s v="IYO-10245-081"/>
    <x v="242"/>
    <s v="57145-31023-FK"/>
    <s v="E-M-2.5"/>
    <n v="3"/>
    <x v="266"/>
    <s v=""/>
    <x v="0"/>
    <s v="Exc"/>
    <s v="M"/>
    <x v="2"/>
    <n v="31.624999999999996"/>
    <n v="94.874999999999986"/>
    <x v="1"/>
    <x v="0"/>
    <x v="1"/>
    <s v="Lyndsey Megany"/>
  </r>
  <r>
    <s v="BYZ-39669-954"/>
    <x v="243"/>
    <s v="66408-53777-VE"/>
    <s v="L-L-2.5"/>
    <n v="1"/>
    <x v="267"/>
    <s v=""/>
    <x v="0"/>
    <s v="Lib"/>
    <s v="L"/>
    <x v="2"/>
    <n v="36.454999999999998"/>
    <n v="36.454999999999998"/>
    <x v="3"/>
    <x v="1"/>
    <x v="1"/>
    <s v="Byram Mergue"/>
  </r>
  <r>
    <s v="EFB-72860-209"/>
    <x v="244"/>
    <s v="53035-99701-WG"/>
    <s v="A-M-0.2"/>
    <n v="4"/>
    <x v="268"/>
    <s v="bmergue7y@umn.edu"/>
    <x v="0"/>
    <s v="Ara"/>
    <s v="M"/>
    <x v="3"/>
    <n v="3.375"/>
    <n v="13.5"/>
    <x v="2"/>
    <x v="0"/>
    <x v="0"/>
    <s v="Kerr Patise"/>
  </r>
  <r>
    <s v="GMM-72397-378"/>
    <x v="245"/>
    <s v="45899-92796-EI"/>
    <s v="R-L-0.2"/>
    <n v="4"/>
    <x v="269"/>
    <s v="kpatise7z@jigsy.com"/>
    <x v="0"/>
    <s v="Rob"/>
    <s v="L"/>
    <x v="3"/>
    <n v="3.5849999999999995"/>
    <n v="14.339999999999998"/>
    <x v="0"/>
    <x v="1"/>
    <x v="1"/>
    <s v="Mathew Goulter"/>
  </r>
  <r>
    <s v="LYP-52345-883"/>
    <x v="246"/>
    <s v="17649-28133-PY"/>
    <s v="E-M-0.5"/>
    <n v="1"/>
    <x v="270"/>
    <s v=""/>
    <x v="1"/>
    <s v="Exc"/>
    <s v="M"/>
    <x v="1"/>
    <n v="8.25"/>
    <n v="8.25"/>
    <x v="1"/>
    <x v="0"/>
    <x v="0"/>
    <s v="Marris Grcic"/>
  </r>
  <r>
    <s v="DFK-35846-692"/>
    <x v="247"/>
    <s v="49612-33852-CN"/>
    <s v="R-D-0.2"/>
    <n v="5"/>
    <x v="271"/>
    <s v=""/>
    <x v="0"/>
    <s v="Rob"/>
    <s v="D"/>
    <x v="3"/>
    <n v="2.6849999999999996"/>
    <n v="13.424999999999997"/>
    <x v="0"/>
    <x v="2"/>
    <x v="0"/>
    <s v="Domeniga Duke"/>
  </r>
  <r>
    <s v="XAH-93337-609"/>
    <x v="248"/>
    <s v="66976-43829-YG"/>
    <s v="A-D-1"/>
    <n v="5"/>
    <x v="272"/>
    <s v="dduke82@vkontakte.ru"/>
    <x v="0"/>
    <s v="Ara"/>
    <s v="D"/>
    <x v="0"/>
    <n v="9.9499999999999993"/>
    <n v="49.75"/>
    <x v="2"/>
    <x v="2"/>
    <x v="1"/>
    <s v="Violante Skouling"/>
  </r>
  <r>
    <s v="QKA-72582-644"/>
    <x v="249"/>
    <s v="64852-04619-XZ"/>
    <s v="E-M-0.5"/>
    <n v="2"/>
    <x v="273"/>
    <s v=""/>
    <x v="1"/>
    <s v="Exc"/>
    <s v="M"/>
    <x v="1"/>
    <n v="8.25"/>
    <n v="16.5"/>
    <x v="1"/>
    <x v="0"/>
    <x v="1"/>
    <s v="Isidore Hussey"/>
  </r>
  <r>
    <s v="ZDK-84567-102"/>
    <x v="250"/>
    <s v="58690-31815-VY"/>
    <s v="A-D-0.5"/>
    <n v="3"/>
    <x v="274"/>
    <s v="ihussey84@mapy.cz"/>
    <x v="0"/>
    <s v="Ara"/>
    <s v="D"/>
    <x v="1"/>
    <n v="5.97"/>
    <n v="17.91"/>
    <x v="2"/>
    <x v="2"/>
    <x v="1"/>
    <s v="Cassie Pinkerton"/>
  </r>
  <r>
    <s v="WAV-38301-984"/>
    <x v="251"/>
    <s v="62863-81239-DT"/>
    <s v="A-D-0.5"/>
    <n v="5"/>
    <x v="275"/>
    <s v="cpinkerton85@upenn.edu"/>
    <x v="0"/>
    <s v="Ara"/>
    <s v="D"/>
    <x v="1"/>
    <n v="5.97"/>
    <n v="29.849999999999998"/>
    <x v="2"/>
    <x v="2"/>
    <x v="1"/>
    <s v="Micki Fero"/>
  </r>
  <r>
    <s v="KZR-33023-209"/>
    <x v="177"/>
    <s v="21177-40725-CF"/>
    <s v="E-L-1"/>
    <n v="3"/>
    <x v="276"/>
    <s v=""/>
    <x v="0"/>
    <s v="Exc"/>
    <s v="L"/>
    <x v="0"/>
    <n v="14.85"/>
    <n v="44.55"/>
    <x v="1"/>
    <x v="1"/>
    <x v="1"/>
    <s v="Cybill Graddell"/>
  </r>
  <r>
    <s v="ULM-49433-003"/>
    <x v="252"/>
    <s v="99421-80253-UI"/>
    <s v="E-M-1"/>
    <n v="2"/>
    <x v="277"/>
    <s v=""/>
    <x v="0"/>
    <s v="Exc"/>
    <s v="M"/>
    <x v="0"/>
    <n v="13.75"/>
    <n v="27.5"/>
    <x v="1"/>
    <x v="0"/>
    <x v="1"/>
    <s v="Dorian Vizor"/>
  </r>
  <r>
    <s v="SIB-83254-136"/>
    <x v="253"/>
    <s v="45315-50206-DK"/>
    <s v="R-M-0.5"/>
    <n v="6"/>
    <x v="278"/>
    <s v="dvizor88@furl.net"/>
    <x v="0"/>
    <s v="Rob"/>
    <s v="M"/>
    <x v="1"/>
    <n v="5.97"/>
    <n v="35.82"/>
    <x v="0"/>
    <x v="0"/>
    <x v="0"/>
    <s v="Eddi Sedgebeer"/>
  </r>
  <r>
    <s v="NOK-50349-551"/>
    <x v="254"/>
    <s v="09595-95726-OV"/>
    <s v="R-D-0.5"/>
    <n v="3"/>
    <x v="279"/>
    <s v="esedgebeer89@oaic.gov.au"/>
    <x v="0"/>
    <s v="Rob"/>
    <s v="D"/>
    <x v="1"/>
    <n v="5.3699999999999992"/>
    <n v="16.11"/>
    <x v="0"/>
    <x v="2"/>
    <x v="0"/>
    <s v="Ken Lestrange"/>
  </r>
  <r>
    <s v="YIS-96268-844"/>
    <x v="227"/>
    <s v="60221-67036-TD"/>
    <s v="E-L-0.2"/>
    <n v="6"/>
    <x v="280"/>
    <s v="klestrange8a@lulu.com"/>
    <x v="0"/>
    <s v="Exc"/>
    <s v="L"/>
    <x v="3"/>
    <n v="4.4550000000000001"/>
    <n v="26.73"/>
    <x v="1"/>
    <x v="1"/>
    <x v="0"/>
    <s v="Lacee Tanti"/>
  </r>
  <r>
    <s v="CXI-04933-855"/>
    <x v="110"/>
    <s v="62923-29397-KX"/>
    <s v="E-L-2.5"/>
    <n v="6"/>
    <x v="281"/>
    <s v="ltanti8b@techcrunch.com"/>
    <x v="0"/>
    <s v="Exc"/>
    <s v="L"/>
    <x v="2"/>
    <n v="34.154999999999994"/>
    <n v="204.92999999999995"/>
    <x v="1"/>
    <x v="1"/>
    <x v="0"/>
    <s v="Arel De Lasci"/>
  </r>
  <r>
    <s v="IZU-90429-382"/>
    <x v="182"/>
    <s v="33011-52383-BA"/>
    <s v="A-L-1"/>
    <n v="3"/>
    <x v="282"/>
    <s v="ade8c@1und1.de"/>
    <x v="0"/>
    <s v="Ara"/>
    <s v="L"/>
    <x v="0"/>
    <n v="12.95"/>
    <n v="38.849999999999994"/>
    <x v="2"/>
    <x v="1"/>
    <x v="0"/>
    <s v="Trescha Jedrachowicz"/>
  </r>
  <r>
    <s v="WIT-40912-783"/>
    <x v="255"/>
    <s v="86768-91598-FA"/>
    <s v="L-D-0.2"/>
    <n v="4"/>
    <x v="283"/>
    <s v="tjedrachowicz8d@acquirethisname.com"/>
    <x v="0"/>
    <s v="Lib"/>
    <s v="D"/>
    <x v="3"/>
    <n v="3.8849999999999998"/>
    <n v="15.54"/>
    <x v="3"/>
    <x v="2"/>
    <x v="0"/>
    <s v="Perkin Stonner"/>
  </r>
  <r>
    <s v="PSD-57291-590"/>
    <x v="256"/>
    <s v="37191-12203-MX"/>
    <s v="A-M-0.5"/>
    <n v="1"/>
    <x v="284"/>
    <s v="pstonner8e@moonfruit.com"/>
    <x v="0"/>
    <s v="Ara"/>
    <s v="M"/>
    <x v="1"/>
    <n v="6.75"/>
    <n v="6.75"/>
    <x v="2"/>
    <x v="0"/>
    <x v="1"/>
    <s v="Darrin Tingly"/>
  </r>
  <r>
    <s v="GOI-41472-677"/>
    <x v="3"/>
    <s v="16545-76328-JY"/>
    <s v="E-D-2.5"/>
    <n v="4"/>
    <x v="285"/>
    <s v="dtingly8f@goo.ne.jp"/>
    <x v="0"/>
    <s v="Exc"/>
    <s v="D"/>
    <x v="2"/>
    <n v="27.945"/>
    <n v="111.78"/>
    <x v="1"/>
    <x v="2"/>
    <x v="0"/>
    <s v="Claudetta Rushe"/>
  </r>
  <r>
    <s v="KTX-17944-494"/>
    <x v="257"/>
    <s v="74330-29286-RO"/>
    <s v="A-L-0.2"/>
    <n v="1"/>
    <x v="286"/>
    <s v="crushe8n@about.me"/>
    <x v="0"/>
    <s v="Ara"/>
    <s v="L"/>
    <x v="3"/>
    <n v="3.8849999999999998"/>
    <n v="3.8849999999999998"/>
    <x v="2"/>
    <x v="1"/>
    <x v="0"/>
    <s v="Benn Checci"/>
  </r>
  <r>
    <s v="RDM-99811-230"/>
    <x v="258"/>
    <s v="22349-47389-GY"/>
    <s v="L-M-0.2"/>
    <n v="5"/>
    <x v="287"/>
    <s v="bchecci8h@usa.gov"/>
    <x v="2"/>
    <s v="Lib"/>
    <s v="M"/>
    <x v="3"/>
    <n v="4.3650000000000002"/>
    <n v="21.825000000000003"/>
    <x v="3"/>
    <x v="0"/>
    <x v="1"/>
    <s v="Janifer Bagot"/>
  </r>
  <r>
    <s v="JTU-55897-581"/>
    <x v="259"/>
    <s v="70290-38099-GB"/>
    <s v="R-M-0.2"/>
    <n v="5"/>
    <x v="288"/>
    <s v="jbagot8i@mac.com"/>
    <x v="0"/>
    <s v="Rob"/>
    <s v="M"/>
    <x v="3"/>
    <n v="2.9849999999999999"/>
    <n v="14.924999999999999"/>
    <x v="0"/>
    <x v="0"/>
    <x v="1"/>
    <s v="Ermin Beeble"/>
  </r>
  <r>
    <s v="CRK-07584-240"/>
    <x v="260"/>
    <s v="18741-72071-PP"/>
    <s v="A-M-1"/>
    <n v="3"/>
    <x v="289"/>
    <s v="ebeeble8j@soundcloud.com"/>
    <x v="0"/>
    <s v="Ara"/>
    <s v="M"/>
    <x v="0"/>
    <n v="11.25"/>
    <n v="33.75"/>
    <x v="2"/>
    <x v="0"/>
    <x v="0"/>
    <s v="Cos Fluin"/>
  </r>
  <r>
    <s v="MKE-75518-399"/>
    <x v="261"/>
    <s v="62588-82624-II"/>
    <s v="A-M-1"/>
    <n v="3"/>
    <x v="290"/>
    <s v="cfluin8k@flickr.com"/>
    <x v="2"/>
    <s v="Ara"/>
    <s v="M"/>
    <x v="0"/>
    <n v="11.25"/>
    <n v="33.75"/>
    <x v="2"/>
    <x v="0"/>
    <x v="1"/>
    <s v="Eveleen Bletsor"/>
  </r>
  <r>
    <s v="AEL-51169-725"/>
    <x v="262"/>
    <s v="37430-29579-HD"/>
    <s v="L-M-0.2"/>
    <n v="6"/>
    <x v="291"/>
    <s v="ebletsor8l@vinaora.com"/>
    <x v="0"/>
    <s v="Lib"/>
    <s v="M"/>
    <x v="3"/>
    <n v="4.3650000000000002"/>
    <n v="26.19"/>
    <x v="3"/>
    <x v="0"/>
    <x v="0"/>
    <s v="Paola Brydell"/>
  </r>
  <r>
    <s v="ZGM-83108-823"/>
    <x v="263"/>
    <s v="84132-22322-QT"/>
    <s v="E-L-1"/>
    <n v="1"/>
    <x v="292"/>
    <s v="pbrydell8m@bloglovin.com"/>
    <x v="1"/>
    <s v="Exc"/>
    <s v="L"/>
    <x v="0"/>
    <n v="14.85"/>
    <n v="14.85"/>
    <x v="1"/>
    <x v="1"/>
    <x v="1"/>
    <s v="Claudetta Rushe"/>
  </r>
  <r>
    <s v="JBP-78754-392"/>
    <x v="212"/>
    <s v="74330-29286-RO"/>
    <s v="E-M-2.5"/>
    <n v="6"/>
    <x v="286"/>
    <s v="crushe8n@about.me"/>
    <x v="0"/>
    <s v="Exc"/>
    <s v="M"/>
    <x v="2"/>
    <n v="31.624999999999996"/>
    <n v="189.74999999999997"/>
    <x v="1"/>
    <x v="0"/>
    <x v="0"/>
    <s v="Natka Leethem"/>
  </r>
  <r>
    <s v="RNH-54912-747"/>
    <x v="187"/>
    <s v="37445-17791-NQ"/>
    <s v="R-M-0.5"/>
    <n v="1"/>
    <x v="293"/>
    <s v="nleethem8o@mac.com"/>
    <x v="0"/>
    <s v="Rob"/>
    <s v="M"/>
    <x v="1"/>
    <n v="5.97"/>
    <n v="5.97"/>
    <x v="0"/>
    <x v="0"/>
    <x v="0"/>
    <s v="Ailene Nesfield"/>
  </r>
  <r>
    <s v="JDS-33440-914"/>
    <x v="248"/>
    <s v="58511-10548-ZU"/>
    <s v="R-M-1"/>
    <n v="3"/>
    <x v="294"/>
    <s v="anesfield8p@people.com.cn"/>
    <x v="2"/>
    <s v="Rob"/>
    <s v="M"/>
    <x v="0"/>
    <n v="9.9499999999999993"/>
    <n v="29.849999999999998"/>
    <x v="0"/>
    <x v="0"/>
    <x v="0"/>
    <s v="Stacy Pickworth"/>
  </r>
  <r>
    <s v="SYX-48878-182"/>
    <x v="264"/>
    <s v="47725-34771-FJ"/>
    <s v="R-D-1"/>
    <n v="5"/>
    <x v="295"/>
    <s v=""/>
    <x v="0"/>
    <s v="Rob"/>
    <s v="D"/>
    <x v="0"/>
    <n v="8.9499999999999993"/>
    <n v="44.75"/>
    <x v="0"/>
    <x v="2"/>
    <x v="1"/>
    <s v="Melli Brockway"/>
  </r>
  <r>
    <s v="ZGD-94763-868"/>
    <x v="265"/>
    <s v="53086-67334-KT"/>
    <s v="E-L-2.5"/>
    <n v="1"/>
    <x v="296"/>
    <s v="mbrockway8r@ibm.com"/>
    <x v="0"/>
    <s v="Exc"/>
    <s v="L"/>
    <x v="2"/>
    <n v="34.154999999999994"/>
    <n v="34.154999999999994"/>
    <x v="1"/>
    <x v="1"/>
    <x v="0"/>
    <s v="Nanny Lush"/>
  </r>
  <r>
    <s v="CZY-70361-485"/>
    <x v="266"/>
    <s v="83308-82257-UN"/>
    <s v="E-L-2.5"/>
    <n v="6"/>
    <x v="297"/>
    <s v="nlush8s@dedecms.com"/>
    <x v="1"/>
    <s v="Exc"/>
    <s v="L"/>
    <x v="2"/>
    <n v="34.154999999999994"/>
    <n v="204.92999999999995"/>
    <x v="1"/>
    <x v="1"/>
    <x v="1"/>
    <s v="Selma McMillian"/>
  </r>
  <r>
    <s v="RJR-12175-899"/>
    <x v="267"/>
    <s v="37274-08534-FM"/>
    <s v="E-D-0.5"/>
    <n v="3"/>
    <x v="298"/>
    <s v="smcmillian8t@csmonitor.com"/>
    <x v="0"/>
    <s v="Exc"/>
    <s v="D"/>
    <x v="1"/>
    <n v="7.29"/>
    <n v="21.87"/>
    <x v="1"/>
    <x v="2"/>
    <x v="1"/>
    <s v="Tess Bennison"/>
  </r>
  <r>
    <s v="ELB-07929-407"/>
    <x v="204"/>
    <s v="54004-04664-AA"/>
    <s v="A-M-2.5"/>
    <n v="2"/>
    <x v="299"/>
    <s v="tbennison8u@google.cn"/>
    <x v="0"/>
    <s v="Ara"/>
    <s v="M"/>
    <x v="2"/>
    <n v="25.874999999999996"/>
    <n v="51.749999999999993"/>
    <x v="2"/>
    <x v="0"/>
    <x v="0"/>
    <s v="Gabie Tweed"/>
  </r>
  <r>
    <s v="UJQ-54441-340"/>
    <x v="268"/>
    <s v="26822-19510-SD"/>
    <s v="E-M-0.2"/>
    <n v="2"/>
    <x v="300"/>
    <s v="gtweed8v@yolasite.com"/>
    <x v="0"/>
    <s v="Exc"/>
    <s v="M"/>
    <x v="3"/>
    <n v="4.125"/>
    <n v="8.25"/>
    <x v="1"/>
    <x v="0"/>
    <x v="0"/>
    <s v="Gabie Tweed"/>
  </r>
  <r>
    <s v="UJQ-54441-340"/>
    <x v="268"/>
    <s v="26822-19510-SD"/>
    <s v="A-L-0.2"/>
    <n v="5"/>
    <x v="300"/>
    <s v="gtweed8v@yolasite.com"/>
    <x v="0"/>
    <s v="Ara"/>
    <s v="L"/>
    <x v="3"/>
    <n v="3.8849999999999998"/>
    <n v="19.424999999999997"/>
    <x v="2"/>
    <x v="1"/>
    <x v="0"/>
    <s v="Gaile Goggin"/>
  </r>
  <r>
    <s v="OWY-43108-475"/>
    <x v="269"/>
    <s v="06432-73165-ML"/>
    <s v="A-M-0.2"/>
    <n v="6"/>
    <x v="301"/>
    <s v="ggoggin8x@wix.com"/>
    <x v="1"/>
    <s v="Ara"/>
    <s v="M"/>
    <x v="3"/>
    <n v="3.375"/>
    <n v="20.25"/>
    <x v="2"/>
    <x v="0"/>
    <x v="0"/>
    <s v="Skylar Jeyness"/>
  </r>
  <r>
    <s v="GNO-91911-159"/>
    <x v="145"/>
    <s v="96503-31833-CW"/>
    <s v="L-D-0.5"/>
    <n v="3"/>
    <x v="302"/>
    <s v="sjeyness8y@biglobe.ne.jp"/>
    <x v="1"/>
    <s v="Lib"/>
    <s v="D"/>
    <x v="1"/>
    <n v="7.77"/>
    <n v="23.31"/>
    <x v="3"/>
    <x v="2"/>
    <x v="1"/>
    <s v="Donica Bonhome"/>
  </r>
  <r>
    <s v="CNY-06284-066"/>
    <x v="270"/>
    <s v="63985-64148-MG"/>
    <s v="E-D-0.2"/>
    <n v="5"/>
    <x v="303"/>
    <s v="dbonhome8z@shinystat.com"/>
    <x v="0"/>
    <s v="Exc"/>
    <s v="D"/>
    <x v="3"/>
    <n v="3.645"/>
    <n v="18.225000000000001"/>
    <x v="1"/>
    <x v="2"/>
    <x v="0"/>
    <s v="Diena Peetermann"/>
  </r>
  <r>
    <s v="OQS-46321-904"/>
    <x v="271"/>
    <s v="19597-91185-CM"/>
    <s v="E-M-1"/>
    <n v="1"/>
    <x v="304"/>
    <s v=""/>
    <x v="0"/>
    <s v="Exc"/>
    <s v="M"/>
    <x v="0"/>
    <n v="13.75"/>
    <n v="13.75"/>
    <x v="1"/>
    <x v="0"/>
    <x v="1"/>
    <s v="Trina Le Sarr"/>
  </r>
  <r>
    <s v="IBW-87442-480"/>
    <x v="272"/>
    <s v="79814-23626-JR"/>
    <s v="A-L-2.5"/>
    <n v="1"/>
    <x v="305"/>
    <s v="tle91@epa.gov"/>
    <x v="0"/>
    <s v="Ara"/>
    <s v="L"/>
    <x v="2"/>
    <n v="29.784999999999997"/>
    <n v="29.784999999999997"/>
    <x v="2"/>
    <x v="1"/>
    <x v="0"/>
    <s v="Flynn Antony"/>
  </r>
  <r>
    <s v="DGZ-82537-477"/>
    <x v="252"/>
    <s v="43439-94003-DW"/>
    <s v="R-D-1"/>
    <n v="5"/>
    <x v="306"/>
    <s v=""/>
    <x v="0"/>
    <s v="Rob"/>
    <s v="D"/>
    <x v="0"/>
    <n v="8.9499999999999993"/>
    <n v="44.75"/>
    <x v="0"/>
    <x v="2"/>
    <x v="1"/>
    <s v="Baudoin Alldridge"/>
  </r>
  <r>
    <s v="LPS-39089-432"/>
    <x v="273"/>
    <s v="97655-45555-LI"/>
    <s v="R-D-1"/>
    <n v="5"/>
    <x v="307"/>
    <s v="balldridge93@yandex.ru"/>
    <x v="0"/>
    <s v="Rob"/>
    <s v="D"/>
    <x v="0"/>
    <n v="8.9499999999999993"/>
    <n v="44.75"/>
    <x v="0"/>
    <x v="2"/>
    <x v="0"/>
    <s v="Homer Dulany"/>
  </r>
  <r>
    <s v="MQU-86100-929"/>
    <x v="274"/>
    <s v="64418-01720-VW"/>
    <s v="L-L-0.5"/>
    <n v="4"/>
    <x v="308"/>
    <s v=""/>
    <x v="0"/>
    <s v="Lib"/>
    <s v="L"/>
    <x v="1"/>
    <n v="9.51"/>
    <n v="38.04"/>
    <x v="3"/>
    <x v="1"/>
    <x v="0"/>
    <s v="Lisa Goodger"/>
  </r>
  <r>
    <s v="XUR-14132-391"/>
    <x v="275"/>
    <s v="96836-09258-RI"/>
    <s v="R-D-0.5"/>
    <n v="4"/>
    <x v="309"/>
    <s v="lgoodger95@guardian.co.uk"/>
    <x v="0"/>
    <s v="Rob"/>
    <s v="D"/>
    <x v="1"/>
    <n v="5.3699999999999992"/>
    <n v="21.479999999999997"/>
    <x v="0"/>
    <x v="2"/>
    <x v="0"/>
    <s v="Selma McMillian"/>
  </r>
  <r>
    <s v="OVI-27064-381"/>
    <x v="276"/>
    <s v="37274-08534-FM"/>
    <s v="R-D-0.5"/>
    <n v="3"/>
    <x v="298"/>
    <e v="#N/A"/>
    <x v="1"/>
    <s v="Rob"/>
    <s v="D"/>
    <x v="1"/>
    <n v="5.3699999999999992"/>
    <n v="16.11"/>
    <x v="0"/>
    <x v="2"/>
    <x v="1"/>
    <s v="Corine Drewett"/>
  </r>
  <r>
    <s v="SHP-17012-870"/>
    <x v="277"/>
    <s v="69529-07533-CV"/>
    <s v="R-M-2.5"/>
    <n v="1"/>
    <x v="310"/>
    <s v="cdrewett97@wikipedia.org"/>
    <x v="0"/>
    <s v="Rob"/>
    <s v="M"/>
    <x v="2"/>
    <n v="22.884999999999998"/>
    <n v="22.884999999999998"/>
    <x v="0"/>
    <x v="0"/>
    <x v="0"/>
    <s v="Quinn Parsons"/>
  </r>
  <r>
    <s v="FDY-03414-903"/>
    <x v="278"/>
    <s v="94840-49457-UD"/>
    <s v="A-D-0.5"/>
    <n v="3"/>
    <x v="311"/>
    <s v="qparsons98@blogtalkradio.com"/>
    <x v="0"/>
    <s v="Ara"/>
    <s v="D"/>
    <x v="1"/>
    <n v="5.97"/>
    <n v="17.91"/>
    <x v="2"/>
    <x v="2"/>
    <x v="0"/>
    <s v="Vivyan Ceely"/>
  </r>
  <r>
    <s v="WXT-85291-143"/>
    <x v="279"/>
    <s v="81414-81273-DK"/>
    <s v="R-M-0.5"/>
    <n v="4"/>
    <x v="312"/>
    <s v="vceely99@auda.org.au"/>
    <x v="0"/>
    <s v="Rob"/>
    <s v="M"/>
    <x v="1"/>
    <n v="5.97"/>
    <n v="23.88"/>
    <x v="0"/>
    <x v="0"/>
    <x v="0"/>
    <s v="Elonore Goodings"/>
  </r>
  <r>
    <s v="QNP-18893-547"/>
    <x v="280"/>
    <s v="76930-61689-CH"/>
    <s v="R-L-1"/>
    <n v="5"/>
    <x v="313"/>
    <s v=""/>
    <x v="0"/>
    <s v="Rob"/>
    <s v="L"/>
    <x v="0"/>
    <n v="11.95"/>
    <n v="59.75"/>
    <x v="0"/>
    <x v="1"/>
    <x v="1"/>
    <s v="Clement Vasiliev"/>
  </r>
  <r>
    <s v="DOH-92927-530"/>
    <x v="281"/>
    <s v="12839-56537-TQ"/>
    <s v="L-L-0.2"/>
    <n v="6"/>
    <x v="314"/>
    <s v="cvasiliev9b@discuz.net"/>
    <x v="0"/>
    <s v="Lib"/>
    <s v="L"/>
    <x v="3"/>
    <n v="4.7549999999999999"/>
    <n v="28.53"/>
    <x v="3"/>
    <x v="1"/>
    <x v="0"/>
    <s v="Terencio O'Moylan"/>
  </r>
  <r>
    <s v="HGJ-82768-173"/>
    <x v="282"/>
    <s v="62741-01322-HU"/>
    <s v="A-M-1"/>
    <n v="4"/>
    <x v="315"/>
    <s v="tomoylan9c@liveinternet.ru"/>
    <x v="2"/>
    <s v="Ara"/>
    <s v="M"/>
    <x v="0"/>
    <n v="11.25"/>
    <n v="45"/>
    <x v="2"/>
    <x v="0"/>
    <x v="1"/>
    <s v="Flynn Antony"/>
  </r>
  <r>
    <s v="YPT-95383-088"/>
    <x v="283"/>
    <s v="43439-94003-DW"/>
    <s v="E-D-2.5"/>
    <n v="2"/>
    <x v="306"/>
    <e v="#N/A"/>
    <x v="1"/>
    <s v="Exc"/>
    <s v="D"/>
    <x v="2"/>
    <n v="27.945"/>
    <n v="55.89"/>
    <x v="1"/>
    <x v="2"/>
    <x v="1"/>
    <s v="Wyatan Fetherston"/>
  </r>
  <r>
    <s v="OYH-16533-767"/>
    <x v="284"/>
    <s v="44932-34838-RM"/>
    <s v="E-L-1"/>
    <n v="4"/>
    <x v="316"/>
    <s v="wfetherston9e@constantcontact.com"/>
    <x v="0"/>
    <s v="Exc"/>
    <s v="L"/>
    <x v="0"/>
    <n v="14.85"/>
    <n v="59.4"/>
    <x v="1"/>
    <x v="1"/>
    <x v="1"/>
    <s v="Emmaline Rasmus"/>
  </r>
  <r>
    <s v="DWW-28642-549"/>
    <x v="285"/>
    <s v="91181-19412-RQ"/>
    <s v="E-D-0.2"/>
    <n v="2"/>
    <x v="317"/>
    <s v="erasmus9f@techcrunch.com"/>
    <x v="0"/>
    <s v="Exc"/>
    <s v="D"/>
    <x v="3"/>
    <n v="3.645"/>
    <n v="7.29"/>
    <x v="1"/>
    <x v="2"/>
    <x v="0"/>
    <s v="Wesley Giorgioni"/>
  </r>
  <r>
    <s v="CGO-79583-871"/>
    <x v="286"/>
    <s v="37182-54930-XC"/>
    <s v="E-D-0.5"/>
    <n v="1"/>
    <x v="318"/>
    <s v="wgiorgioni9g@wikipedia.org"/>
    <x v="0"/>
    <s v="Exc"/>
    <s v="D"/>
    <x v="1"/>
    <n v="7.29"/>
    <n v="7.29"/>
    <x v="1"/>
    <x v="2"/>
    <x v="0"/>
    <s v="Lucienne Scargle"/>
  </r>
  <r>
    <s v="TFY-52090-386"/>
    <x v="287"/>
    <s v="08613-17327-XT"/>
    <s v="E-L-0.5"/>
    <n v="2"/>
    <x v="319"/>
    <s v="lscargle9h@myspace.com"/>
    <x v="0"/>
    <s v="Exc"/>
    <s v="L"/>
    <x v="1"/>
    <n v="8.91"/>
    <n v="17.82"/>
    <x v="1"/>
    <x v="1"/>
    <x v="1"/>
    <s v="Lucienne Scargle"/>
  </r>
  <r>
    <s v="TFY-52090-386"/>
    <x v="287"/>
    <s v="08613-17327-XT"/>
    <s v="L-D-0.5"/>
    <n v="5"/>
    <x v="319"/>
    <s v="lscargle9h@myspace.com"/>
    <x v="0"/>
    <s v="Lib"/>
    <s v="D"/>
    <x v="1"/>
    <n v="7.77"/>
    <n v="38.849999999999994"/>
    <x v="3"/>
    <x v="2"/>
    <x v="1"/>
    <s v="Noam Climance"/>
  </r>
  <r>
    <s v="NYY-73968-094"/>
    <x v="288"/>
    <s v="70451-38048-AH"/>
    <s v="R-D-0.5"/>
    <n v="6"/>
    <x v="320"/>
    <s v="nclimance9j@europa.eu"/>
    <x v="0"/>
    <s v="Rob"/>
    <s v="D"/>
    <x v="1"/>
    <n v="5.3699999999999992"/>
    <n v="32.22"/>
    <x v="0"/>
    <x v="2"/>
    <x v="1"/>
    <s v="Catarina Donn"/>
  </r>
  <r>
    <s v="QEY-71761-460"/>
    <x v="250"/>
    <s v="35442-75769-PL"/>
    <s v="R-M-1"/>
    <n v="2"/>
    <x v="321"/>
    <s v=""/>
    <x v="1"/>
    <s v="Rob"/>
    <s v="M"/>
    <x v="0"/>
    <n v="9.9499999999999993"/>
    <n v="19.899999999999999"/>
    <x v="0"/>
    <x v="0"/>
    <x v="0"/>
    <s v="Ameline Snazle"/>
  </r>
  <r>
    <s v="GKQ-82603-910"/>
    <x v="289"/>
    <s v="83737-56117-JE"/>
    <s v="R-L-1"/>
    <n v="5"/>
    <x v="322"/>
    <s v="asnazle9l@oracle.com"/>
    <x v="0"/>
    <s v="Rob"/>
    <s v="L"/>
    <x v="0"/>
    <n v="11.95"/>
    <n v="59.75"/>
    <x v="0"/>
    <x v="1"/>
    <x v="1"/>
    <s v="Rebeka Worg"/>
  </r>
  <r>
    <s v="IOB-32673-745"/>
    <x v="290"/>
    <s v="07095-81281-NJ"/>
    <s v="A-L-0.5"/>
    <n v="3"/>
    <x v="323"/>
    <s v="rworg9m@arstechnica.com"/>
    <x v="0"/>
    <s v="Ara"/>
    <s v="L"/>
    <x v="1"/>
    <n v="7.77"/>
    <n v="23.31"/>
    <x v="2"/>
    <x v="1"/>
    <x v="0"/>
    <s v="Lewes Danes"/>
  </r>
  <r>
    <s v="YAU-98893-150"/>
    <x v="291"/>
    <s v="77043-48851-HG"/>
    <s v="L-M-1"/>
    <n v="3"/>
    <x v="324"/>
    <s v="ldanes9n@umn.edu"/>
    <x v="0"/>
    <s v="Lib"/>
    <s v="M"/>
    <x v="0"/>
    <n v="14.55"/>
    <n v="43.650000000000006"/>
    <x v="3"/>
    <x v="0"/>
    <x v="1"/>
    <s v="Shelli Keynd"/>
  </r>
  <r>
    <s v="XNM-14163-951"/>
    <x v="292"/>
    <s v="78224-60622-KH"/>
    <s v="E-L-2.5"/>
    <n v="6"/>
    <x v="325"/>
    <s v="skeynd9o@narod.ru"/>
    <x v="0"/>
    <s v="Exc"/>
    <s v="L"/>
    <x v="2"/>
    <n v="34.154999999999994"/>
    <n v="204.92999999999995"/>
    <x v="1"/>
    <x v="1"/>
    <x v="1"/>
    <s v="Dell Daveridge"/>
  </r>
  <r>
    <s v="JPB-45297-000"/>
    <x v="293"/>
    <s v="83105-86631-IU"/>
    <s v="R-L-0.2"/>
    <n v="4"/>
    <x v="326"/>
    <s v="ddaveridge9p@arstechnica.com"/>
    <x v="0"/>
    <s v="Rob"/>
    <s v="L"/>
    <x v="3"/>
    <n v="3.5849999999999995"/>
    <n v="14.339999999999998"/>
    <x v="0"/>
    <x v="1"/>
    <x v="1"/>
    <s v="Joshuah Awdry"/>
  </r>
  <r>
    <s v="MOU-74341-266"/>
    <x v="294"/>
    <s v="99358-65399-TC"/>
    <s v="A-D-0.5"/>
    <n v="4"/>
    <x v="327"/>
    <s v="jawdry9q@utexas.edu"/>
    <x v="0"/>
    <s v="Ara"/>
    <s v="D"/>
    <x v="1"/>
    <n v="5.97"/>
    <n v="23.88"/>
    <x v="2"/>
    <x v="2"/>
    <x v="1"/>
    <s v="Ethel Ryles"/>
  </r>
  <r>
    <s v="DHJ-87461-571"/>
    <x v="295"/>
    <s v="94525-76037-JP"/>
    <s v="A-M-1"/>
    <n v="2"/>
    <x v="328"/>
    <s v="eryles9r@fastcompany.com"/>
    <x v="0"/>
    <s v="Ara"/>
    <s v="M"/>
    <x v="0"/>
    <n v="11.25"/>
    <n v="22.5"/>
    <x v="2"/>
    <x v="0"/>
    <x v="1"/>
    <s v="Flynn Antony"/>
  </r>
  <r>
    <s v="DKM-97676-850"/>
    <x v="296"/>
    <s v="43439-94003-DW"/>
    <s v="E-D-0.5"/>
    <n v="5"/>
    <x v="306"/>
    <e v="#N/A"/>
    <x v="1"/>
    <s v="Exc"/>
    <s v="D"/>
    <x v="1"/>
    <n v="7.29"/>
    <n v="36.450000000000003"/>
    <x v="1"/>
    <x v="2"/>
    <x v="1"/>
    <s v="Maitilde Boxill"/>
  </r>
  <r>
    <s v="UEB-09112-118"/>
    <x v="297"/>
    <s v="82718-93677-XO"/>
    <s v="A-M-0.5"/>
    <n v="4"/>
    <x v="329"/>
    <s v=""/>
    <x v="0"/>
    <s v="Ara"/>
    <s v="M"/>
    <x v="1"/>
    <n v="6.75"/>
    <n v="27"/>
    <x v="2"/>
    <x v="0"/>
    <x v="0"/>
    <s v="Jodee Caldicott"/>
  </r>
  <r>
    <s v="ORZ-67699-748"/>
    <x v="298"/>
    <s v="44708-78241-DF"/>
    <s v="A-M-2.5"/>
    <n v="6"/>
    <x v="330"/>
    <s v="jcaldicott9u@usda.gov"/>
    <x v="0"/>
    <s v="Ara"/>
    <s v="M"/>
    <x v="2"/>
    <n v="25.874999999999996"/>
    <n v="155.24999999999997"/>
    <x v="2"/>
    <x v="0"/>
    <x v="1"/>
    <s v="Marianna Vedmore"/>
  </r>
  <r>
    <s v="JXP-28398-485"/>
    <x v="299"/>
    <s v="23039-93032-FN"/>
    <s v="A-D-2.5"/>
    <n v="5"/>
    <x v="331"/>
    <s v="mvedmore9v@a8.net"/>
    <x v="0"/>
    <s v="Ara"/>
    <s v="D"/>
    <x v="2"/>
    <n v="22.884999999999998"/>
    <n v="114.42499999999998"/>
    <x v="2"/>
    <x v="2"/>
    <x v="0"/>
    <s v="Willey Romao"/>
  </r>
  <r>
    <s v="WWH-92259-198"/>
    <x v="300"/>
    <s v="35256-12529-FT"/>
    <s v="L-D-1"/>
    <n v="4"/>
    <x v="332"/>
    <s v="wromao9w@chronoengine.com"/>
    <x v="0"/>
    <s v="Lib"/>
    <s v="D"/>
    <x v="0"/>
    <n v="12.95"/>
    <n v="51.8"/>
    <x v="3"/>
    <x v="2"/>
    <x v="0"/>
    <s v="Enriqueta Ixor"/>
  </r>
  <r>
    <s v="FLR-82914-153"/>
    <x v="301"/>
    <s v="86100-33488-WP"/>
    <s v="A-M-2.5"/>
    <n v="6"/>
    <x v="333"/>
    <s v=""/>
    <x v="0"/>
    <s v="Ara"/>
    <s v="M"/>
    <x v="2"/>
    <n v="25.874999999999996"/>
    <n v="155.24999999999997"/>
    <x v="2"/>
    <x v="0"/>
    <x v="1"/>
    <s v="Tomasina Cotmore"/>
  </r>
  <r>
    <s v="AMB-93600-000"/>
    <x v="302"/>
    <s v="64435-53100-WM"/>
    <s v="A-L-2.5"/>
    <n v="1"/>
    <x v="334"/>
    <s v="tcotmore9y@amazonaws.com"/>
    <x v="0"/>
    <s v="Ara"/>
    <s v="L"/>
    <x v="2"/>
    <n v="29.784999999999997"/>
    <n v="29.784999999999997"/>
    <x v="2"/>
    <x v="1"/>
    <x v="1"/>
    <s v="Yuma Skipsey"/>
  </r>
  <r>
    <s v="FEP-36895-658"/>
    <x v="303"/>
    <s v="44699-43836-UH"/>
    <s v="R-L-0.2"/>
    <n v="6"/>
    <x v="335"/>
    <s v="yskipsey9z@spotify.com"/>
    <x v="2"/>
    <s v="Rob"/>
    <s v="L"/>
    <x v="3"/>
    <n v="3.5849999999999995"/>
    <n v="21.509999999999998"/>
    <x v="0"/>
    <x v="1"/>
    <x v="1"/>
    <s v="Nicko Corps"/>
  </r>
  <r>
    <s v="RXW-91413-276"/>
    <x v="304"/>
    <s v="29588-35679-RG"/>
    <s v="R-D-2.5"/>
    <n v="2"/>
    <x v="336"/>
    <s v="ncorpsa0@gmpg.org"/>
    <x v="0"/>
    <s v="Rob"/>
    <s v="D"/>
    <x v="2"/>
    <n v="20.584999999999997"/>
    <n v="41.169999999999995"/>
    <x v="0"/>
    <x v="2"/>
    <x v="1"/>
    <s v="Nicko Corps"/>
  </r>
  <r>
    <s v="RXW-91413-276"/>
    <x v="304"/>
    <s v="29588-35679-RG"/>
    <s v="R-M-0.5"/>
    <n v="1"/>
    <x v="336"/>
    <s v="ncorpsa0@gmpg.org"/>
    <x v="0"/>
    <s v="Rob"/>
    <s v="M"/>
    <x v="1"/>
    <n v="5.97"/>
    <n v="5.97"/>
    <x v="0"/>
    <x v="0"/>
    <x v="1"/>
    <s v="Feliks Babber"/>
  </r>
  <r>
    <s v="SDB-77492-188"/>
    <x v="305"/>
    <s v="64815-54078-HH"/>
    <s v="E-L-1"/>
    <n v="5"/>
    <x v="337"/>
    <s v="fbabbera2@stanford.edu"/>
    <x v="0"/>
    <s v="Exc"/>
    <s v="L"/>
    <x v="0"/>
    <n v="14.85"/>
    <n v="74.25"/>
    <x v="1"/>
    <x v="1"/>
    <x v="0"/>
    <s v="Kaja Loxton"/>
  </r>
  <r>
    <s v="RZN-65182-395"/>
    <x v="196"/>
    <s v="59572-41990-XY"/>
    <s v="L-M-1"/>
    <n v="6"/>
    <x v="338"/>
    <s v="kloxtona3@opensource.org"/>
    <x v="0"/>
    <s v="Lib"/>
    <s v="M"/>
    <x v="0"/>
    <n v="14.55"/>
    <n v="87.300000000000011"/>
    <x v="3"/>
    <x v="0"/>
    <x v="1"/>
    <s v="Parker Tofful"/>
  </r>
  <r>
    <s v="HDQ-86094-507"/>
    <x v="110"/>
    <s v="32481-61533-ZJ"/>
    <s v="E-D-1"/>
    <n v="6"/>
    <x v="339"/>
    <s v="ptoffula4@posterous.com"/>
    <x v="0"/>
    <s v="Exc"/>
    <s v="D"/>
    <x v="0"/>
    <n v="12.15"/>
    <n v="72.900000000000006"/>
    <x v="1"/>
    <x v="2"/>
    <x v="0"/>
    <s v="Casi Gwinnett"/>
  </r>
  <r>
    <s v="YXO-79631-417"/>
    <x v="24"/>
    <s v="31587-92570-HL"/>
    <s v="L-D-0.5"/>
    <n v="1"/>
    <x v="340"/>
    <s v="cgwinnetta5@behance.net"/>
    <x v="0"/>
    <s v="Lib"/>
    <s v="D"/>
    <x v="1"/>
    <n v="7.77"/>
    <n v="7.77"/>
    <x v="3"/>
    <x v="2"/>
    <x v="1"/>
    <s v="Saree Ellesworth"/>
  </r>
  <r>
    <s v="SNF-57032-096"/>
    <x v="306"/>
    <s v="93832-04799-ID"/>
    <s v="E-D-0.5"/>
    <n v="6"/>
    <x v="341"/>
    <s v=""/>
    <x v="0"/>
    <s v="Exc"/>
    <s v="D"/>
    <x v="1"/>
    <n v="7.29"/>
    <n v="43.74"/>
    <x v="1"/>
    <x v="2"/>
    <x v="1"/>
    <s v="Silvio Iorizzi"/>
  </r>
  <r>
    <s v="DGL-29648-995"/>
    <x v="307"/>
    <s v="59367-30821-ZQ"/>
    <s v="L-M-0.2"/>
    <n v="2"/>
    <x v="342"/>
    <s v=""/>
    <x v="0"/>
    <s v="Lib"/>
    <s v="M"/>
    <x v="3"/>
    <n v="4.3650000000000002"/>
    <n v="8.73"/>
    <x v="3"/>
    <x v="0"/>
    <x v="0"/>
    <s v="Leesa Flaonier"/>
  </r>
  <r>
    <s v="GPU-65651-504"/>
    <x v="308"/>
    <s v="83947-45528-ET"/>
    <s v="E-M-2.5"/>
    <n v="2"/>
    <x v="343"/>
    <s v="lflaoniera8@wordpress.org"/>
    <x v="0"/>
    <s v="Exc"/>
    <s v="M"/>
    <x v="2"/>
    <n v="31.624999999999996"/>
    <n v="63.249999999999993"/>
    <x v="1"/>
    <x v="0"/>
    <x v="1"/>
    <s v="Abba Pummell"/>
  </r>
  <r>
    <s v="OJU-34452-896"/>
    <x v="309"/>
    <s v="60799-92593-CX"/>
    <s v="E-L-0.5"/>
    <n v="1"/>
    <x v="344"/>
    <s v=""/>
    <x v="0"/>
    <s v="Exc"/>
    <s v="L"/>
    <x v="1"/>
    <n v="8.91"/>
    <n v="8.91"/>
    <x v="1"/>
    <x v="1"/>
    <x v="0"/>
    <s v="Corinna Catcheside"/>
  </r>
  <r>
    <s v="GZS-50547-887"/>
    <x v="310"/>
    <s v="61600-55136-UM"/>
    <s v="E-D-1"/>
    <n v="2"/>
    <x v="345"/>
    <s v="ccatchesideaa@macromedia.com"/>
    <x v="0"/>
    <s v="Exc"/>
    <s v="D"/>
    <x v="0"/>
    <n v="12.15"/>
    <n v="24.3"/>
    <x v="1"/>
    <x v="2"/>
    <x v="0"/>
    <s v="Cortney Gibbonson"/>
  </r>
  <r>
    <s v="ESR-54041-053"/>
    <x v="311"/>
    <s v="59771-90302-OF"/>
    <s v="A-L-0.5"/>
    <n v="6"/>
    <x v="346"/>
    <s v="cgibbonsonab@accuweather.com"/>
    <x v="0"/>
    <s v="Ara"/>
    <s v="L"/>
    <x v="1"/>
    <n v="7.77"/>
    <n v="46.62"/>
    <x v="2"/>
    <x v="1"/>
    <x v="0"/>
    <s v="Terri Farra"/>
  </r>
  <r>
    <s v="OGD-10781-526"/>
    <x v="132"/>
    <s v="16880-78077-FB"/>
    <s v="R-L-0.5"/>
    <n v="6"/>
    <x v="347"/>
    <s v="tfarraac@behance.net"/>
    <x v="0"/>
    <s v="Rob"/>
    <s v="L"/>
    <x v="1"/>
    <n v="7.169999999999999"/>
    <n v="43.019999999999996"/>
    <x v="0"/>
    <x v="1"/>
    <x v="1"/>
    <s v="Corney Curme"/>
  </r>
  <r>
    <s v="FVH-29271-315"/>
    <x v="312"/>
    <s v="74415-50873-FC"/>
    <s v="A-D-0.5"/>
    <n v="3"/>
    <x v="348"/>
    <s v=""/>
    <x v="1"/>
    <s v="Ara"/>
    <s v="D"/>
    <x v="1"/>
    <n v="5.97"/>
    <n v="17.91"/>
    <x v="2"/>
    <x v="2"/>
    <x v="0"/>
    <s v="Gothart Bamfield"/>
  </r>
  <r>
    <s v="BNZ-20544-633"/>
    <x v="313"/>
    <s v="31798-95707-NR"/>
    <s v="L-L-0.5"/>
    <n v="4"/>
    <x v="349"/>
    <s v="gbamfieldae@yellowpages.com"/>
    <x v="0"/>
    <s v="Lib"/>
    <s v="L"/>
    <x v="1"/>
    <n v="9.51"/>
    <n v="38.04"/>
    <x v="3"/>
    <x v="1"/>
    <x v="0"/>
    <s v="Waylin Hollingdale"/>
  </r>
  <r>
    <s v="FUX-85791-078"/>
    <x v="156"/>
    <s v="59122-08794-WT"/>
    <s v="A-M-0.2"/>
    <n v="2"/>
    <x v="350"/>
    <s v="whollingdaleaf@about.me"/>
    <x v="0"/>
    <s v="Ara"/>
    <s v="M"/>
    <x v="3"/>
    <n v="3.375"/>
    <n v="6.75"/>
    <x v="2"/>
    <x v="0"/>
    <x v="0"/>
    <s v="Judd De Leek"/>
  </r>
  <r>
    <s v="YXP-20078-116"/>
    <x v="314"/>
    <s v="37238-52421-JJ"/>
    <s v="R-M-0.5"/>
    <n v="1"/>
    <x v="351"/>
    <s v="jdeag@xrea.com"/>
    <x v="0"/>
    <s v="Rob"/>
    <s v="M"/>
    <x v="1"/>
    <n v="5.97"/>
    <n v="5.97"/>
    <x v="0"/>
    <x v="0"/>
    <x v="0"/>
    <s v="Vanya Skullet"/>
  </r>
  <r>
    <s v="VQV-59984-866"/>
    <x v="315"/>
    <s v="48854-01899-FN"/>
    <s v="R-D-0.2"/>
    <n v="3"/>
    <x v="352"/>
    <s v="vskulletah@tinyurl.com"/>
    <x v="1"/>
    <s v="Rob"/>
    <s v="D"/>
    <x v="3"/>
    <n v="2.6849999999999996"/>
    <n v="8.0549999999999997"/>
    <x v="0"/>
    <x v="2"/>
    <x v="1"/>
    <s v="Jany Rudeforth"/>
  </r>
  <r>
    <s v="JEH-37276-048"/>
    <x v="316"/>
    <s v="80896-38819-DW"/>
    <s v="A-L-0.5"/>
    <n v="3"/>
    <x v="353"/>
    <s v="jrudeforthai@wunderground.com"/>
    <x v="1"/>
    <s v="Ara"/>
    <s v="L"/>
    <x v="1"/>
    <n v="7.77"/>
    <n v="23.31"/>
    <x v="2"/>
    <x v="1"/>
    <x v="0"/>
    <s v="Ashbey Tomaszewski"/>
  </r>
  <r>
    <s v="VYD-28555-589"/>
    <x v="317"/>
    <s v="29814-01459-RC"/>
    <s v="R-L-0.5"/>
    <n v="6"/>
    <x v="354"/>
    <s v="atomaszewskiaj@answers.com"/>
    <x v="2"/>
    <s v="Rob"/>
    <s v="L"/>
    <x v="1"/>
    <n v="7.169999999999999"/>
    <n v="43.019999999999996"/>
    <x v="0"/>
    <x v="1"/>
    <x v="0"/>
    <s v="Flynn Antony"/>
  </r>
  <r>
    <s v="WUG-76466-650"/>
    <x v="318"/>
    <s v="43439-94003-DW"/>
    <s v="L-D-0.5"/>
    <n v="3"/>
    <x v="306"/>
    <e v="#N/A"/>
    <x v="1"/>
    <s v="Lib"/>
    <s v="D"/>
    <x v="1"/>
    <n v="7.77"/>
    <n v="23.31"/>
    <x v="3"/>
    <x v="2"/>
    <x v="1"/>
    <s v="Pren Bess"/>
  </r>
  <r>
    <s v="RJV-08261-583"/>
    <x v="182"/>
    <s v="48497-29281-FE"/>
    <s v="A-D-0.2"/>
    <n v="5"/>
    <x v="355"/>
    <s v="pbessal@qq.com"/>
    <x v="0"/>
    <s v="Ara"/>
    <s v="D"/>
    <x v="3"/>
    <n v="2.9849999999999999"/>
    <n v="14.924999999999999"/>
    <x v="2"/>
    <x v="2"/>
    <x v="0"/>
    <s v="Elka Windress"/>
  </r>
  <r>
    <s v="PMR-56062-609"/>
    <x v="319"/>
    <s v="43605-12616-YH"/>
    <s v="E-D-0.5"/>
    <n v="3"/>
    <x v="356"/>
    <s v="ewindressam@marketwatch.com"/>
    <x v="0"/>
    <s v="Exc"/>
    <s v="D"/>
    <x v="1"/>
    <n v="7.29"/>
    <n v="21.87"/>
    <x v="1"/>
    <x v="2"/>
    <x v="1"/>
    <s v="Marty Kidstoun"/>
  </r>
  <r>
    <s v="XLD-12920-505"/>
    <x v="320"/>
    <s v="21907-75962-VB"/>
    <s v="E-L-0.5"/>
    <n v="6"/>
    <x v="357"/>
    <s v=""/>
    <x v="0"/>
    <s v="Exc"/>
    <s v="L"/>
    <x v="1"/>
    <n v="8.91"/>
    <n v="53.46"/>
    <x v="1"/>
    <x v="1"/>
    <x v="0"/>
    <s v="Nickey Dimbleby"/>
  </r>
  <r>
    <s v="UBW-50312-037"/>
    <x v="321"/>
    <s v="69503-12127-YD"/>
    <s v="A-L-2.5"/>
    <n v="4"/>
    <x v="358"/>
    <s v=""/>
    <x v="0"/>
    <s v="Ara"/>
    <s v="L"/>
    <x v="2"/>
    <n v="29.784999999999997"/>
    <n v="119.13999999999999"/>
    <x v="2"/>
    <x v="1"/>
    <x v="1"/>
    <s v="Virgil Baumadier"/>
  </r>
  <r>
    <s v="QAW-05889-019"/>
    <x v="322"/>
    <s v="68810-07329-EU"/>
    <s v="L-M-0.5"/>
    <n v="5"/>
    <x v="359"/>
    <s v="vbaumadierap@google.cn"/>
    <x v="0"/>
    <s v="Lib"/>
    <s v="M"/>
    <x v="1"/>
    <n v="8.73"/>
    <n v="43.650000000000006"/>
    <x v="3"/>
    <x v="0"/>
    <x v="0"/>
    <s v="Lenore Messenbird"/>
  </r>
  <r>
    <s v="EPT-12715-397"/>
    <x v="128"/>
    <s v="08478-75251-OG"/>
    <s v="A-D-0.2"/>
    <n v="6"/>
    <x v="360"/>
    <s v=""/>
    <x v="0"/>
    <s v="Ara"/>
    <s v="D"/>
    <x v="3"/>
    <n v="2.9849999999999999"/>
    <n v="17.91"/>
    <x v="2"/>
    <x v="2"/>
    <x v="0"/>
    <s v="Shirleen Welds"/>
  </r>
  <r>
    <s v="DHT-93810-053"/>
    <x v="323"/>
    <s v="17005-82030-EA"/>
    <s v="E-L-1"/>
    <n v="5"/>
    <x v="361"/>
    <s v="sweldsar@wired.com"/>
    <x v="0"/>
    <s v="Exc"/>
    <s v="L"/>
    <x v="0"/>
    <n v="14.85"/>
    <n v="74.25"/>
    <x v="1"/>
    <x v="1"/>
    <x v="0"/>
    <s v="Maisie Sarvar"/>
  </r>
  <r>
    <s v="DMY-96037-963"/>
    <x v="324"/>
    <s v="42179-95059-DO"/>
    <s v="L-D-0.2"/>
    <n v="3"/>
    <x v="362"/>
    <s v="msarvaras@artisteer.com"/>
    <x v="0"/>
    <s v="Lib"/>
    <s v="D"/>
    <x v="3"/>
    <n v="3.8849999999999998"/>
    <n v="11.654999999999999"/>
    <x v="3"/>
    <x v="2"/>
    <x v="0"/>
    <s v="Andrej Havick"/>
  </r>
  <r>
    <s v="MBM-55936-917"/>
    <x v="325"/>
    <s v="55989-39849-WO"/>
    <s v="L-D-0.5"/>
    <n v="3"/>
    <x v="363"/>
    <s v="ahavickat@nsw.gov.au"/>
    <x v="0"/>
    <s v="Lib"/>
    <s v="D"/>
    <x v="1"/>
    <n v="7.77"/>
    <n v="23.31"/>
    <x v="3"/>
    <x v="2"/>
    <x v="0"/>
    <s v="Sloan Diviny"/>
  </r>
  <r>
    <s v="TPA-93614-840"/>
    <x v="326"/>
    <s v="28932-49296-TM"/>
    <s v="E-D-0.5"/>
    <n v="2"/>
    <x v="364"/>
    <s v="sdivinyau@ask.com"/>
    <x v="0"/>
    <s v="Exc"/>
    <s v="D"/>
    <x v="1"/>
    <n v="7.29"/>
    <n v="14.58"/>
    <x v="1"/>
    <x v="2"/>
    <x v="0"/>
    <s v="Itch Norquoy"/>
  </r>
  <r>
    <s v="WDM-77521-710"/>
    <x v="327"/>
    <s v="86144-10144-CB"/>
    <s v="A-M-0.5"/>
    <n v="2"/>
    <x v="365"/>
    <s v="inorquoyav@businessweek.com"/>
    <x v="0"/>
    <s v="Ara"/>
    <s v="M"/>
    <x v="1"/>
    <n v="6.75"/>
    <n v="13.5"/>
    <x v="2"/>
    <x v="0"/>
    <x v="1"/>
    <s v="Anson Iddison"/>
  </r>
  <r>
    <s v="EIP-19142-462"/>
    <x v="328"/>
    <s v="60973-72562-DQ"/>
    <s v="E-L-1"/>
    <n v="6"/>
    <x v="366"/>
    <s v="aiddisonaw@usa.gov"/>
    <x v="0"/>
    <s v="Exc"/>
    <s v="L"/>
    <x v="0"/>
    <n v="14.85"/>
    <n v="89.1"/>
    <x v="1"/>
    <x v="1"/>
    <x v="1"/>
    <s v="Anson Iddison"/>
  </r>
  <r>
    <s v="EIP-19142-462"/>
    <x v="328"/>
    <s v="60973-72562-DQ"/>
    <s v="A-L-0.2"/>
    <n v="1"/>
    <x v="366"/>
    <s v="aiddisonaw@usa.gov"/>
    <x v="0"/>
    <s v="Ara"/>
    <s v="L"/>
    <x v="3"/>
    <n v="3.8849999999999998"/>
    <n v="3.8849999999999998"/>
    <x v="2"/>
    <x v="1"/>
    <x v="1"/>
    <s v="Randal Longfield"/>
  </r>
  <r>
    <s v="ZZL-76364-387"/>
    <x v="128"/>
    <s v="11263-86515-VU"/>
    <s v="R-L-2.5"/>
    <n v="4"/>
    <x v="367"/>
    <s v="rlongfielday@bluehost.com"/>
    <x v="0"/>
    <s v="Rob"/>
    <s v="L"/>
    <x v="2"/>
    <n v="27.484999999999996"/>
    <n v="109.93999999999998"/>
    <x v="0"/>
    <x v="1"/>
    <x v="1"/>
    <s v="Gregorius Kislingbury"/>
  </r>
  <r>
    <s v="GMF-18638-786"/>
    <x v="329"/>
    <s v="60004-62976-NI"/>
    <s v="L-D-0.5"/>
    <n v="6"/>
    <x v="368"/>
    <s v="gkislingburyaz@samsung.com"/>
    <x v="0"/>
    <s v="Lib"/>
    <s v="D"/>
    <x v="1"/>
    <n v="7.77"/>
    <n v="46.62"/>
    <x v="3"/>
    <x v="2"/>
    <x v="0"/>
    <s v="Xenos Gibbons"/>
  </r>
  <r>
    <s v="TDJ-20844-787"/>
    <x v="330"/>
    <s v="77876-28498-HI"/>
    <s v="A-L-0.5"/>
    <n v="5"/>
    <x v="369"/>
    <s v="xgibbonsb0@artisteer.com"/>
    <x v="0"/>
    <s v="Ara"/>
    <s v="L"/>
    <x v="1"/>
    <n v="7.77"/>
    <n v="38.849999999999994"/>
    <x v="2"/>
    <x v="1"/>
    <x v="1"/>
    <s v="Fleur Parres"/>
  </r>
  <r>
    <s v="BWK-39400-446"/>
    <x v="331"/>
    <s v="61302-06948-EH"/>
    <s v="L-D-0.5"/>
    <n v="4"/>
    <x v="370"/>
    <s v="fparresb1@imageshack.us"/>
    <x v="0"/>
    <s v="Lib"/>
    <s v="D"/>
    <x v="1"/>
    <n v="7.77"/>
    <n v="31.08"/>
    <x v="3"/>
    <x v="2"/>
    <x v="0"/>
    <s v="Gran Sibray"/>
  </r>
  <r>
    <s v="LCB-02099-995"/>
    <x v="332"/>
    <s v="06757-96251-UH"/>
    <s v="A-D-0.2"/>
    <n v="6"/>
    <x v="371"/>
    <s v="gsibrayb2@wsj.com"/>
    <x v="0"/>
    <s v="Ara"/>
    <s v="D"/>
    <x v="3"/>
    <n v="2.9849999999999999"/>
    <n v="17.91"/>
    <x v="2"/>
    <x v="2"/>
    <x v="0"/>
    <s v="Ingelbert Hotchkin"/>
  </r>
  <r>
    <s v="UBA-43678-174"/>
    <x v="333"/>
    <s v="44530-75983-OD"/>
    <s v="E-D-2.5"/>
    <n v="6"/>
    <x v="372"/>
    <s v="ihotchkinb3@mit.edu"/>
    <x v="2"/>
    <s v="Exc"/>
    <s v="D"/>
    <x v="2"/>
    <n v="27.945"/>
    <n v="167.67000000000002"/>
    <x v="1"/>
    <x v="2"/>
    <x v="1"/>
    <s v="Neely Broadberrie"/>
  </r>
  <r>
    <s v="UDH-24280-432"/>
    <x v="334"/>
    <s v="44865-58249-RY"/>
    <s v="L-L-1"/>
    <n v="4"/>
    <x v="373"/>
    <s v="nbroadberrieb4@gnu.org"/>
    <x v="0"/>
    <s v="Lib"/>
    <s v="L"/>
    <x v="0"/>
    <n v="15.85"/>
    <n v="63.4"/>
    <x v="3"/>
    <x v="1"/>
    <x v="1"/>
    <s v="Rutger Pithcock"/>
  </r>
  <r>
    <s v="IDQ-20193-502"/>
    <x v="335"/>
    <s v="36021-61205-DF"/>
    <s v="L-M-0.2"/>
    <n v="2"/>
    <x v="374"/>
    <s v="rpithcockb5@yellowbook.com"/>
    <x v="0"/>
    <s v="Lib"/>
    <s v="M"/>
    <x v="3"/>
    <n v="4.3650000000000002"/>
    <n v="8.73"/>
    <x v="3"/>
    <x v="0"/>
    <x v="0"/>
    <s v="Gale Croysdale"/>
  </r>
  <r>
    <s v="DJG-14442-608"/>
    <x v="336"/>
    <s v="75716-12782-SS"/>
    <s v="R-D-1"/>
    <n v="3"/>
    <x v="375"/>
    <s v="gcroysdaleb6@nih.gov"/>
    <x v="0"/>
    <s v="Rob"/>
    <s v="D"/>
    <x v="0"/>
    <n v="8.9499999999999993"/>
    <n v="26.849999999999998"/>
    <x v="0"/>
    <x v="2"/>
    <x v="0"/>
    <s v="Benedetto Gozzett"/>
  </r>
  <r>
    <s v="DWB-61381-370"/>
    <x v="337"/>
    <s v="11812-00461-KH"/>
    <s v="L-L-0.2"/>
    <n v="2"/>
    <x v="376"/>
    <s v="bgozzettb7@github.com"/>
    <x v="0"/>
    <s v="Lib"/>
    <s v="L"/>
    <x v="3"/>
    <n v="4.7549999999999999"/>
    <n v="9.51"/>
    <x v="3"/>
    <x v="1"/>
    <x v="1"/>
    <s v="Tania Craggs"/>
  </r>
  <r>
    <s v="FRD-17347-990"/>
    <x v="80"/>
    <s v="46681-78850-ZW"/>
    <s v="A-D-1"/>
    <n v="4"/>
    <x v="377"/>
    <s v="tcraggsb8@house.gov"/>
    <x v="1"/>
    <s v="Ara"/>
    <s v="D"/>
    <x v="0"/>
    <n v="9.9499999999999993"/>
    <n v="39.799999999999997"/>
    <x v="2"/>
    <x v="2"/>
    <x v="1"/>
    <s v="Leonie Cullrford"/>
  </r>
  <r>
    <s v="YPP-27450-525"/>
    <x v="338"/>
    <s v="01932-87052-KO"/>
    <s v="E-M-0.5"/>
    <n v="3"/>
    <x v="378"/>
    <s v="lcullrfordb9@xing.com"/>
    <x v="0"/>
    <s v="Exc"/>
    <s v="M"/>
    <x v="1"/>
    <n v="8.25"/>
    <n v="24.75"/>
    <x v="1"/>
    <x v="0"/>
    <x v="0"/>
    <s v="Auguste Rizon"/>
  </r>
  <r>
    <s v="EFC-39577-424"/>
    <x v="339"/>
    <s v="16046-34805-ZF"/>
    <s v="E-M-1"/>
    <n v="5"/>
    <x v="379"/>
    <s v="arizonba@xing.com"/>
    <x v="0"/>
    <s v="Exc"/>
    <s v="M"/>
    <x v="0"/>
    <n v="13.75"/>
    <n v="68.75"/>
    <x v="1"/>
    <x v="0"/>
    <x v="0"/>
    <s v="Lorin Guerrazzi"/>
  </r>
  <r>
    <s v="LAW-80062-016"/>
    <x v="340"/>
    <s v="34546-70516-LR"/>
    <s v="E-M-0.5"/>
    <n v="6"/>
    <x v="380"/>
    <s v=""/>
    <x v="1"/>
    <s v="Exc"/>
    <s v="M"/>
    <x v="1"/>
    <n v="8.25"/>
    <n v="49.5"/>
    <x v="1"/>
    <x v="0"/>
    <x v="1"/>
    <s v="Felice Miell"/>
  </r>
  <r>
    <s v="WKL-27981-758"/>
    <x v="177"/>
    <s v="73699-93557-FZ"/>
    <s v="A-M-2.5"/>
    <n v="2"/>
    <x v="381"/>
    <s v="fmiellbc@spiegel.de"/>
    <x v="0"/>
    <s v="Ara"/>
    <s v="M"/>
    <x v="2"/>
    <n v="25.874999999999996"/>
    <n v="51.749999999999993"/>
    <x v="2"/>
    <x v="0"/>
    <x v="0"/>
    <s v="Hamish Skeech"/>
  </r>
  <r>
    <s v="VRT-39834-265"/>
    <x v="341"/>
    <s v="86686-37462-CK"/>
    <s v="L-L-1"/>
    <n v="3"/>
    <x v="382"/>
    <s v=""/>
    <x v="1"/>
    <s v="Lib"/>
    <s v="L"/>
    <x v="0"/>
    <n v="15.85"/>
    <n v="47.55"/>
    <x v="3"/>
    <x v="1"/>
    <x v="0"/>
    <s v="Giordano Lorenzin"/>
  </r>
  <r>
    <s v="QTC-71005-730"/>
    <x v="342"/>
    <s v="14298-02150-KH"/>
    <s v="A-L-0.2"/>
    <n v="4"/>
    <x v="383"/>
    <s v=""/>
    <x v="0"/>
    <s v="Ara"/>
    <s v="L"/>
    <x v="3"/>
    <n v="3.8849999999999998"/>
    <n v="15.54"/>
    <x v="2"/>
    <x v="1"/>
    <x v="1"/>
    <s v="Harwilll Bishell"/>
  </r>
  <r>
    <s v="TNX-09857-717"/>
    <x v="343"/>
    <s v="48675-07824-HJ"/>
    <s v="L-M-1"/>
    <n v="6"/>
    <x v="384"/>
    <s v=""/>
    <x v="0"/>
    <s v="Lib"/>
    <s v="M"/>
    <x v="0"/>
    <n v="14.55"/>
    <n v="87.300000000000011"/>
    <x v="3"/>
    <x v="0"/>
    <x v="0"/>
    <s v="Freeland Missenden"/>
  </r>
  <r>
    <s v="JZV-43874-185"/>
    <x v="344"/>
    <s v="18551-80943-YQ"/>
    <s v="A-M-1"/>
    <n v="5"/>
    <x v="385"/>
    <s v=""/>
    <x v="0"/>
    <s v="Ara"/>
    <s v="M"/>
    <x v="0"/>
    <n v="11.25"/>
    <n v="56.25"/>
    <x v="2"/>
    <x v="0"/>
    <x v="0"/>
    <s v="Waylan Springall"/>
  </r>
  <r>
    <s v="ICF-17486-106"/>
    <x v="47"/>
    <s v="19196-09748-DB"/>
    <s v="L-L-2.5"/>
    <n v="1"/>
    <x v="386"/>
    <s v="wspringallbh@jugem.jp"/>
    <x v="0"/>
    <s v="Lib"/>
    <s v="L"/>
    <x v="2"/>
    <n v="36.454999999999998"/>
    <n v="36.454999999999998"/>
    <x v="3"/>
    <x v="1"/>
    <x v="0"/>
    <s v="Kiri Avramow"/>
  </r>
  <r>
    <s v="BMK-49520-383"/>
    <x v="345"/>
    <s v="72233-08665-IP"/>
    <s v="R-L-0.2"/>
    <n v="3"/>
    <x v="387"/>
    <s v=""/>
    <x v="0"/>
    <s v="Rob"/>
    <s v="L"/>
    <x v="3"/>
    <n v="3.5849999999999995"/>
    <n v="10.754999999999999"/>
    <x v="0"/>
    <x v="1"/>
    <x v="0"/>
    <s v="Gregg Hawkyens"/>
  </r>
  <r>
    <s v="HTS-15020-632"/>
    <x v="169"/>
    <s v="53817-13148-RK"/>
    <s v="R-M-0.2"/>
    <n v="3"/>
    <x v="388"/>
    <s v="ghawkyensbj@census.gov"/>
    <x v="0"/>
    <s v="Rob"/>
    <s v="M"/>
    <x v="3"/>
    <n v="2.9849999999999999"/>
    <n v="8.9550000000000001"/>
    <x v="0"/>
    <x v="0"/>
    <x v="1"/>
    <s v="Reggis Pracy"/>
  </r>
  <r>
    <s v="YLE-18247-749"/>
    <x v="346"/>
    <s v="92227-49331-QR"/>
    <s v="A-L-0.5"/>
    <n v="3"/>
    <x v="389"/>
    <s v=""/>
    <x v="0"/>
    <s v="Ara"/>
    <s v="L"/>
    <x v="1"/>
    <n v="7.77"/>
    <n v="23.31"/>
    <x v="2"/>
    <x v="1"/>
    <x v="0"/>
    <s v="Paula Denis"/>
  </r>
  <r>
    <s v="KJJ-12573-591"/>
    <x v="347"/>
    <s v="12997-41076-FQ"/>
    <s v="A-L-2.5"/>
    <n v="1"/>
    <x v="390"/>
    <s v=""/>
    <x v="0"/>
    <s v="Ara"/>
    <s v="L"/>
    <x v="2"/>
    <n v="29.784999999999997"/>
    <n v="29.784999999999997"/>
    <x v="2"/>
    <x v="1"/>
    <x v="0"/>
    <s v="Broderick McGilvra"/>
  </r>
  <r>
    <s v="RGU-43561-950"/>
    <x v="348"/>
    <s v="44220-00348-MB"/>
    <s v="A-L-2.5"/>
    <n v="5"/>
    <x v="391"/>
    <s v="bmcgilvrabm@so-net.ne.jp"/>
    <x v="0"/>
    <s v="Ara"/>
    <s v="L"/>
    <x v="2"/>
    <n v="29.784999999999997"/>
    <n v="148.92499999999998"/>
    <x v="2"/>
    <x v="1"/>
    <x v="0"/>
    <s v="Annabella Danzey"/>
  </r>
  <r>
    <s v="JSN-73975-443"/>
    <x v="349"/>
    <s v="93047-98331-DD"/>
    <s v="L-M-0.5"/>
    <n v="1"/>
    <x v="392"/>
    <s v="adanzeybn@github.com"/>
    <x v="0"/>
    <s v="Lib"/>
    <s v="M"/>
    <x v="1"/>
    <n v="8.73"/>
    <n v="8.73"/>
    <x v="3"/>
    <x v="0"/>
    <x v="0"/>
    <s v="Terri Farra"/>
  </r>
  <r>
    <s v="WNR-71736-993"/>
    <x v="350"/>
    <s v="16880-78077-FB"/>
    <s v="L-D-0.5"/>
    <n v="4"/>
    <x v="347"/>
    <e v="#N/A"/>
    <x v="1"/>
    <s v="Lib"/>
    <s v="D"/>
    <x v="1"/>
    <n v="7.77"/>
    <n v="31.08"/>
    <x v="3"/>
    <x v="2"/>
    <x v="1"/>
    <s v="Terri Farra"/>
  </r>
  <r>
    <s v="WNR-71736-993"/>
    <x v="350"/>
    <s v="16880-78077-FB"/>
    <s v="A-D-2.5"/>
    <n v="6"/>
    <x v="347"/>
    <e v="#N/A"/>
    <x v="1"/>
    <s v="Ara"/>
    <s v="D"/>
    <x v="2"/>
    <n v="22.884999999999998"/>
    <n v="137.31"/>
    <x v="2"/>
    <x v="2"/>
    <x v="1"/>
    <s v="Nevins Glowacz"/>
  </r>
  <r>
    <s v="HNI-91338-546"/>
    <x v="54"/>
    <s v="67285-75317-XI"/>
    <s v="A-D-0.5"/>
    <n v="5"/>
    <x v="393"/>
    <s v=""/>
    <x v="0"/>
    <s v="Ara"/>
    <s v="D"/>
    <x v="1"/>
    <n v="5.97"/>
    <n v="29.849999999999998"/>
    <x v="2"/>
    <x v="2"/>
    <x v="1"/>
    <s v="Adelice Isabell"/>
  </r>
  <r>
    <s v="CYH-53243-218"/>
    <x v="237"/>
    <s v="88167-57964-PH"/>
    <s v="R-M-0.5"/>
    <n v="3"/>
    <x v="394"/>
    <s v=""/>
    <x v="0"/>
    <s v="Rob"/>
    <s v="M"/>
    <x v="1"/>
    <n v="5.97"/>
    <n v="17.91"/>
    <x v="0"/>
    <x v="0"/>
    <x v="1"/>
    <s v="Yulma Dombrell"/>
  </r>
  <r>
    <s v="SVD-75407-177"/>
    <x v="351"/>
    <s v="16106-36039-QS"/>
    <s v="E-L-0.5"/>
    <n v="3"/>
    <x v="395"/>
    <s v="ydombrellbs@dedecms.com"/>
    <x v="0"/>
    <s v="Exc"/>
    <s v="L"/>
    <x v="1"/>
    <n v="8.91"/>
    <n v="26.73"/>
    <x v="1"/>
    <x v="1"/>
    <x v="0"/>
    <s v="Alric Darth"/>
  </r>
  <r>
    <s v="NVN-66443-451"/>
    <x v="352"/>
    <s v="98921-82417-GN"/>
    <s v="R-D-1"/>
    <n v="2"/>
    <x v="396"/>
    <s v="adarthbt@t.co"/>
    <x v="0"/>
    <s v="Rob"/>
    <s v="D"/>
    <x v="0"/>
    <n v="8.9499999999999993"/>
    <n v="17.899999999999999"/>
    <x v="0"/>
    <x v="2"/>
    <x v="1"/>
    <s v="Manuel Darrigoe"/>
  </r>
  <r>
    <s v="JUA-13580-095"/>
    <x v="102"/>
    <s v="55265-75151-AK"/>
    <s v="R-L-0.2"/>
    <n v="4"/>
    <x v="397"/>
    <s v="mdarrigoebu@hud.gov"/>
    <x v="1"/>
    <s v="Rob"/>
    <s v="L"/>
    <x v="3"/>
    <n v="3.5849999999999995"/>
    <n v="14.339999999999998"/>
    <x v="0"/>
    <x v="1"/>
    <x v="0"/>
    <s v="Kynthia Berick"/>
  </r>
  <r>
    <s v="ACY-56225-839"/>
    <x v="353"/>
    <s v="47386-50743-FG"/>
    <s v="A-M-2.5"/>
    <n v="3"/>
    <x v="398"/>
    <s v=""/>
    <x v="0"/>
    <s v="Ara"/>
    <s v="M"/>
    <x v="2"/>
    <n v="25.874999999999996"/>
    <n v="77.624999999999986"/>
    <x v="2"/>
    <x v="0"/>
    <x v="0"/>
    <s v="Minetta Ackrill"/>
  </r>
  <r>
    <s v="QBB-07903-622"/>
    <x v="354"/>
    <s v="32622-54551-UC"/>
    <s v="R-L-1"/>
    <n v="5"/>
    <x v="399"/>
    <s v="mackrillbw@bandcamp.com"/>
    <x v="0"/>
    <s v="Rob"/>
    <s v="L"/>
    <x v="0"/>
    <n v="11.95"/>
    <n v="59.75"/>
    <x v="0"/>
    <x v="1"/>
    <x v="1"/>
    <s v="Terri Farra"/>
  </r>
  <r>
    <s v="JLJ-81802-619"/>
    <x v="135"/>
    <s v="16880-78077-FB"/>
    <s v="A-L-1"/>
    <n v="6"/>
    <x v="347"/>
    <e v="#N/A"/>
    <x v="1"/>
    <s v="Ara"/>
    <s v="L"/>
    <x v="0"/>
    <n v="12.95"/>
    <n v="77.699999999999989"/>
    <x v="2"/>
    <x v="1"/>
    <x v="1"/>
    <s v="Melosa Kippen"/>
  </r>
  <r>
    <s v="HFT-77191-168"/>
    <x v="343"/>
    <s v="48419-02347-XP"/>
    <s v="R-D-0.2"/>
    <n v="2"/>
    <x v="400"/>
    <s v="mkippenby@dion.ne.jp"/>
    <x v="0"/>
    <s v="Rob"/>
    <s v="D"/>
    <x v="3"/>
    <n v="2.6849999999999996"/>
    <n v="5.3699999999999992"/>
    <x v="0"/>
    <x v="2"/>
    <x v="0"/>
    <s v="Witty Ranson"/>
  </r>
  <r>
    <s v="SZR-35951-530"/>
    <x v="89"/>
    <s v="14121-20527-OJ"/>
    <s v="E-D-2.5"/>
    <n v="3"/>
    <x v="401"/>
    <s v="wransonbz@ted.com"/>
    <x v="1"/>
    <s v="Exc"/>
    <s v="D"/>
    <x v="2"/>
    <n v="27.945"/>
    <n v="83.835000000000008"/>
    <x v="1"/>
    <x v="2"/>
    <x v="0"/>
    <s v="Rod Gowdie"/>
  </r>
  <r>
    <s v="IKL-95976-565"/>
    <x v="355"/>
    <s v="53486-73919-BQ"/>
    <s v="A-M-1"/>
    <n v="2"/>
    <x v="402"/>
    <s v=""/>
    <x v="0"/>
    <s v="Ara"/>
    <s v="M"/>
    <x v="0"/>
    <n v="11.25"/>
    <n v="22.5"/>
    <x v="2"/>
    <x v="0"/>
    <x v="1"/>
    <s v="Lemuel Rignold"/>
  </r>
  <r>
    <s v="XEY-48929-474"/>
    <x v="204"/>
    <s v="21889-94615-WT"/>
    <s v="L-M-2.5"/>
    <n v="6"/>
    <x v="403"/>
    <s v="lrignoldc1@miibeian.gov.cn"/>
    <x v="0"/>
    <s v="Lib"/>
    <s v="M"/>
    <x v="2"/>
    <n v="33.464999999999996"/>
    <n v="200.78999999999996"/>
    <x v="3"/>
    <x v="0"/>
    <x v="0"/>
    <s v="Nevsa Fields"/>
  </r>
  <r>
    <s v="SQT-07286-736"/>
    <x v="356"/>
    <s v="87726-16941-QW"/>
    <s v="A-M-1"/>
    <n v="6"/>
    <x v="404"/>
    <s v=""/>
    <x v="0"/>
    <s v="Ara"/>
    <s v="M"/>
    <x v="0"/>
    <n v="11.25"/>
    <n v="67.5"/>
    <x v="2"/>
    <x v="0"/>
    <x v="1"/>
    <s v="Chance Rowthorn"/>
  </r>
  <r>
    <s v="QDU-45390-361"/>
    <x v="357"/>
    <s v="03677-09134-BC"/>
    <s v="E-M-0.5"/>
    <n v="1"/>
    <x v="405"/>
    <s v="crowthornc3@msn.com"/>
    <x v="0"/>
    <s v="Exc"/>
    <s v="M"/>
    <x v="1"/>
    <n v="8.25"/>
    <n v="8.25"/>
    <x v="1"/>
    <x v="0"/>
    <x v="1"/>
    <s v="Orly Ryland"/>
  </r>
  <r>
    <s v="RUJ-30649-712"/>
    <x v="300"/>
    <s v="93224-71517-WV"/>
    <s v="L-L-0.2"/>
    <n v="2"/>
    <x v="406"/>
    <s v="orylandc4@deviantart.com"/>
    <x v="0"/>
    <s v="Lib"/>
    <s v="L"/>
    <x v="3"/>
    <n v="4.7549999999999999"/>
    <n v="9.51"/>
    <x v="3"/>
    <x v="1"/>
    <x v="0"/>
    <s v="Willabella Abramski"/>
  </r>
  <r>
    <s v="WSV-49732-075"/>
    <x v="358"/>
    <s v="76263-95145-GJ"/>
    <s v="L-D-2.5"/>
    <n v="1"/>
    <x v="407"/>
    <s v=""/>
    <x v="0"/>
    <s v="Lib"/>
    <s v="D"/>
    <x v="2"/>
    <n v="29.784999999999997"/>
    <n v="29.784999999999997"/>
    <x v="3"/>
    <x v="2"/>
    <x v="1"/>
    <s v="Morgen Seson"/>
  </r>
  <r>
    <s v="VJF-46305-323"/>
    <x v="161"/>
    <s v="68555-89840-GZ"/>
    <s v="L-D-0.5"/>
    <n v="2"/>
    <x v="408"/>
    <s v="msesonck@census.gov"/>
    <x v="0"/>
    <s v="Lib"/>
    <s v="D"/>
    <x v="1"/>
    <n v="7.77"/>
    <n v="15.54"/>
    <x v="3"/>
    <x v="2"/>
    <x v="1"/>
    <s v="Chickie Ragless"/>
  </r>
  <r>
    <s v="CXD-74176-600"/>
    <x v="129"/>
    <s v="70624-19112-AO"/>
    <s v="E-L-0.5"/>
    <n v="4"/>
    <x v="409"/>
    <s v="craglessc7@webmd.com"/>
    <x v="1"/>
    <s v="Exc"/>
    <s v="L"/>
    <x v="1"/>
    <n v="8.91"/>
    <n v="35.64"/>
    <x v="1"/>
    <x v="1"/>
    <x v="1"/>
    <s v="Freda Hollows"/>
  </r>
  <r>
    <s v="ADX-50674-975"/>
    <x v="359"/>
    <s v="58916-61837-QH"/>
    <s v="A-M-2.5"/>
    <n v="4"/>
    <x v="410"/>
    <s v="fhollowsc8@blogtalkradio.com"/>
    <x v="0"/>
    <s v="Ara"/>
    <s v="M"/>
    <x v="2"/>
    <n v="25.874999999999996"/>
    <n v="103.49999999999999"/>
    <x v="2"/>
    <x v="0"/>
    <x v="0"/>
    <s v="Livy Lathleiff"/>
  </r>
  <r>
    <s v="RRP-51647-420"/>
    <x v="360"/>
    <s v="89292-52335-YZ"/>
    <s v="E-D-1"/>
    <n v="3"/>
    <x v="411"/>
    <s v="llathleiffc9@nationalgeographic.com"/>
    <x v="1"/>
    <s v="Exc"/>
    <s v="D"/>
    <x v="0"/>
    <n v="12.15"/>
    <n v="36.450000000000003"/>
    <x v="1"/>
    <x v="2"/>
    <x v="0"/>
    <s v="Koralle Heads"/>
  </r>
  <r>
    <s v="PKJ-99134-523"/>
    <x v="361"/>
    <s v="77284-34297-YY"/>
    <s v="R-L-0.5"/>
    <n v="5"/>
    <x v="412"/>
    <s v="kheadsca@jalbum.net"/>
    <x v="0"/>
    <s v="Rob"/>
    <s v="L"/>
    <x v="1"/>
    <n v="7.169999999999999"/>
    <n v="35.849999999999994"/>
    <x v="0"/>
    <x v="1"/>
    <x v="1"/>
    <s v="Theo Bowne"/>
  </r>
  <r>
    <s v="FZQ-29439-457"/>
    <x v="362"/>
    <s v="50449-80974-BZ"/>
    <s v="E-L-0.2"/>
    <n v="5"/>
    <x v="413"/>
    <s v="tbownecb@unicef.org"/>
    <x v="1"/>
    <s v="Exc"/>
    <s v="L"/>
    <x v="3"/>
    <n v="4.4550000000000001"/>
    <n v="22.274999999999999"/>
    <x v="1"/>
    <x v="1"/>
    <x v="0"/>
    <s v="Rasia Jacquemard"/>
  </r>
  <r>
    <s v="USN-68115-161"/>
    <x v="363"/>
    <s v="08120-16183-AW"/>
    <s v="E-M-0.2"/>
    <n v="6"/>
    <x v="414"/>
    <s v="rjacquemardcc@acquirethisname.com"/>
    <x v="1"/>
    <s v="Exc"/>
    <s v="M"/>
    <x v="3"/>
    <n v="4.125"/>
    <n v="24.75"/>
    <x v="1"/>
    <x v="0"/>
    <x v="1"/>
    <s v="Kizzie Warman"/>
  </r>
  <r>
    <s v="IXU-20263-532"/>
    <x v="364"/>
    <s v="68044-89277-ML"/>
    <s v="L-M-2.5"/>
    <n v="2"/>
    <x v="415"/>
    <s v="kwarmancd@printfriendly.com"/>
    <x v="1"/>
    <s v="Lib"/>
    <s v="M"/>
    <x v="2"/>
    <n v="33.464999999999996"/>
    <n v="66.929999999999993"/>
    <x v="3"/>
    <x v="0"/>
    <x v="0"/>
    <s v="Wain Cholomin"/>
  </r>
  <r>
    <s v="CBT-15092-420"/>
    <x v="85"/>
    <s v="71364-35210-HS"/>
    <s v="L-M-0.5"/>
    <n v="1"/>
    <x v="416"/>
    <s v="wcholomince@about.com"/>
    <x v="2"/>
    <s v="Lib"/>
    <s v="M"/>
    <x v="1"/>
    <n v="8.73"/>
    <n v="8.73"/>
    <x v="3"/>
    <x v="0"/>
    <x v="0"/>
    <s v="Arleen Braidman"/>
  </r>
  <r>
    <s v="PKQ-46841-696"/>
    <x v="365"/>
    <s v="37177-68797-ON"/>
    <s v="R-M-0.5"/>
    <n v="3"/>
    <x v="417"/>
    <s v="abraidmancf@census.gov"/>
    <x v="0"/>
    <s v="Rob"/>
    <s v="M"/>
    <x v="1"/>
    <n v="5.97"/>
    <n v="17.91"/>
    <x v="0"/>
    <x v="0"/>
    <x v="1"/>
    <s v="Pru Durban"/>
  </r>
  <r>
    <s v="XDU-05471-219"/>
    <x v="366"/>
    <s v="60308-06944-GS"/>
    <s v="R-L-0.5"/>
    <n v="1"/>
    <x v="418"/>
    <s v="pdurbancg@symantec.com"/>
    <x v="1"/>
    <s v="Rob"/>
    <s v="L"/>
    <x v="1"/>
    <n v="7.169999999999999"/>
    <n v="7.169999999999999"/>
    <x v="0"/>
    <x v="1"/>
    <x v="1"/>
    <s v="Antone Harrold"/>
  </r>
  <r>
    <s v="NID-20149-329"/>
    <x v="367"/>
    <s v="49888-39458-PF"/>
    <s v="R-D-0.2"/>
    <n v="2"/>
    <x v="419"/>
    <s v="aharroldch@miibeian.gov.cn"/>
    <x v="0"/>
    <s v="Rob"/>
    <s v="D"/>
    <x v="3"/>
    <n v="2.6849999999999996"/>
    <n v="5.3699999999999992"/>
    <x v="0"/>
    <x v="2"/>
    <x v="1"/>
    <s v="Sim Pamphilon"/>
  </r>
  <r>
    <s v="SVU-27222-213"/>
    <x v="142"/>
    <s v="60748-46813-DZ"/>
    <s v="L-L-0.2"/>
    <n v="5"/>
    <x v="420"/>
    <s v="spamphilonci@mlb.com"/>
    <x v="1"/>
    <s v="Lib"/>
    <s v="L"/>
    <x v="3"/>
    <n v="4.7549999999999999"/>
    <n v="23.774999999999999"/>
    <x v="3"/>
    <x v="1"/>
    <x v="1"/>
    <s v="Mohandis Spurden"/>
  </r>
  <r>
    <s v="RWI-84131-848"/>
    <x v="368"/>
    <s v="16385-11286-NX"/>
    <s v="R-D-2.5"/>
    <n v="2"/>
    <x v="421"/>
    <s v="mspurdencj@exblog.jp"/>
    <x v="0"/>
    <s v="Rob"/>
    <s v="D"/>
    <x v="2"/>
    <n v="20.584999999999997"/>
    <n v="41.169999999999995"/>
    <x v="0"/>
    <x v="2"/>
    <x v="0"/>
    <s v="Morgen Seson"/>
  </r>
  <r>
    <s v="GUU-40666-525"/>
    <x v="31"/>
    <s v="68555-89840-GZ"/>
    <s v="A-L-0.2"/>
    <n v="3"/>
    <x v="408"/>
    <s v="msesonck@census.gov"/>
    <x v="0"/>
    <s v="Ara"/>
    <s v="L"/>
    <x v="3"/>
    <n v="3.8849999999999998"/>
    <n v="11.654999999999999"/>
    <x v="2"/>
    <x v="1"/>
    <x v="1"/>
    <s v="Nalani Pirrone"/>
  </r>
  <r>
    <s v="SCN-51395-066"/>
    <x v="369"/>
    <s v="72164-90254-EJ"/>
    <s v="L-L-0.5"/>
    <n v="4"/>
    <x v="422"/>
    <s v="npirronecl@weibo.com"/>
    <x v="0"/>
    <s v="Lib"/>
    <s v="L"/>
    <x v="1"/>
    <n v="9.51"/>
    <n v="38.04"/>
    <x v="3"/>
    <x v="1"/>
    <x v="1"/>
    <s v="Reube Cawley"/>
  </r>
  <r>
    <s v="ULA-24644-321"/>
    <x v="370"/>
    <s v="67010-92988-CT"/>
    <s v="R-D-2.5"/>
    <n v="4"/>
    <x v="423"/>
    <s v="rcawleycm@yellowbook.com"/>
    <x v="1"/>
    <s v="Rob"/>
    <s v="D"/>
    <x v="2"/>
    <n v="20.584999999999997"/>
    <n v="82.339999999999989"/>
    <x v="0"/>
    <x v="2"/>
    <x v="0"/>
    <s v="Stan Barribal"/>
  </r>
  <r>
    <s v="EOL-92666-762"/>
    <x v="371"/>
    <s v="15776-91507-GT"/>
    <s v="L-L-0.2"/>
    <n v="2"/>
    <x v="424"/>
    <s v="sbarribalcn@microsoft.com"/>
    <x v="1"/>
    <s v="Lib"/>
    <s v="L"/>
    <x v="3"/>
    <n v="4.7549999999999999"/>
    <n v="9.51"/>
    <x v="3"/>
    <x v="1"/>
    <x v="0"/>
    <s v="Agnes Adamides"/>
  </r>
  <r>
    <s v="AJV-18231-334"/>
    <x v="372"/>
    <s v="23473-41001-CD"/>
    <s v="R-D-2.5"/>
    <n v="2"/>
    <x v="425"/>
    <s v="aadamidesco@bizjournals.com"/>
    <x v="2"/>
    <s v="Rob"/>
    <s v="D"/>
    <x v="2"/>
    <n v="20.584999999999997"/>
    <n v="41.169999999999995"/>
    <x v="0"/>
    <x v="2"/>
    <x v="1"/>
    <s v="Carmelita Thowes"/>
  </r>
  <r>
    <s v="ZQI-47236-301"/>
    <x v="373"/>
    <s v="23446-47798-ID"/>
    <s v="L-L-0.5"/>
    <n v="5"/>
    <x v="426"/>
    <s v="cthowescp@craigslist.org"/>
    <x v="0"/>
    <s v="Lib"/>
    <s v="L"/>
    <x v="1"/>
    <n v="9.51"/>
    <n v="47.55"/>
    <x v="3"/>
    <x v="1"/>
    <x v="1"/>
    <s v="Rodolfo Willoway"/>
  </r>
  <r>
    <s v="ZCR-15721-658"/>
    <x v="374"/>
    <s v="28327-84469-ND"/>
    <s v="A-M-1"/>
    <n v="4"/>
    <x v="427"/>
    <s v="rwillowaycq@admin.ch"/>
    <x v="0"/>
    <s v="Ara"/>
    <s v="M"/>
    <x v="0"/>
    <n v="11.25"/>
    <n v="45"/>
    <x v="2"/>
    <x v="0"/>
    <x v="1"/>
    <s v="Alvis Elwin"/>
  </r>
  <r>
    <s v="QEW-47945-682"/>
    <x v="319"/>
    <s v="42466-87067-DT"/>
    <s v="L-L-0.2"/>
    <n v="5"/>
    <x v="428"/>
    <s v="aelwincr@privacy.gov.au"/>
    <x v="0"/>
    <s v="Lib"/>
    <s v="L"/>
    <x v="3"/>
    <n v="4.7549999999999999"/>
    <n v="23.774999999999999"/>
    <x v="3"/>
    <x v="1"/>
    <x v="1"/>
    <s v="Araldo Bilbrook"/>
  </r>
  <r>
    <s v="PSY-45485-542"/>
    <x v="375"/>
    <s v="62246-99443-HF"/>
    <s v="R-D-0.5"/>
    <n v="3"/>
    <x v="429"/>
    <s v="abilbrookcs@booking.com"/>
    <x v="1"/>
    <s v="Rob"/>
    <s v="D"/>
    <x v="1"/>
    <n v="5.3699999999999992"/>
    <n v="16.11"/>
    <x v="0"/>
    <x v="2"/>
    <x v="0"/>
    <s v="Ransell McKall"/>
  </r>
  <r>
    <s v="BAQ-74241-156"/>
    <x v="376"/>
    <s v="99869-55718-UU"/>
    <s v="R-D-0.2"/>
    <n v="4"/>
    <x v="430"/>
    <s v="rmckallct@sakura.ne.jp"/>
    <x v="2"/>
    <s v="Rob"/>
    <s v="D"/>
    <x v="3"/>
    <n v="2.6849999999999996"/>
    <n v="10.739999999999998"/>
    <x v="0"/>
    <x v="2"/>
    <x v="0"/>
    <s v="Borg Daile"/>
  </r>
  <r>
    <s v="BVU-77367-451"/>
    <x v="377"/>
    <s v="77421-46059-RY"/>
    <s v="A-D-1"/>
    <n v="5"/>
    <x v="431"/>
    <s v="bdailecu@vistaprint.com"/>
    <x v="0"/>
    <s v="Ara"/>
    <s v="D"/>
    <x v="0"/>
    <n v="9.9499999999999993"/>
    <n v="49.75"/>
    <x v="2"/>
    <x v="2"/>
    <x v="0"/>
    <s v="Adolphe Treherne"/>
  </r>
  <r>
    <s v="TJE-91516-344"/>
    <x v="378"/>
    <s v="49894-06550-OQ"/>
    <s v="E-M-1"/>
    <n v="2"/>
    <x v="432"/>
    <s v="atrehernecv@state.tx.us"/>
    <x v="1"/>
    <s v="Exc"/>
    <s v="M"/>
    <x v="0"/>
    <n v="13.75"/>
    <n v="27.5"/>
    <x v="1"/>
    <x v="0"/>
    <x v="1"/>
    <s v="Annetta Brentnall"/>
  </r>
  <r>
    <s v="LIS-96202-702"/>
    <x v="277"/>
    <s v="72028-63343-SU"/>
    <s v="L-D-2.5"/>
    <n v="4"/>
    <x v="433"/>
    <s v="abrentnallcw@biglobe.ne.jp"/>
    <x v="2"/>
    <s v="Lib"/>
    <s v="D"/>
    <x v="2"/>
    <n v="29.784999999999997"/>
    <n v="119.13999999999999"/>
    <x v="3"/>
    <x v="2"/>
    <x v="1"/>
    <s v="Dick Drinkall"/>
  </r>
  <r>
    <s v="VIO-27668-766"/>
    <x v="379"/>
    <s v="10074-20104-NN"/>
    <s v="R-D-2.5"/>
    <n v="1"/>
    <x v="434"/>
    <s v="ddrinkallcx@psu.edu"/>
    <x v="0"/>
    <s v="Rob"/>
    <s v="D"/>
    <x v="2"/>
    <n v="20.584999999999997"/>
    <n v="20.584999999999997"/>
    <x v="0"/>
    <x v="2"/>
    <x v="0"/>
    <s v="Dagny Kornel"/>
  </r>
  <r>
    <s v="ZVG-20473-043"/>
    <x v="86"/>
    <s v="71769-10219-IM"/>
    <s v="A-D-0.2"/>
    <n v="3"/>
    <x v="435"/>
    <s v="dkornelcy@cyberchimps.com"/>
    <x v="0"/>
    <s v="Ara"/>
    <s v="D"/>
    <x v="3"/>
    <n v="2.9849999999999999"/>
    <n v="8.9550000000000001"/>
    <x v="2"/>
    <x v="2"/>
    <x v="0"/>
    <s v="Rhona Lequeux"/>
  </r>
  <r>
    <s v="KGZ-56395-231"/>
    <x v="380"/>
    <s v="22221-71106-JD"/>
    <s v="A-D-0.5"/>
    <n v="1"/>
    <x v="436"/>
    <s v="rlequeuxcz@newyorker.com"/>
    <x v="0"/>
    <s v="Ara"/>
    <s v="D"/>
    <x v="1"/>
    <n v="5.97"/>
    <n v="5.97"/>
    <x v="2"/>
    <x v="2"/>
    <x v="1"/>
    <s v="Julius Mccaull"/>
  </r>
  <r>
    <s v="CUU-92244-729"/>
    <x v="381"/>
    <s v="99735-44927-OL"/>
    <s v="E-M-1"/>
    <n v="3"/>
    <x v="437"/>
    <s v="jmccaulld0@parallels.com"/>
    <x v="0"/>
    <s v="Exc"/>
    <s v="M"/>
    <x v="0"/>
    <n v="13.75"/>
    <n v="41.25"/>
    <x v="1"/>
    <x v="0"/>
    <x v="0"/>
    <s v="Ailey Brash"/>
  </r>
  <r>
    <s v="EHE-94714-312"/>
    <x v="382"/>
    <s v="27132-68907-RC"/>
    <s v="E-L-0.2"/>
    <n v="5"/>
    <x v="438"/>
    <s v="abrashda@plala.or.jp"/>
    <x v="0"/>
    <s v="Exc"/>
    <s v="L"/>
    <x v="3"/>
    <n v="4.4550000000000001"/>
    <n v="22.274999999999999"/>
    <x v="1"/>
    <x v="1"/>
    <x v="0"/>
    <s v="Alberto Hutchinson"/>
  </r>
  <r>
    <s v="RTL-16205-161"/>
    <x v="11"/>
    <s v="90440-62727-HI"/>
    <s v="A-M-0.5"/>
    <n v="1"/>
    <x v="439"/>
    <s v="ahutchinsond2@imgur.com"/>
    <x v="0"/>
    <s v="Ara"/>
    <s v="M"/>
    <x v="1"/>
    <n v="6.75"/>
    <n v="6.75"/>
    <x v="2"/>
    <x v="0"/>
    <x v="0"/>
    <s v="Lamond Gheeraert"/>
  </r>
  <r>
    <s v="GTS-22482-014"/>
    <x v="167"/>
    <s v="36769-16558-SX"/>
    <s v="L-M-2.5"/>
    <n v="4"/>
    <x v="440"/>
    <s v=""/>
    <x v="0"/>
    <s v="Lib"/>
    <s v="M"/>
    <x v="2"/>
    <n v="33.464999999999996"/>
    <n v="133.85999999999999"/>
    <x v="3"/>
    <x v="0"/>
    <x v="0"/>
    <s v="Roxine Drivers"/>
  </r>
  <r>
    <s v="DYG-25473-881"/>
    <x v="383"/>
    <s v="10138-31681-SD"/>
    <s v="A-D-0.2"/>
    <n v="2"/>
    <x v="441"/>
    <s v="rdriversd4@hexun.com"/>
    <x v="0"/>
    <s v="Ara"/>
    <s v="D"/>
    <x v="3"/>
    <n v="2.9849999999999999"/>
    <n v="5.97"/>
    <x v="2"/>
    <x v="2"/>
    <x v="1"/>
    <s v="Heloise Zeal"/>
  </r>
  <r>
    <s v="HTR-21838-286"/>
    <x v="18"/>
    <s v="24669-76297-SF"/>
    <s v="A-L-1"/>
    <n v="2"/>
    <x v="442"/>
    <s v="hzeald5@google.de"/>
    <x v="0"/>
    <s v="Ara"/>
    <s v="L"/>
    <x v="0"/>
    <n v="12.95"/>
    <n v="25.9"/>
    <x v="2"/>
    <x v="1"/>
    <x v="1"/>
    <s v="Granger Smallcombe"/>
  </r>
  <r>
    <s v="KYG-28296-920"/>
    <x v="84"/>
    <s v="78050-20355-DI"/>
    <s v="E-M-2.5"/>
    <n v="1"/>
    <x v="443"/>
    <s v="gsmallcombed6@ucla.edu"/>
    <x v="1"/>
    <s v="Exc"/>
    <s v="M"/>
    <x v="2"/>
    <n v="31.624999999999996"/>
    <n v="31.624999999999996"/>
    <x v="1"/>
    <x v="0"/>
    <x v="0"/>
    <s v="Daryn Dibley"/>
  </r>
  <r>
    <s v="NNB-20459-430"/>
    <x v="384"/>
    <s v="79825-17822-UH"/>
    <s v="L-M-0.2"/>
    <n v="2"/>
    <x v="444"/>
    <s v="ddibleyd7@feedburner.com"/>
    <x v="0"/>
    <s v="Lib"/>
    <s v="M"/>
    <x v="3"/>
    <n v="4.3650000000000002"/>
    <n v="8.73"/>
    <x v="3"/>
    <x v="0"/>
    <x v="1"/>
    <s v="Gardy Dimitriou"/>
  </r>
  <r>
    <s v="FEK-14025-351"/>
    <x v="385"/>
    <s v="03990-21586-MQ"/>
    <s v="E-L-0.2"/>
    <n v="6"/>
    <x v="445"/>
    <s v="gdimitrioud8@chronoengine.com"/>
    <x v="0"/>
    <s v="Exc"/>
    <s v="L"/>
    <x v="3"/>
    <n v="4.4550000000000001"/>
    <n v="26.73"/>
    <x v="1"/>
    <x v="1"/>
    <x v="0"/>
    <s v="Fanny Flanagan"/>
  </r>
  <r>
    <s v="AWH-16980-469"/>
    <x v="386"/>
    <s v="27493-46921-TZ"/>
    <s v="L-M-0.2"/>
    <n v="6"/>
    <x v="446"/>
    <s v="fflanagand9@woothemes.com"/>
    <x v="0"/>
    <s v="Lib"/>
    <s v="M"/>
    <x v="3"/>
    <n v="4.3650000000000002"/>
    <n v="26.19"/>
    <x v="3"/>
    <x v="0"/>
    <x v="1"/>
    <s v="Ailey Brash"/>
  </r>
  <r>
    <s v="ZPW-31329-741"/>
    <x v="387"/>
    <s v="27132-68907-RC"/>
    <s v="R-D-1"/>
    <n v="6"/>
    <x v="438"/>
    <s v="abrashda@plala.or.jp"/>
    <x v="0"/>
    <s v="Rob"/>
    <s v="D"/>
    <x v="0"/>
    <n v="8.9499999999999993"/>
    <n v="53.699999999999996"/>
    <x v="0"/>
    <x v="2"/>
    <x v="0"/>
    <s v="Ailey Brash"/>
  </r>
  <r>
    <s v="ZPW-31329-741"/>
    <x v="387"/>
    <s v="27132-68907-RC"/>
    <s v="E-M-2.5"/>
    <n v="4"/>
    <x v="438"/>
    <s v="abrashda@plala.or.jp"/>
    <x v="0"/>
    <s v="Exc"/>
    <s v="M"/>
    <x v="2"/>
    <n v="31.624999999999996"/>
    <n v="126.49999999999999"/>
    <x v="1"/>
    <x v="0"/>
    <x v="0"/>
    <s v="Ailey Brash"/>
  </r>
  <r>
    <s v="ZPW-31329-741"/>
    <x v="387"/>
    <s v="27132-68907-RC"/>
    <s v="E-M-0.2"/>
    <n v="1"/>
    <x v="438"/>
    <e v="#N/A"/>
    <x v="1"/>
    <s v="Exc"/>
    <s v="M"/>
    <x v="3"/>
    <n v="4.125"/>
    <n v="4.125"/>
    <x v="1"/>
    <x v="0"/>
    <x v="0"/>
    <s v="Nanny Izhakov"/>
  </r>
  <r>
    <s v="UBI-83843-396"/>
    <x v="388"/>
    <s v="58816-74064-TF"/>
    <s v="R-L-1"/>
    <n v="2"/>
    <x v="447"/>
    <s v="nizhakovdd@aol.com"/>
    <x v="2"/>
    <s v="Rob"/>
    <s v="L"/>
    <x v="0"/>
    <n v="11.95"/>
    <n v="23.9"/>
    <x v="0"/>
    <x v="1"/>
    <x v="1"/>
    <s v="Stanly Keets"/>
  </r>
  <r>
    <s v="VID-40587-569"/>
    <x v="389"/>
    <s v="09818-59895-EH"/>
    <s v="E-D-2.5"/>
    <n v="5"/>
    <x v="448"/>
    <s v="skeetsde@answers.com"/>
    <x v="0"/>
    <s v="Exc"/>
    <s v="D"/>
    <x v="2"/>
    <n v="27.945"/>
    <n v="139.72499999999999"/>
    <x v="1"/>
    <x v="2"/>
    <x v="0"/>
    <s v="Orion Dyott"/>
  </r>
  <r>
    <s v="KBB-52530-416"/>
    <x v="229"/>
    <s v="06488-46303-IZ"/>
    <s v="L-D-2.5"/>
    <n v="2"/>
    <x v="449"/>
    <s v=""/>
    <x v="0"/>
    <s v="Lib"/>
    <s v="D"/>
    <x v="2"/>
    <n v="29.784999999999997"/>
    <n v="59.569999999999993"/>
    <x v="3"/>
    <x v="2"/>
    <x v="0"/>
    <s v="Keefer Cake"/>
  </r>
  <r>
    <s v="ISJ-48676-420"/>
    <x v="390"/>
    <s v="93046-67561-AY"/>
    <s v="L-L-0.5"/>
    <n v="6"/>
    <x v="450"/>
    <s v="kcakedg@huffingtonpost.com"/>
    <x v="0"/>
    <s v="Lib"/>
    <s v="L"/>
    <x v="1"/>
    <n v="9.51"/>
    <n v="57.06"/>
    <x v="3"/>
    <x v="1"/>
    <x v="1"/>
    <s v="Morna Hansed"/>
  </r>
  <r>
    <s v="MIF-17920-768"/>
    <x v="391"/>
    <s v="68946-40750-LK"/>
    <s v="R-L-0.2"/>
    <n v="6"/>
    <x v="451"/>
    <s v="mhanseddh@instagram.com"/>
    <x v="1"/>
    <s v="Rob"/>
    <s v="L"/>
    <x v="3"/>
    <n v="3.5849999999999995"/>
    <n v="21.509999999999998"/>
    <x v="0"/>
    <x v="1"/>
    <x v="0"/>
    <s v="Franny Kienlein"/>
  </r>
  <r>
    <s v="CPX-19312-088"/>
    <x v="117"/>
    <s v="38387-64959-WW"/>
    <s v="L-M-0.5"/>
    <n v="6"/>
    <x v="452"/>
    <s v="fkienleindi@trellian.com"/>
    <x v="1"/>
    <s v="Lib"/>
    <s v="M"/>
    <x v="1"/>
    <n v="8.73"/>
    <n v="52.38"/>
    <x v="3"/>
    <x v="0"/>
    <x v="0"/>
    <s v="Klarika Egglestone"/>
  </r>
  <r>
    <s v="RXI-67978-260"/>
    <x v="392"/>
    <s v="48418-60841-CC"/>
    <s v="E-D-1"/>
    <n v="6"/>
    <x v="453"/>
    <s v="kegglestonedj@sphinn.com"/>
    <x v="1"/>
    <s v="Exc"/>
    <s v="D"/>
    <x v="0"/>
    <n v="12.15"/>
    <n v="72.900000000000006"/>
    <x v="1"/>
    <x v="2"/>
    <x v="1"/>
    <s v="Becky Semkins"/>
  </r>
  <r>
    <s v="LKE-14821-285"/>
    <x v="393"/>
    <s v="13736-92418-JS"/>
    <s v="R-M-0.2"/>
    <n v="5"/>
    <x v="454"/>
    <s v="bsemkinsdk@unc.edu"/>
    <x v="1"/>
    <s v="Rob"/>
    <s v="M"/>
    <x v="3"/>
    <n v="2.9849999999999999"/>
    <n v="14.924999999999999"/>
    <x v="0"/>
    <x v="0"/>
    <x v="0"/>
    <s v="Sean Lorenzetti"/>
  </r>
  <r>
    <s v="LRK-97117-150"/>
    <x v="394"/>
    <s v="33000-22405-LO"/>
    <s v="L-L-1"/>
    <n v="6"/>
    <x v="455"/>
    <s v="slorenzettidl@is.gd"/>
    <x v="0"/>
    <s v="Lib"/>
    <s v="L"/>
    <x v="0"/>
    <n v="15.85"/>
    <n v="95.1"/>
    <x v="3"/>
    <x v="1"/>
    <x v="1"/>
    <s v="Bob Giannazzi"/>
  </r>
  <r>
    <s v="IGK-51227-573"/>
    <x v="137"/>
    <s v="46959-60474-LT"/>
    <s v="L-D-0.5"/>
    <n v="2"/>
    <x v="456"/>
    <s v="bgiannazzidm@apple.com"/>
    <x v="0"/>
    <s v="Lib"/>
    <s v="D"/>
    <x v="1"/>
    <n v="7.77"/>
    <n v="15.54"/>
    <x v="3"/>
    <x v="2"/>
    <x v="1"/>
    <s v="Kendra Backshell"/>
  </r>
  <r>
    <s v="ZAY-43009-775"/>
    <x v="395"/>
    <s v="73431-39823-UP"/>
    <s v="L-D-0.2"/>
    <n v="6"/>
    <x v="457"/>
    <s v=""/>
    <x v="0"/>
    <s v="Lib"/>
    <s v="D"/>
    <x v="3"/>
    <n v="3.8849999999999998"/>
    <n v="23.31"/>
    <x v="3"/>
    <x v="2"/>
    <x v="1"/>
    <s v="Uriah Lethbrig"/>
  </r>
  <r>
    <s v="EMA-63190-618"/>
    <x v="396"/>
    <s v="90993-98984-JK"/>
    <s v="E-M-0.2"/>
    <n v="1"/>
    <x v="458"/>
    <s v="ulethbrigdo@hc360.com"/>
    <x v="0"/>
    <s v="Exc"/>
    <s v="M"/>
    <x v="3"/>
    <n v="4.125"/>
    <n v="4.125"/>
    <x v="1"/>
    <x v="0"/>
    <x v="0"/>
    <s v="Sky Farnish"/>
  </r>
  <r>
    <s v="FBI-35855-418"/>
    <x v="189"/>
    <s v="06552-04430-AG"/>
    <s v="R-M-0.5"/>
    <n v="6"/>
    <x v="459"/>
    <s v="sfarnishdp@dmoz.org"/>
    <x v="2"/>
    <s v="Rob"/>
    <s v="M"/>
    <x v="1"/>
    <n v="5.97"/>
    <n v="35.82"/>
    <x v="0"/>
    <x v="0"/>
    <x v="1"/>
    <s v="Felicia Jecock"/>
  </r>
  <r>
    <s v="TXB-80533-417"/>
    <x v="8"/>
    <s v="54597-57004-QM"/>
    <s v="L-L-1"/>
    <n v="2"/>
    <x v="460"/>
    <s v="fjecockdq@unicef.org"/>
    <x v="0"/>
    <s v="Lib"/>
    <s v="L"/>
    <x v="0"/>
    <n v="15.85"/>
    <n v="31.7"/>
    <x v="3"/>
    <x v="1"/>
    <x v="1"/>
    <s v="Currey MacAllister"/>
  </r>
  <r>
    <s v="MBM-00112-248"/>
    <x v="397"/>
    <s v="50238-24377-ZS"/>
    <s v="L-L-1"/>
    <n v="5"/>
    <x v="461"/>
    <s v=""/>
    <x v="0"/>
    <s v="Lib"/>
    <s v="L"/>
    <x v="0"/>
    <n v="15.85"/>
    <n v="79.25"/>
    <x v="3"/>
    <x v="1"/>
    <x v="0"/>
    <s v="Hamlen Pallister"/>
  </r>
  <r>
    <s v="EUO-69145-988"/>
    <x v="398"/>
    <s v="60370-41934-IF"/>
    <s v="E-D-0.2"/>
    <n v="3"/>
    <x v="462"/>
    <s v="hpallisterds@ning.com"/>
    <x v="0"/>
    <s v="Exc"/>
    <s v="D"/>
    <x v="3"/>
    <n v="3.645"/>
    <n v="10.935"/>
    <x v="1"/>
    <x v="2"/>
    <x v="1"/>
    <s v="Chantal Mersh"/>
  </r>
  <r>
    <s v="GYA-80327-368"/>
    <x v="399"/>
    <s v="06899-54551-EH"/>
    <s v="A-D-1"/>
    <n v="4"/>
    <x v="463"/>
    <s v="cmershdt@drupal.org"/>
    <x v="1"/>
    <s v="Ara"/>
    <s v="D"/>
    <x v="0"/>
    <n v="9.9499999999999993"/>
    <n v="39.799999999999997"/>
    <x v="2"/>
    <x v="2"/>
    <x v="1"/>
    <s v="Marja Urion"/>
  </r>
  <r>
    <s v="TNW-41601-420"/>
    <x v="400"/>
    <s v="66458-91190-YC"/>
    <s v="R-M-1"/>
    <n v="5"/>
    <x v="464"/>
    <s v="murione5@alexa.com"/>
    <x v="1"/>
    <s v="Rob"/>
    <s v="M"/>
    <x v="0"/>
    <n v="9.9499999999999993"/>
    <n v="49.75"/>
    <x v="0"/>
    <x v="0"/>
    <x v="0"/>
    <s v="Malynda Purbrick"/>
  </r>
  <r>
    <s v="ALR-62963-723"/>
    <x v="401"/>
    <s v="80463-43913-WZ"/>
    <s v="R-D-0.2"/>
    <n v="3"/>
    <x v="465"/>
    <s v=""/>
    <x v="1"/>
    <s v="Rob"/>
    <s v="D"/>
    <x v="3"/>
    <n v="2.6849999999999996"/>
    <n v="8.0549999999999997"/>
    <x v="0"/>
    <x v="2"/>
    <x v="0"/>
    <s v="Alf Housaman"/>
  </r>
  <r>
    <s v="JIG-27636-870"/>
    <x v="402"/>
    <s v="67204-04870-LG"/>
    <s v="R-L-1"/>
    <n v="4"/>
    <x v="466"/>
    <s v=""/>
    <x v="0"/>
    <s v="Rob"/>
    <s v="L"/>
    <x v="0"/>
    <n v="11.95"/>
    <n v="47.8"/>
    <x v="0"/>
    <x v="1"/>
    <x v="1"/>
    <s v="Gladi Ducker"/>
  </r>
  <r>
    <s v="CTE-31437-326"/>
    <x v="6"/>
    <s v="22721-63196-UJ"/>
    <s v="R-M-0.2"/>
    <n v="4"/>
    <x v="467"/>
    <s v="gduckerdx@patch.com"/>
    <x v="2"/>
    <s v="Rob"/>
    <s v="M"/>
    <x v="3"/>
    <n v="2.9849999999999999"/>
    <n v="11.94"/>
    <x v="0"/>
    <x v="0"/>
    <x v="1"/>
    <s v="Gladi Ducker"/>
  </r>
  <r>
    <s v="CTE-31437-326"/>
    <x v="6"/>
    <s v="22721-63196-UJ"/>
    <s v="E-M-0.2"/>
    <n v="4"/>
    <x v="467"/>
    <s v="gduckerdx@patch.com"/>
    <x v="2"/>
    <s v="Exc"/>
    <s v="M"/>
    <x v="3"/>
    <n v="4.125"/>
    <n v="16.5"/>
    <x v="1"/>
    <x v="0"/>
    <x v="1"/>
    <s v="Gladi Ducker"/>
  </r>
  <r>
    <s v="CTE-31437-326"/>
    <x v="6"/>
    <s v="22721-63196-UJ"/>
    <s v="L-D-1"/>
    <n v="4"/>
    <x v="467"/>
    <e v="#N/A"/>
    <x v="1"/>
    <s v="Lib"/>
    <s v="D"/>
    <x v="0"/>
    <n v="12.95"/>
    <n v="51.8"/>
    <x v="3"/>
    <x v="2"/>
    <x v="1"/>
    <s v="Gladi Ducker"/>
  </r>
  <r>
    <s v="CTE-31437-326"/>
    <x v="6"/>
    <s v="22721-63196-UJ"/>
    <s v="L-L-0.2"/>
    <n v="3"/>
    <x v="467"/>
    <e v="#N/A"/>
    <x v="1"/>
    <s v="Lib"/>
    <s v="L"/>
    <x v="3"/>
    <n v="4.7549999999999999"/>
    <n v="14.265000000000001"/>
    <x v="3"/>
    <x v="1"/>
    <x v="1"/>
    <s v="Wain Stearley"/>
  </r>
  <r>
    <s v="SLD-63003-334"/>
    <x v="403"/>
    <s v="55515-37571-RS"/>
    <s v="L-M-0.2"/>
    <n v="6"/>
    <x v="468"/>
    <s v="wstearleye1@census.gov"/>
    <x v="0"/>
    <s v="Lib"/>
    <s v="M"/>
    <x v="3"/>
    <n v="4.3650000000000002"/>
    <n v="26.19"/>
    <x v="3"/>
    <x v="0"/>
    <x v="1"/>
    <s v="Diane-marie Wincer"/>
  </r>
  <r>
    <s v="BXN-64230-789"/>
    <x v="404"/>
    <s v="25598-77476-CB"/>
    <s v="A-L-1"/>
    <n v="2"/>
    <x v="469"/>
    <s v="dwincere2@marriott.com"/>
    <x v="0"/>
    <s v="Ara"/>
    <s v="L"/>
    <x v="0"/>
    <n v="12.95"/>
    <n v="25.9"/>
    <x v="2"/>
    <x v="1"/>
    <x v="0"/>
    <s v="Perry Lyfield"/>
  </r>
  <r>
    <s v="XEE-37895-169"/>
    <x v="21"/>
    <s v="14888-85625-TM"/>
    <s v="A-L-2.5"/>
    <n v="3"/>
    <x v="470"/>
    <s v="plyfielde3@baidu.com"/>
    <x v="0"/>
    <s v="Ara"/>
    <s v="L"/>
    <x v="2"/>
    <n v="29.784999999999997"/>
    <n v="89.35499999999999"/>
    <x v="2"/>
    <x v="1"/>
    <x v="0"/>
    <s v="Heall Perris"/>
  </r>
  <r>
    <s v="ZTX-80764-911"/>
    <x v="239"/>
    <s v="92793-68332-NR"/>
    <s v="L-D-0.5"/>
    <n v="6"/>
    <x v="471"/>
    <s v="hperrise4@studiopress.com"/>
    <x v="1"/>
    <s v="Lib"/>
    <s v="D"/>
    <x v="1"/>
    <n v="7.77"/>
    <n v="46.62"/>
    <x v="3"/>
    <x v="2"/>
    <x v="1"/>
    <s v="Marja Urion"/>
  </r>
  <r>
    <s v="WVT-88135-549"/>
    <x v="405"/>
    <s v="66458-91190-YC"/>
    <s v="A-D-1"/>
    <n v="3"/>
    <x v="464"/>
    <s v="murione5@alexa.com"/>
    <x v="1"/>
    <s v="Ara"/>
    <s v="D"/>
    <x v="0"/>
    <n v="9.9499999999999993"/>
    <n v="29.849999999999998"/>
    <x v="2"/>
    <x v="2"/>
    <x v="0"/>
    <s v="Camellia Kid"/>
  </r>
  <r>
    <s v="IPA-94170-889"/>
    <x v="292"/>
    <s v="64439-27325-LG"/>
    <s v="R-L-0.2"/>
    <n v="3"/>
    <x v="472"/>
    <s v="ckide6@narod.ru"/>
    <x v="1"/>
    <s v="Rob"/>
    <s v="L"/>
    <x v="3"/>
    <n v="3.5849999999999995"/>
    <n v="10.754999999999999"/>
    <x v="0"/>
    <x v="1"/>
    <x v="0"/>
    <s v="Carolann Beine"/>
  </r>
  <r>
    <s v="YQL-63755-365"/>
    <x v="117"/>
    <s v="78570-76770-LB"/>
    <s v="A-M-0.2"/>
    <n v="4"/>
    <x v="473"/>
    <s v="cbeinee7@xinhuanet.com"/>
    <x v="0"/>
    <s v="Ara"/>
    <s v="M"/>
    <x v="3"/>
    <n v="3.375"/>
    <n v="13.5"/>
    <x v="2"/>
    <x v="0"/>
    <x v="0"/>
    <s v="Celia Bakeup"/>
  </r>
  <r>
    <s v="RKW-81145-984"/>
    <x v="406"/>
    <s v="98661-69719-VI"/>
    <s v="L-L-1"/>
    <n v="3"/>
    <x v="474"/>
    <s v="cbakeupe8@globo.com"/>
    <x v="0"/>
    <s v="Lib"/>
    <s v="L"/>
    <x v="0"/>
    <n v="15.85"/>
    <n v="47.55"/>
    <x v="3"/>
    <x v="1"/>
    <x v="1"/>
    <s v="Nataniel Helkin"/>
  </r>
  <r>
    <s v="MBT-23379-866"/>
    <x v="407"/>
    <s v="82990-92703-IX"/>
    <s v="L-L-1"/>
    <n v="5"/>
    <x v="475"/>
    <s v="nhelkine9@example.com"/>
    <x v="0"/>
    <s v="Lib"/>
    <s v="L"/>
    <x v="0"/>
    <n v="15.85"/>
    <n v="79.25"/>
    <x v="3"/>
    <x v="1"/>
    <x v="1"/>
    <s v="Pippo Witherington"/>
  </r>
  <r>
    <s v="GEJ-39834-935"/>
    <x v="408"/>
    <s v="49412-86877-VY"/>
    <s v="L-M-0.2"/>
    <n v="6"/>
    <x v="476"/>
    <s v="pwitheringtonea@networkadvertising.org"/>
    <x v="0"/>
    <s v="Lib"/>
    <s v="M"/>
    <x v="3"/>
    <n v="4.3650000000000002"/>
    <n v="26.19"/>
    <x v="3"/>
    <x v="0"/>
    <x v="0"/>
    <s v="Tildie Tilzey"/>
  </r>
  <r>
    <s v="KRW-91640-596"/>
    <x v="409"/>
    <s v="70879-00984-FJ"/>
    <s v="R-L-0.5"/>
    <n v="3"/>
    <x v="477"/>
    <s v="ttilzeyeb@hostgator.com"/>
    <x v="0"/>
    <s v="Rob"/>
    <s v="L"/>
    <x v="1"/>
    <n v="7.169999999999999"/>
    <n v="21.509999999999998"/>
    <x v="0"/>
    <x v="1"/>
    <x v="1"/>
    <s v="Cindra Burling"/>
  </r>
  <r>
    <s v="AOT-70449-651"/>
    <x v="410"/>
    <s v="53414-73391-CR"/>
    <s v="R-D-2.5"/>
    <n v="5"/>
    <x v="478"/>
    <s v=""/>
    <x v="0"/>
    <s v="Rob"/>
    <s v="D"/>
    <x v="2"/>
    <n v="20.584999999999997"/>
    <n v="102.92499999999998"/>
    <x v="0"/>
    <x v="2"/>
    <x v="0"/>
    <s v="Channa Belamy"/>
  </r>
  <r>
    <s v="DGC-21813-731"/>
    <x v="127"/>
    <s v="43606-83072-OA"/>
    <s v="L-D-0.2"/>
    <n v="2"/>
    <x v="479"/>
    <s v=""/>
    <x v="0"/>
    <s v="Lib"/>
    <s v="D"/>
    <x v="3"/>
    <n v="3.8849999999999998"/>
    <n v="7.77"/>
    <x v="3"/>
    <x v="2"/>
    <x v="1"/>
    <s v="Karl Imorts"/>
  </r>
  <r>
    <s v="JBE-92943-643"/>
    <x v="411"/>
    <s v="84466-22864-CE"/>
    <s v="E-D-2.5"/>
    <n v="5"/>
    <x v="480"/>
    <s v="kimortsee@alexa.com"/>
    <x v="0"/>
    <s v="Exc"/>
    <s v="D"/>
    <x v="2"/>
    <n v="27.945"/>
    <n v="139.72499999999999"/>
    <x v="1"/>
    <x v="2"/>
    <x v="1"/>
    <s v="Marja Urion"/>
  </r>
  <r>
    <s v="ZIL-34948-499"/>
    <x v="112"/>
    <s v="66458-91190-YC"/>
    <s v="A-D-0.5"/>
    <n v="2"/>
    <x v="464"/>
    <e v="#N/A"/>
    <x v="1"/>
    <s v="Ara"/>
    <s v="D"/>
    <x v="1"/>
    <n v="5.97"/>
    <n v="11.94"/>
    <x v="2"/>
    <x v="2"/>
    <x v="0"/>
    <s v="Mag Armistead"/>
  </r>
  <r>
    <s v="JSU-23781-256"/>
    <x v="412"/>
    <s v="76499-89100-JQ"/>
    <s v="L-D-0.2"/>
    <n v="1"/>
    <x v="481"/>
    <s v="marmisteadeg@blogtalkradio.com"/>
    <x v="0"/>
    <s v="Lib"/>
    <s v="D"/>
    <x v="3"/>
    <n v="3.8849999999999998"/>
    <n v="3.8849999999999998"/>
    <x v="3"/>
    <x v="2"/>
    <x v="1"/>
    <s v="Mag Armistead"/>
  </r>
  <r>
    <s v="JSU-23781-256"/>
    <x v="412"/>
    <s v="76499-89100-JQ"/>
    <s v="R-M-1"/>
    <n v="4"/>
    <x v="481"/>
    <s v="marmisteadeg@blogtalkradio.com"/>
    <x v="0"/>
    <s v="Rob"/>
    <s v="M"/>
    <x v="0"/>
    <n v="9.9499999999999993"/>
    <n v="39.799999999999997"/>
    <x v="0"/>
    <x v="0"/>
    <x v="1"/>
    <s v="Vasili Upstone"/>
  </r>
  <r>
    <s v="VPX-44956-367"/>
    <x v="413"/>
    <s v="39582-35773-ZJ"/>
    <s v="R-M-0.5"/>
    <n v="5"/>
    <x v="482"/>
    <s v="vupstoneei@google.pl"/>
    <x v="0"/>
    <s v="Rob"/>
    <s v="M"/>
    <x v="1"/>
    <n v="5.97"/>
    <n v="29.849999999999998"/>
    <x v="0"/>
    <x v="0"/>
    <x v="1"/>
    <s v="Berty Beelby"/>
  </r>
  <r>
    <s v="VTB-46451-959"/>
    <x v="414"/>
    <s v="66240-46962-IO"/>
    <s v="L-D-2.5"/>
    <n v="1"/>
    <x v="483"/>
    <s v="bbeelbyej@rediff.com"/>
    <x v="1"/>
    <s v="Lib"/>
    <s v="D"/>
    <x v="2"/>
    <n v="29.784999999999997"/>
    <n v="29.784999999999997"/>
    <x v="3"/>
    <x v="2"/>
    <x v="1"/>
    <s v="Erny Stenyng"/>
  </r>
  <r>
    <s v="DNZ-11665-950"/>
    <x v="415"/>
    <s v="10637-45522-ID"/>
    <s v="L-L-2.5"/>
    <n v="2"/>
    <x v="484"/>
    <s v=""/>
    <x v="0"/>
    <s v="Lib"/>
    <s v="L"/>
    <x v="2"/>
    <n v="36.454999999999998"/>
    <n v="72.91"/>
    <x v="3"/>
    <x v="1"/>
    <x v="1"/>
    <s v="Edin Yantsurev"/>
  </r>
  <r>
    <s v="ITR-54735-364"/>
    <x v="416"/>
    <s v="92599-58687-CS"/>
    <s v="R-D-0.2"/>
    <n v="5"/>
    <x v="485"/>
    <s v=""/>
    <x v="0"/>
    <s v="Rob"/>
    <s v="D"/>
    <x v="3"/>
    <n v="2.6849999999999996"/>
    <n v="13.424999999999997"/>
    <x v="0"/>
    <x v="2"/>
    <x v="0"/>
    <s v="Webb Speechly"/>
  </r>
  <r>
    <s v="YDS-02797-307"/>
    <x v="417"/>
    <s v="06058-48844-PI"/>
    <s v="E-M-2.5"/>
    <n v="4"/>
    <x v="486"/>
    <s v="wspeechlyem@amazon.com"/>
    <x v="0"/>
    <s v="Exc"/>
    <s v="M"/>
    <x v="2"/>
    <n v="31.624999999999996"/>
    <n v="126.49999999999999"/>
    <x v="1"/>
    <x v="0"/>
    <x v="0"/>
    <s v="Irvine Phillpot"/>
  </r>
  <r>
    <s v="BPG-68988-842"/>
    <x v="418"/>
    <s v="53631-24432-SY"/>
    <s v="E-M-0.5"/>
    <n v="5"/>
    <x v="487"/>
    <s v="iphillpoten@buzzfeed.com"/>
    <x v="2"/>
    <s v="Exc"/>
    <s v="M"/>
    <x v="1"/>
    <n v="8.25"/>
    <n v="41.25"/>
    <x v="1"/>
    <x v="0"/>
    <x v="1"/>
    <s v="Lem Pennacci"/>
  </r>
  <r>
    <s v="XZG-51938-658"/>
    <x v="419"/>
    <s v="18275-73980-KL"/>
    <s v="E-L-0.5"/>
    <n v="6"/>
    <x v="488"/>
    <s v="lpennaccieo@statcounter.com"/>
    <x v="0"/>
    <s v="Exc"/>
    <s v="L"/>
    <x v="1"/>
    <n v="8.91"/>
    <n v="53.46"/>
    <x v="1"/>
    <x v="1"/>
    <x v="1"/>
    <s v="Starr Arpin"/>
  </r>
  <r>
    <s v="KAR-24978-271"/>
    <x v="420"/>
    <s v="23187-65750-HZ"/>
    <s v="R-M-1"/>
    <n v="6"/>
    <x v="489"/>
    <s v="sarpinep@moonfruit.com"/>
    <x v="0"/>
    <s v="Rob"/>
    <s v="M"/>
    <x v="0"/>
    <n v="9.9499999999999993"/>
    <n v="59.699999999999996"/>
    <x v="0"/>
    <x v="0"/>
    <x v="1"/>
    <s v="Donny Fries"/>
  </r>
  <r>
    <s v="FQK-28730-361"/>
    <x v="421"/>
    <s v="22725-79522-GP"/>
    <s v="R-M-1"/>
    <n v="6"/>
    <x v="490"/>
    <s v="dfrieseq@cargocollective.com"/>
    <x v="0"/>
    <s v="Rob"/>
    <s v="M"/>
    <x v="0"/>
    <n v="9.9499999999999993"/>
    <n v="59.699999999999996"/>
    <x v="0"/>
    <x v="0"/>
    <x v="1"/>
    <s v="Rana Sharer"/>
  </r>
  <r>
    <s v="BGB-67996-089"/>
    <x v="422"/>
    <s v="06279-72603-JE"/>
    <s v="R-D-1"/>
    <n v="5"/>
    <x v="491"/>
    <s v="rsharerer@flavors.me"/>
    <x v="0"/>
    <s v="Rob"/>
    <s v="D"/>
    <x v="0"/>
    <n v="8.9499999999999993"/>
    <n v="44.75"/>
    <x v="0"/>
    <x v="2"/>
    <x v="1"/>
    <s v="Nannie Naseby"/>
  </r>
  <r>
    <s v="XMC-20620-809"/>
    <x v="423"/>
    <s v="83543-79246-ON"/>
    <s v="E-M-0.5"/>
    <n v="2"/>
    <x v="492"/>
    <s v="nnasebyes@umich.edu"/>
    <x v="0"/>
    <s v="Exc"/>
    <s v="M"/>
    <x v="1"/>
    <n v="8.25"/>
    <n v="16.5"/>
    <x v="1"/>
    <x v="0"/>
    <x v="0"/>
    <s v="Rea Offell"/>
  </r>
  <r>
    <s v="ZSO-58292-191"/>
    <x v="109"/>
    <s v="66794-66795-VW"/>
    <s v="R-D-0.5"/>
    <n v="4"/>
    <x v="493"/>
    <s v=""/>
    <x v="0"/>
    <s v="Rob"/>
    <s v="D"/>
    <x v="1"/>
    <n v="5.3699999999999992"/>
    <n v="21.479999999999997"/>
    <x v="0"/>
    <x v="2"/>
    <x v="1"/>
    <s v="Kris O'Cullen"/>
  </r>
  <r>
    <s v="LWJ-06793-303"/>
    <x v="204"/>
    <s v="95424-67020-AP"/>
    <s v="R-M-2.5"/>
    <n v="2"/>
    <x v="494"/>
    <s v="koculleneu@ca.gov"/>
    <x v="1"/>
    <s v="Rob"/>
    <s v="M"/>
    <x v="2"/>
    <n v="22.884999999999998"/>
    <n v="45.769999999999996"/>
    <x v="0"/>
    <x v="0"/>
    <x v="0"/>
    <s v="Timoteo Glisane"/>
  </r>
  <r>
    <s v="FLM-82229-989"/>
    <x v="424"/>
    <s v="73017-69644-MS"/>
    <s v="L-L-0.2"/>
    <n v="2"/>
    <x v="495"/>
    <s v=""/>
    <x v="1"/>
    <s v="Lib"/>
    <s v="L"/>
    <x v="3"/>
    <n v="4.7549999999999999"/>
    <n v="9.51"/>
    <x v="3"/>
    <x v="1"/>
    <x v="1"/>
    <s v="Marja Urion"/>
  </r>
  <r>
    <s v="CPV-90280-133"/>
    <x v="13"/>
    <s v="66458-91190-YC"/>
    <s v="R-D-0.2"/>
    <n v="3"/>
    <x v="464"/>
    <e v="#N/A"/>
    <x v="1"/>
    <s v="Rob"/>
    <s v="D"/>
    <x v="3"/>
    <n v="2.6849999999999996"/>
    <n v="8.0549999999999997"/>
    <x v="0"/>
    <x v="2"/>
    <x v="0"/>
    <s v="Hildegarde Brangan"/>
  </r>
  <r>
    <s v="OGW-60685-912"/>
    <x v="224"/>
    <s v="67423-10113-LM"/>
    <s v="E-D-2.5"/>
    <n v="4"/>
    <x v="496"/>
    <s v="hbranganex@woothemes.com"/>
    <x v="0"/>
    <s v="Exc"/>
    <s v="D"/>
    <x v="2"/>
    <n v="27.945"/>
    <n v="111.78"/>
    <x v="1"/>
    <x v="2"/>
    <x v="0"/>
    <s v="Amii Gallyon"/>
  </r>
  <r>
    <s v="DEC-11160-362"/>
    <x v="220"/>
    <s v="48582-05061-RY"/>
    <s v="R-D-0.2"/>
    <n v="4"/>
    <x v="497"/>
    <s v="agallyoney@engadget.com"/>
    <x v="0"/>
    <s v="Rob"/>
    <s v="D"/>
    <x v="3"/>
    <n v="2.6849999999999996"/>
    <n v="10.739999999999998"/>
    <x v="0"/>
    <x v="2"/>
    <x v="0"/>
    <s v="Birgit Domange"/>
  </r>
  <r>
    <s v="WCT-07869-499"/>
    <x v="91"/>
    <s v="32031-49093-KE"/>
    <s v="R-D-0.5"/>
    <n v="5"/>
    <x v="498"/>
    <s v="bdomangeez@yahoo.co.jp"/>
    <x v="0"/>
    <s v="Rob"/>
    <s v="D"/>
    <x v="1"/>
    <n v="5.3699999999999992"/>
    <n v="26.849999999999994"/>
    <x v="0"/>
    <x v="2"/>
    <x v="1"/>
    <s v="Killian Osler"/>
  </r>
  <r>
    <s v="FHD-89872-325"/>
    <x v="425"/>
    <s v="31715-98714-OO"/>
    <s v="L-L-1"/>
    <n v="4"/>
    <x v="499"/>
    <s v="koslerf0@gmpg.org"/>
    <x v="0"/>
    <s v="Lib"/>
    <s v="L"/>
    <x v="0"/>
    <n v="15.85"/>
    <n v="63.4"/>
    <x v="3"/>
    <x v="1"/>
    <x v="0"/>
    <s v="Lora Dukes"/>
  </r>
  <r>
    <s v="AZF-45991-584"/>
    <x v="426"/>
    <s v="73759-17258-KA"/>
    <s v="A-D-2.5"/>
    <n v="1"/>
    <x v="500"/>
    <s v=""/>
    <x v="1"/>
    <s v="Ara"/>
    <s v="D"/>
    <x v="2"/>
    <n v="22.884999999999998"/>
    <n v="22.884999999999998"/>
    <x v="2"/>
    <x v="2"/>
    <x v="0"/>
    <s v="Zack Pellett"/>
  </r>
  <r>
    <s v="MDG-14481-513"/>
    <x v="427"/>
    <s v="64897-79178-MH"/>
    <s v="A-M-2.5"/>
    <n v="4"/>
    <x v="501"/>
    <s v="zpellettf2@dailymotion.com"/>
    <x v="0"/>
    <s v="Ara"/>
    <s v="M"/>
    <x v="2"/>
    <n v="25.874999999999996"/>
    <n v="103.49999999999999"/>
    <x v="2"/>
    <x v="0"/>
    <x v="1"/>
    <s v="Ilaire Sprakes"/>
  </r>
  <r>
    <s v="OFN-49424-848"/>
    <x v="428"/>
    <s v="73346-85564-JB"/>
    <s v="R-L-2.5"/>
    <n v="2"/>
    <x v="502"/>
    <s v="isprakesf3@spiegel.de"/>
    <x v="0"/>
    <s v="Rob"/>
    <s v="L"/>
    <x v="2"/>
    <n v="27.484999999999996"/>
    <n v="54.969999999999992"/>
    <x v="0"/>
    <x v="1"/>
    <x v="1"/>
    <s v="Heda Fromant"/>
  </r>
  <r>
    <s v="NFA-03411-746"/>
    <x v="383"/>
    <s v="07476-13102-NJ"/>
    <s v="A-L-0.5"/>
    <n v="2"/>
    <x v="503"/>
    <s v="hfromantf4@ucsd.edu"/>
    <x v="0"/>
    <s v="Ara"/>
    <s v="L"/>
    <x v="1"/>
    <n v="7.77"/>
    <n v="15.54"/>
    <x v="2"/>
    <x v="1"/>
    <x v="1"/>
    <s v="Rufus Flear"/>
  </r>
  <r>
    <s v="CYM-74988-450"/>
    <x v="156"/>
    <s v="87223-37422-SK"/>
    <s v="L-D-0.2"/>
    <n v="4"/>
    <x v="504"/>
    <s v="rflearf5@artisteer.com"/>
    <x v="2"/>
    <s v="Lib"/>
    <s v="D"/>
    <x v="3"/>
    <n v="3.8849999999999998"/>
    <n v="15.54"/>
    <x v="3"/>
    <x v="2"/>
    <x v="1"/>
    <s v="Dom Milella"/>
  </r>
  <r>
    <s v="WTV-24996-658"/>
    <x v="429"/>
    <s v="57837-15577-YK"/>
    <s v="E-D-2.5"/>
    <n v="3"/>
    <x v="505"/>
    <s v=""/>
    <x v="1"/>
    <s v="Exc"/>
    <s v="D"/>
    <x v="2"/>
    <n v="27.945"/>
    <n v="83.835000000000008"/>
    <x v="1"/>
    <x v="2"/>
    <x v="1"/>
    <s v="Wilek Lightollers"/>
  </r>
  <r>
    <s v="DSL-69915-544"/>
    <x v="103"/>
    <s v="10142-55267-YO"/>
    <s v="R-L-0.2"/>
    <n v="3"/>
    <x v="506"/>
    <s v="wlightollersf9@baidu.com"/>
    <x v="0"/>
    <s v="Rob"/>
    <s v="L"/>
    <x v="3"/>
    <n v="3.5849999999999995"/>
    <n v="10.754999999999999"/>
    <x v="0"/>
    <x v="1"/>
    <x v="0"/>
    <s v="Bette-ann Munden"/>
  </r>
  <r>
    <s v="NBT-35757-542"/>
    <x v="361"/>
    <s v="73647-66148-VM"/>
    <s v="E-L-0.2"/>
    <n v="3"/>
    <x v="507"/>
    <s v="bmundenf8@elpais.com"/>
    <x v="0"/>
    <s v="Exc"/>
    <s v="L"/>
    <x v="3"/>
    <n v="4.4550000000000001"/>
    <n v="13.365"/>
    <x v="1"/>
    <x v="1"/>
    <x v="0"/>
    <s v="Wilek Lightollers"/>
  </r>
  <r>
    <s v="OYU-25085-528"/>
    <x v="120"/>
    <s v="10142-55267-YO"/>
    <s v="E-L-0.2"/>
    <n v="4"/>
    <x v="506"/>
    <s v="wlightollersf9@baidu.com"/>
    <x v="0"/>
    <s v="Exc"/>
    <s v="L"/>
    <x v="3"/>
    <n v="4.4550000000000001"/>
    <n v="17.82"/>
    <x v="1"/>
    <x v="1"/>
    <x v="0"/>
    <s v="Nick Brakespear"/>
  </r>
  <r>
    <s v="XCG-07109-195"/>
    <x v="430"/>
    <s v="92976-19453-DT"/>
    <s v="L-D-0.2"/>
    <n v="6"/>
    <x v="508"/>
    <s v="nbrakespearfa@rediff.com"/>
    <x v="0"/>
    <s v="Lib"/>
    <s v="D"/>
    <x v="3"/>
    <n v="3.8849999999999998"/>
    <n v="23.31"/>
    <x v="3"/>
    <x v="2"/>
    <x v="0"/>
    <s v="Malynda Glawsop"/>
  </r>
  <r>
    <s v="YZA-25234-630"/>
    <x v="125"/>
    <s v="89757-51438-HX"/>
    <s v="E-D-0.2"/>
    <n v="2"/>
    <x v="509"/>
    <s v="mglawsopfb@reverbnation.com"/>
    <x v="0"/>
    <s v="Exc"/>
    <s v="D"/>
    <x v="3"/>
    <n v="3.645"/>
    <n v="7.29"/>
    <x v="1"/>
    <x v="2"/>
    <x v="1"/>
    <s v="Granville Alberts"/>
  </r>
  <r>
    <s v="OKU-29966-417"/>
    <x v="431"/>
    <s v="76192-13390-HZ"/>
    <s v="E-L-0.2"/>
    <n v="4"/>
    <x v="510"/>
    <s v="galbertsfc@etsy.com"/>
    <x v="2"/>
    <s v="Exc"/>
    <s v="L"/>
    <x v="3"/>
    <n v="4.4550000000000001"/>
    <n v="17.82"/>
    <x v="1"/>
    <x v="1"/>
    <x v="0"/>
    <s v="Vasily Polglase"/>
  </r>
  <r>
    <s v="MEX-29350-659"/>
    <x v="40"/>
    <s v="02009-87294-SY"/>
    <s v="E-M-1"/>
    <n v="5"/>
    <x v="511"/>
    <s v="vpolglasefd@about.me"/>
    <x v="0"/>
    <s v="Exc"/>
    <s v="M"/>
    <x v="0"/>
    <n v="13.75"/>
    <n v="68.75"/>
    <x v="1"/>
    <x v="0"/>
    <x v="1"/>
    <s v="Madelaine Sharples"/>
  </r>
  <r>
    <s v="NOY-99738-977"/>
    <x v="432"/>
    <s v="82872-34456-LJ"/>
    <s v="R-L-2.5"/>
    <n v="2"/>
    <x v="512"/>
    <s v=""/>
    <x v="2"/>
    <s v="Rob"/>
    <s v="L"/>
    <x v="2"/>
    <n v="27.484999999999996"/>
    <n v="54.969999999999992"/>
    <x v="0"/>
    <x v="1"/>
    <x v="0"/>
    <s v="Sigfrid Busch"/>
  </r>
  <r>
    <s v="TCR-01064-030"/>
    <x v="254"/>
    <s v="13181-04387-LI"/>
    <s v="E-M-1"/>
    <n v="6"/>
    <x v="513"/>
    <s v="sbuschff@so-net.ne.jp"/>
    <x v="1"/>
    <s v="Exc"/>
    <s v="M"/>
    <x v="0"/>
    <n v="13.75"/>
    <n v="82.5"/>
    <x v="1"/>
    <x v="0"/>
    <x v="1"/>
    <s v="Cissiee Raisbeck"/>
  </r>
  <r>
    <s v="YUL-42750-776"/>
    <x v="219"/>
    <s v="24845-36117-TI"/>
    <s v="L-M-0.2"/>
    <n v="2"/>
    <x v="514"/>
    <s v="craisbeckfg@webnode.com"/>
    <x v="0"/>
    <s v="Lib"/>
    <s v="M"/>
    <x v="3"/>
    <n v="4.3650000000000002"/>
    <n v="8.73"/>
    <x v="3"/>
    <x v="0"/>
    <x v="0"/>
    <s v="Marja Urion"/>
  </r>
  <r>
    <s v="XQJ-86887-506"/>
    <x v="433"/>
    <s v="66458-91190-YC"/>
    <s v="E-L-1"/>
    <n v="4"/>
    <x v="464"/>
    <e v="#N/A"/>
    <x v="1"/>
    <s v="Exc"/>
    <s v="L"/>
    <x v="0"/>
    <n v="14.85"/>
    <n v="59.4"/>
    <x v="1"/>
    <x v="1"/>
    <x v="0"/>
    <s v="Kenton Wetherick"/>
  </r>
  <r>
    <s v="CUN-90044-279"/>
    <x v="434"/>
    <s v="86646-65810-TD"/>
    <s v="L-D-0.2"/>
    <n v="4"/>
    <x v="515"/>
    <s v=""/>
    <x v="0"/>
    <s v="Lib"/>
    <s v="D"/>
    <x v="3"/>
    <n v="3.8849999999999998"/>
    <n v="15.54"/>
    <x v="3"/>
    <x v="2"/>
    <x v="0"/>
    <s v="Reamonn Aynold"/>
  </r>
  <r>
    <s v="ICC-73030-502"/>
    <x v="435"/>
    <s v="59480-02795-IU"/>
    <s v="A-L-1"/>
    <n v="3"/>
    <x v="516"/>
    <s v="raynoldfj@ustream.tv"/>
    <x v="0"/>
    <s v="Ara"/>
    <s v="L"/>
    <x v="0"/>
    <n v="12.95"/>
    <n v="38.849999999999994"/>
    <x v="2"/>
    <x v="1"/>
    <x v="0"/>
    <s v="Hatty Dovydenas"/>
  </r>
  <r>
    <s v="ADP-04506-084"/>
    <x v="436"/>
    <s v="61809-87758-LJ"/>
    <s v="E-M-2.5"/>
    <n v="6"/>
    <x v="517"/>
    <s v=""/>
    <x v="0"/>
    <s v="Exc"/>
    <s v="M"/>
    <x v="2"/>
    <n v="31.624999999999996"/>
    <n v="189.74999999999997"/>
    <x v="1"/>
    <x v="0"/>
    <x v="0"/>
    <s v="Nathaniel Bloxland"/>
  </r>
  <r>
    <s v="PNU-22150-408"/>
    <x v="437"/>
    <s v="77408-43873-RS"/>
    <s v="A-D-0.2"/>
    <n v="6"/>
    <x v="518"/>
    <s v=""/>
    <x v="1"/>
    <s v="Ara"/>
    <s v="D"/>
    <x v="3"/>
    <n v="2.9849999999999999"/>
    <n v="17.91"/>
    <x v="2"/>
    <x v="2"/>
    <x v="0"/>
    <s v="Brendan Grece"/>
  </r>
  <r>
    <s v="VSQ-07182-513"/>
    <x v="438"/>
    <s v="18366-65239-WF"/>
    <s v="L-L-0.2"/>
    <n v="6"/>
    <x v="519"/>
    <s v="bgrecefm@naver.com"/>
    <x v="2"/>
    <s v="Lib"/>
    <s v="L"/>
    <x v="3"/>
    <n v="4.7549999999999999"/>
    <n v="28.53"/>
    <x v="3"/>
    <x v="1"/>
    <x v="1"/>
    <s v="Don Flintiff"/>
  </r>
  <r>
    <s v="SPF-31673-217"/>
    <x v="439"/>
    <s v="19485-98072-PS"/>
    <s v="E-M-1"/>
    <n v="6"/>
    <x v="520"/>
    <s v="dflintiffg1@e-recht24.de"/>
    <x v="2"/>
    <s v="Exc"/>
    <s v="M"/>
    <x v="0"/>
    <n v="13.75"/>
    <n v="82.5"/>
    <x v="1"/>
    <x v="0"/>
    <x v="1"/>
    <s v="Abbe Thys"/>
  </r>
  <r>
    <s v="NEX-63825-598"/>
    <x v="175"/>
    <s v="72072-33025-SD"/>
    <s v="R-L-0.5"/>
    <n v="2"/>
    <x v="521"/>
    <s v="athysfo@cdc.gov"/>
    <x v="0"/>
    <s v="Rob"/>
    <s v="L"/>
    <x v="1"/>
    <n v="7.169999999999999"/>
    <n v="14.339999999999998"/>
    <x v="0"/>
    <x v="1"/>
    <x v="1"/>
    <s v="Jackquelin Chugg"/>
  </r>
  <r>
    <s v="XPG-66112-335"/>
    <x v="440"/>
    <s v="58118-22461-GC"/>
    <s v="R-D-2.5"/>
    <n v="4"/>
    <x v="522"/>
    <s v="jchuggfp@about.me"/>
    <x v="0"/>
    <s v="Rob"/>
    <s v="D"/>
    <x v="2"/>
    <n v="20.584999999999997"/>
    <n v="82.339999999999989"/>
    <x v="0"/>
    <x v="2"/>
    <x v="1"/>
    <s v="Audra Kelston"/>
  </r>
  <r>
    <s v="NSQ-72210-345"/>
    <x v="441"/>
    <s v="90940-63327-DJ"/>
    <s v="A-M-0.2"/>
    <n v="6"/>
    <x v="523"/>
    <s v="akelstonfq@sakura.ne.jp"/>
    <x v="0"/>
    <s v="Ara"/>
    <s v="M"/>
    <x v="3"/>
    <n v="3.375"/>
    <n v="20.25"/>
    <x v="2"/>
    <x v="0"/>
    <x v="0"/>
    <s v="Elvina Angel"/>
  </r>
  <r>
    <s v="XRR-28376-277"/>
    <x v="442"/>
    <s v="64481-42546-II"/>
    <s v="R-L-2.5"/>
    <n v="6"/>
    <x v="524"/>
    <s v=""/>
    <x v="1"/>
    <s v="Rob"/>
    <s v="L"/>
    <x v="2"/>
    <n v="27.484999999999996"/>
    <n v="164.90999999999997"/>
    <x v="0"/>
    <x v="1"/>
    <x v="1"/>
    <s v="Claiborne Mottram"/>
  </r>
  <r>
    <s v="WHQ-25197-475"/>
    <x v="443"/>
    <s v="27536-28463-NJ"/>
    <s v="L-L-0.2"/>
    <n v="4"/>
    <x v="525"/>
    <s v="cmottramfs@harvard.edu"/>
    <x v="0"/>
    <s v="Lib"/>
    <s v="L"/>
    <x v="3"/>
    <n v="4.7549999999999999"/>
    <n v="19.02"/>
    <x v="3"/>
    <x v="1"/>
    <x v="0"/>
    <s v="Don Flintiff"/>
  </r>
  <r>
    <s v="HMB-30634-745"/>
    <x v="216"/>
    <s v="19485-98072-PS"/>
    <s v="A-D-2.5"/>
    <n v="6"/>
    <x v="520"/>
    <s v="dflintiffg1@e-recht24.de"/>
    <x v="2"/>
    <s v="Ara"/>
    <s v="D"/>
    <x v="2"/>
    <n v="22.884999999999998"/>
    <n v="137.31"/>
    <x v="2"/>
    <x v="2"/>
    <x v="1"/>
    <s v="Donalt Sangwin"/>
  </r>
  <r>
    <s v="XTL-68000-371"/>
    <x v="444"/>
    <s v="70140-82812-KD"/>
    <s v="A-M-0.5"/>
    <n v="4"/>
    <x v="526"/>
    <s v="dsangwinfu@weebly.com"/>
    <x v="0"/>
    <s v="Ara"/>
    <s v="M"/>
    <x v="1"/>
    <n v="6.75"/>
    <n v="27"/>
    <x v="2"/>
    <x v="0"/>
    <x v="1"/>
    <s v="Elizabet Aizikowitz"/>
  </r>
  <r>
    <s v="YES-51109-625"/>
    <x v="37"/>
    <s v="91895-55605-LS"/>
    <s v="E-L-0.5"/>
    <n v="4"/>
    <x v="527"/>
    <s v="eaizikowitzfv@virginia.edu"/>
    <x v="2"/>
    <s v="Exc"/>
    <s v="L"/>
    <x v="1"/>
    <n v="8.91"/>
    <n v="35.64"/>
    <x v="1"/>
    <x v="1"/>
    <x v="1"/>
    <s v="Herbie Peppard"/>
  </r>
  <r>
    <s v="EAY-89850-211"/>
    <x v="445"/>
    <s v="43155-71724-XP"/>
    <s v="A-D-0.2"/>
    <n v="2"/>
    <x v="528"/>
    <s v=""/>
    <x v="0"/>
    <s v="Ara"/>
    <s v="D"/>
    <x v="3"/>
    <n v="2.9849999999999999"/>
    <n v="5.97"/>
    <x v="2"/>
    <x v="2"/>
    <x v="0"/>
    <s v="Cornie Venour"/>
  </r>
  <r>
    <s v="IOQ-84840-827"/>
    <x v="446"/>
    <s v="32038-81174-JF"/>
    <s v="A-M-1"/>
    <n v="6"/>
    <x v="529"/>
    <s v="cvenourfx@ask.com"/>
    <x v="0"/>
    <s v="Ara"/>
    <s v="M"/>
    <x v="0"/>
    <n v="11.25"/>
    <n v="67.5"/>
    <x v="2"/>
    <x v="0"/>
    <x v="1"/>
    <s v="Maggy Harby"/>
  </r>
  <r>
    <s v="FBD-56220-430"/>
    <x v="245"/>
    <s v="59205-20324-NB"/>
    <s v="R-L-0.2"/>
    <n v="6"/>
    <x v="530"/>
    <s v="mharbyfy@163.com"/>
    <x v="0"/>
    <s v="Rob"/>
    <s v="L"/>
    <x v="3"/>
    <n v="3.5849999999999995"/>
    <n v="21.509999999999998"/>
    <x v="0"/>
    <x v="1"/>
    <x v="0"/>
    <s v="Reggie Thickpenny"/>
  </r>
  <r>
    <s v="COV-52659-202"/>
    <x v="447"/>
    <s v="99899-54612-NX"/>
    <s v="L-M-2.5"/>
    <n v="2"/>
    <x v="531"/>
    <s v="rthickpennyfz@cafepress.com"/>
    <x v="0"/>
    <s v="Lib"/>
    <s v="M"/>
    <x v="2"/>
    <n v="33.464999999999996"/>
    <n v="66.929999999999993"/>
    <x v="3"/>
    <x v="0"/>
    <x v="1"/>
    <s v="Phyllys Ormerod"/>
  </r>
  <r>
    <s v="YUO-76652-814"/>
    <x v="448"/>
    <s v="26248-84194-FI"/>
    <s v="A-D-0.2"/>
    <n v="6"/>
    <x v="532"/>
    <s v="pormerodg0@redcross.org"/>
    <x v="0"/>
    <s v="Ara"/>
    <s v="D"/>
    <x v="3"/>
    <n v="2.9849999999999999"/>
    <n v="17.91"/>
    <x v="2"/>
    <x v="2"/>
    <x v="1"/>
    <s v="Don Flintiff"/>
  </r>
  <r>
    <s v="PBT-36926-102"/>
    <x v="344"/>
    <s v="19485-98072-PS"/>
    <s v="L-M-1"/>
    <n v="4"/>
    <x v="520"/>
    <s v="dflintiffg1@e-recht24.de"/>
    <x v="2"/>
    <s v="Lib"/>
    <s v="M"/>
    <x v="0"/>
    <n v="14.55"/>
    <n v="58.2"/>
    <x v="3"/>
    <x v="0"/>
    <x v="1"/>
    <s v="Tymon Zanetti"/>
  </r>
  <r>
    <s v="BLV-60087-454"/>
    <x v="152"/>
    <s v="84493-71314-WX"/>
    <s v="E-L-0.2"/>
    <n v="3"/>
    <x v="533"/>
    <s v="tzanettig2@gravatar.com"/>
    <x v="1"/>
    <s v="Exc"/>
    <s v="L"/>
    <x v="3"/>
    <n v="4.4550000000000001"/>
    <n v="13.365"/>
    <x v="1"/>
    <x v="1"/>
    <x v="1"/>
    <s v="Tymon Zanetti"/>
  </r>
  <r>
    <s v="BLV-60087-454"/>
    <x v="152"/>
    <s v="84493-71314-WX"/>
    <s v="A-M-0.5"/>
    <n v="5"/>
    <x v="533"/>
    <s v="tzanettig2@gravatar.com"/>
    <x v="1"/>
    <s v="Ara"/>
    <s v="M"/>
    <x v="1"/>
    <n v="6.75"/>
    <n v="33.75"/>
    <x v="2"/>
    <x v="0"/>
    <x v="1"/>
    <s v="Reinaldos Kirtley"/>
  </r>
  <r>
    <s v="QYC-63914-195"/>
    <x v="449"/>
    <s v="39789-43945-IV"/>
    <s v="E-L-1"/>
    <n v="3"/>
    <x v="534"/>
    <s v="rkirtleyg4@hatena.ne.jp"/>
    <x v="0"/>
    <s v="Exc"/>
    <s v="L"/>
    <x v="0"/>
    <n v="14.85"/>
    <n v="44.55"/>
    <x v="1"/>
    <x v="1"/>
    <x v="0"/>
    <s v="Carney Clemencet"/>
  </r>
  <r>
    <s v="OIB-77163-890"/>
    <x v="450"/>
    <s v="38972-89678-ZM"/>
    <s v="E-L-0.5"/>
    <n v="5"/>
    <x v="535"/>
    <s v="cclemencetg5@weather.com"/>
    <x v="2"/>
    <s v="Exc"/>
    <s v="L"/>
    <x v="1"/>
    <n v="8.91"/>
    <n v="44.55"/>
    <x v="1"/>
    <x v="1"/>
    <x v="0"/>
    <s v="Russell Donet"/>
  </r>
  <r>
    <s v="SGS-87525-238"/>
    <x v="451"/>
    <s v="91465-84526-IJ"/>
    <s v="E-D-1"/>
    <n v="5"/>
    <x v="536"/>
    <s v="rdonetg6@oakley.com"/>
    <x v="0"/>
    <s v="Exc"/>
    <s v="D"/>
    <x v="0"/>
    <n v="12.15"/>
    <n v="60.75"/>
    <x v="1"/>
    <x v="2"/>
    <x v="1"/>
    <s v="Sidney Gawen"/>
  </r>
  <r>
    <s v="GQR-12490-152"/>
    <x v="83"/>
    <s v="22832-98538-RB"/>
    <s v="R-L-0.2"/>
    <n v="1"/>
    <x v="537"/>
    <s v="sgaweng7@creativecommons.org"/>
    <x v="0"/>
    <s v="Rob"/>
    <s v="L"/>
    <x v="3"/>
    <n v="3.5849999999999995"/>
    <n v="3.5849999999999995"/>
    <x v="0"/>
    <x v="1"/>
    <x v="0"/>
    <s v="Rickey Readie"/>
  </r>
  <r>
    <s v="UOJ-28238-299"/>
    <x v="452"/>
    <s v="30844-91890-ZA"/>
    <s v="R-L-0.2"/>
    <n v="6"/>
    <x v="538"/>
    <s v="rreadieg8@guardian.co.uk"/>
    <x v="0"/>
    <s v="Rob"/>
    <s v="L"/>
    <x v="3"/>
    <n v="3.5849999999999995"/>
    <n v="21.509999999999998"/>
    <x v="0"/>
    <x v="1"/>
    <x v="1"/>
    <s v="Cody Verissimo"/>
  </r>
  <r>
    <s v="ETD-58130-674"/>
    <x v="453"/>
    <s v="05325-97750-WP"/>
    <s v="E-M-0.5"/>
    <n v="2"/>
    <x v="539"/>
    <s v="cverissimogh@theglobeandmail.com"/>
    <x v="2"/>
    <s v="Exc"/>
    <s v="M"/>
    <x v="1"/>
    <n v="8.25"/>
    <n v="16.5"/>
    <x v="1"/>
    <x v="0"/>
    <x v="0"/>
    <s v="Zilvia Claisse"/>
  </r>
  <r>
    <s v="UPF-60123-025"/>
    <x v="454"/>
    <s v="88992-49081-AT"/>
    <s v="R-L-2.5"/>
    <n v="3"/>
    <x v="540"/>
    <s v=""/>
    <x v="0"/>
    <s v="Rob"/>
    <s v="L"/>
    <x v="2"/>
    <n v="27.484999999999996"/>
    <n v="82.454999999999984"/>
    <x v="0"/>
    <x v="1"/>
    <x v="1"/>
    <s v="Bar O' Mahony"/>
  </r>
  <r>
    <s v="NQS-01613-687"/>
    <x v="455"/>
    <s v="10204-31464-SA"/>
    <s v="L-D-0.5"/>
    <n v="1"/>
    <x v="541"/>
    <s v="bogb@elpais.com"/>
    <x v="0"/>
    <s v="Lib"/>
    <s v="D"/>
    <x v="1"/>
    <n v="7.77"/>
    <n v="7.77"/>
    <x v="3"/>
    <x v="2"/>
    <x v="0"/>
    <s v="Valenka Stansbury"/>
  </r>
  <r>
    <s v="MGH-36050-573"/>
    <x v="456"/>
    <s v="75156-80911-YT"/>
    <s v="R-M-0.5"/>
    <n v="2"/>
    <x v="542"/>
    <s v="vstansburygc@unblog.fr"/>
    <x v="0"/>
    <s v="Rob"/>
    <s v="M"/>
    <x v="1"/>
    <n v="5.97"/>
    <n v="11.94"/>
    <x v="0"/>
    <x v="0"/>
    <x v="0"/>
    <s v="Daniel Heinonen"/>
  </r>
  <r>
    <s v="UVF-59322-459"/>
    <x v="373"/>
    <s v="53971-49906-PZ"/>
    <s v="E-L-2.5"/>
    <n v="6"/>
    <x v="543"/>
    <s v="dheinonengd@printfriendly.com"/>
    <x v="0"/>
    <s v="Exc"/>
    <s v="L"/>
    <x v="2"/>
    <n v="34.154999999999994"/>
    <n v="204.92999999999995"/>
    <x v="1"/>
    <x v="1"/>
    <x v="1"/>
    <s v="Jewelle Shenton"/>
  </r>
  <r>
    <s v="VET-41158-896"/>
    <x v="457"/>
    <s v="10728-17633-ST"/>
    <s v="E-M-2.5"/>
    <n v="2"/>
    <x v="544"/>
    <s v="jshentonge@google.com.hk"/>
    <x v="0"/>
    <s v="Exc"/>
    <s v="M"/>
    <x v="2"/>
    <n v="31.624999999999996"/>
    <n v="63.249999999999993"/>
    <x v="1"/>
    <x v="0"/>
    <x v="0"/>
    <s v="Jennifer Wilkisson"/>
  </r>
  <r>
    <s v="XYL-52196-459"/>
    <x v="458"/>
    <s v="13549-65017-VE"/>
    <s v="R-D-0.2"/>
    <n v="3"/>
    <x v="545"/>
    <s v="jwilkissongf@nba.com"/>
    <x v="0"/>
    <s v="Rob"/>
    <s v="D"/>
    <x v="3"/>
    <n v="2.6849999999999996"/>
    <n v="8.0549999999999997"/>
    <x v="0"/>
    <x v="2"/>
    <x v="0"/>
    <s v="Kylie Mowat"/>
  </r>
  <r>
    <s v="BPZ-51283-916"/>
    <x v="264"/>
    <s v="87688-42420-TO"/>
    <s v="A-M-2.5"/>
    <n v="2"/>
    <x v="546"/>
    <s v=""/>
    <x v="0"/>
    <s v="Ara"/>
    <s v="M"/>
    <x v="2"/>
    <n v="25.874999999999996"/>
    <n v="51.749999999999993"/>
    <x v="2"/>
    <x v="0"/>
    <x v="1"/>
    <s v="Cody Verissimo"/>
  </r>
  <r>
    <s v="VQW-91903-926"/>
    <x v="459"/>
    <s v="05325-97750-WP"/>
    <s v="E-D-2.5"/>
    <n v="1"/>
    <x v="539"/>
    <s v="cverissimogh@theglobeandmail.com"/>
    <x v="2"/>
    <s v="Exc"/>
    <s v="D"/>
    <x v="2"/>
    <n v="27.945"/>
    <n v="27.945"/>
    <x v="1"/>
    <x v="2"/>
    <x v="0"/>
    <s v="Gabriel Starcks"/>
  </r>
  <r>
    <s v="OLF-77983-457"/>
    <x v="460"/>
    <s v="51901-35210-UI"/>
    <s v="A-L-2.5"/>
    <n v="2"/>
    <x v="547"/>
    <s v="gstarcksgi@abc.net.au"/>
    <x v="0"/>
    <s v="Ara"/>
    <s v="L"/>
    <x v="2"/>
    <n v="29.784999999999997"/>
    <n v="59.569999999999993"/>
    <x v="2"/>
    <x v="1"/>
    <x v="1"/>
    <s v="Darby Dummer"/>
  </r>
  <r>
    <s v="MVI-04946-827"/>
    <x v="461"/>
    <s v="62483-50867-OM"/>
    <s v="E-L-1"/>
    <n v="1"/>
    <x v="548"/>
    <s v=""/>
    <x v="2"/>
    <s v="Exc"/>
    <s v="L"/>
    <x v="0"/>
    <n v="14.85"/>
    <n v="14.85"/>
    <x v="1"/>
    <x v="1"/>
    <x v="1"/>
    <s v="Kienan Scholard"/>
  </r>
  <r>
    <s v="UOG-94188-104"/>
    <x v="219"/>
    <s v="92753-50029-SD"/>
    <s v="A-M-0.5"/>
    <n v="5"/>
    <x v="549"/>
    <s v="kscholardgk@sbwire.com"/>
    <x v="0"/>
    <s v="Ara"/>
    <s v="M"/>
    <x v="1"/>
    <n v="6.75"/>
    <n v="33.75"/>
    <x v="2"/>
    <x v="0"/>
    <x v="1"/>
    <s v="Bo Kindley"/>
  </r>
  <r>
    <s v="DSN-15872-519"/>
    <x v="462"/>
    <s v="53809-98498-SN"/>
    <s v="L-L-2.5"/>
    <n v="4"/>
    <x v="550"/>
    <s v="bkindleygl@wikimedia.org"/>
    <x v="0"/>
    <s v="Lib"/>
    <s v="L"/>
    <x v="2"/>
    <n v="36.454999999999998"/>
    <n v="145.82"/>
    <x v="3"/>
    <x v="1"/>
    <x v="0"/>
    <s v="Krissie Hammett"/>
  </r>
  <r>
    <s v="OUQ-73954-002"/>
    <x v="463"/>
    <s v="66308-13503-KD"/>
    <s v="R-M-0.2"/>
    <n v="4"/>
    <x v="551"/>
    <s v="khammettgm@dmoz.org"/>
    <x v="0"/>
    <s v="Rob"/>
    <s v="M"/>
    <x v="3"/>
    <n v="2.9849999999999999"/>
    <n v="11.94"/>
    <x v="0"/>
    <x v="0"/>
    <x v="0"/>
    <s v="Alisha Hulburt"/>
  </r>
  <r>
    <s v="LGL-16843-667"/>
    <x v="464"/>
    <s v="82458-87830-JE"/>
    <s v="A-D-0.2"/>
    <n v="4"/>
    <x v="552"/>
    <s v="ahulburtgn@fda.gov"/>
    <x v="0"/>
    <s v="Ara"/>
    <s v="D"/>
    <x v="3"/>
    <n v="2.9849999999999999"/>
    <n v="11.94"/>
    <x v="2"/>
    <x v="2"/>
    <x v="0"/>
    <s v="Peyter Lauritzen"/>
  </r>
  <r>
    <s v="TCC-89722-031"/>
    <x v="465"/>
    <s v="41611-34336-WT"/>
    <s v="L-D-0.5"/>
    <n v="1"/>
    <x v="553"/>
    <s v="plauritzengo@photobucket.com"/>
    <x v="0"/>
    <s v="Lib"/>
    <s v="D"/>
    <x v="1"/>
    <n v="7.77"/>
    <n v="7.77"/>
    <x v="3"/>
    <x v="2"/>
    <x v="1"/>
    <s v="Aurelia Burgwin"/>
  </r>
  <r>
    <s v="TRA-79507-007"/>
    <x v="466"/>
    <s v="70089-27418-UJ"/>
    <s v="R-L-2.5"/>
    <n v="4"/>
    <x v="554"/>
    <s v="aburgwingp@redcross.org"/>
    <x v="0"/>
    <s v="Rob"/>
    <s v="L"/>
    <x v="2"/>
    <n v="27.484999999999996"/>
    <n v="109.93999999999998"/>
    <x v="0"/>
    <x v="1"/>
    <x v="0"/>
    <s v="Emalee Rolin"/>
  </r>
  <r>
    <s v="MZJ-77284-941"/>
    <x v="467"/>
    <s v="99978-56910-BN"/>
    <s v="E-L-0.2"/>
    <n v="5"/>
    <x v="555"/>
    <s v="erolingq@google.fr"/>
    <x v="0"/>
    <s v="Exc"/>
    <s v="L"/>
    <x v="3"/>
    <n v="4.4550000000000001"/>
    <n v="22.274999999999999"/>
    <x v="1"/>
    <x v="1"/>
    <x v="0"/>
    <s v="Donavon Fowle"/>
  </r>
  <r>
    <s v="AXN-57779-891"/>
    <x v="468"/>
    <s v="09668-23340-IC"/>
    <s v="R-M-0.2"/>
    <n v="3"/>
    <x v="556"/>
    <s v="dfowlegr@epa.gov"/>
    <x v="0"/>
    <s v="Rob"/>
    <s v="M"/>
    <x v="3"/>
    <n v="2.9849999999999999"/>
    <n v="8.9550000000000001"/>
    <x v="0"/>
    <x v="0"/>
    <x v="1"/>
    <s v="Jorge Bettison"/>
  </r>
  <r>
    <s v="PJB-15659-994"/>
    <x v="469"/>
    <s v="39457-62611-YK"/>
    <s v="L-D-2.5"/>
    <n v="4"/>
    <x v="557"/>
    <s v=""/>
    <x v="1"/>
    <s v="Lib"/>
    <s v="D"/>
    <x v="2"/>
    <n v="29.784999999999997"/>
    <n v="119.13999999999999"/>
    <x v="3"/>
    <x v="2"/>
    <x v="1"/>
    <s v="Wang Powlesland"/>
  </r>
  <r>
    <s v="LTS-03470-353"/>
    <x v="470"/>
    <s v="90985-89807-RW"/>
    <s v="A-L-2.5"/>
    <n v="5"/>
    <x v="558"/>
    <s v="wpowleslandgt@soundcloud.com"/>
    <x v="0"/>
    <s v="Ara"/>
    <s v="L"/>
    <x v="2"/>
    <n v="29.784999999999997"/>
    <n v="148.92499999999998"/>
    <x v="2"/>
    <x v="1"/>
    <x v="0"/>
    <s v="Cody Verissimo"/>
  </r>
  <r>
    <s v="UMM-28497-689"/>
    <x v="471"/>
    <s v="05325-97750-WP"/>
    <s v="L-L-2.5"/>
    <n v="3"/>
    <x v="539"/>
    <e v="#N/A"/>
    <x v="1"/>
    <s v="Lib"/>
    <s v="L"/>
    <x v="2"/>
    <n v="36.454999999999998"/>
    <n v="109.36499999999999"/>
    <x v="3"/>
    <x v="1"/>
    <x v="0"/>
    <s v="Laurence Ellingham"/>
  </r>
  <r>
    <s v="MJZ-93232-402"/>
    <x v="472"/>
    <s v="17816-67941-ZS"/>
    <s v="E-D-0.2"/>
    <n v="1"/>
    <x v="559"/>
    <s v="lellinghamgv@sciencedaily.com"/>
    <x v="0"/>
    <s v="Exc"/>
    <s v="D"/>
    <x v="3"/>
    <n v="3.645"/>
    <n v="3.645"/>
    <x v="1"/>
    <x v="2"/>
    <x v="0"/>
    <s v="Billy Neiland"/>
  </r>
  <r>
    <s v="UHW-74617-126"/>
    <x v="173"/>
    <s v="90816-65619-LM"/>
    <s v="E-D-2.5"/>
    <n v="2"/>
    <x v="560"/>
    <s v=""/>
    <x v="0"/>
    <s v="Exc"/>
    <s v="D"/>
    <x v="2"/>
    <n v="27.945"/>
    <n v="55.89"/>
    <x v="1"/>
    <x v="2"/>
    <x v="1"/>
    <s v="Ancell Fendt"/>
  </r>
  <r>
    <s v="RIK-61730-794"/>
    <x v="473"/>
    <s v="69761-61146-KD"/>
    <s v="L-M-0.2"/>
    <n v="6"/>
    <x v="561"/>
    <s v="afendtgx@forbes.com"/>
    <x v="0"/>
    <s v="Lib"/>
    <s v="M"/>
    <x v="3"/>
    <n v="4.3650000000000002"/>
    <n v="26.19"/>
    <x v="3"/>
    <x v="0"/>
    <x v="0"/>
    <s v="Angelia Cleyburn"/>
  </r>
  <r>
    <s v="IDJ-55379-750"/>
    <x v="474"/>
    <s v="24040-20817-QB"/>
    <s v="R-M-1"/>
    <n v="4"/>
    <x v="562"/>
    <s v="acleyburngy@lycos.com"/>
    <x v="0"/>
    <s v="Rob"/>
    <s v="M"/>
    <x v="0"/>
    <n v="9.9499999999999993"/>
    <n v="39.799999999999997"/>
    <x v="0"/>
    <x v="0"/>
    <x v="1"/>
    <s v="Temple Castiglione"/>
  </r>
  <r>
    <s v="OHX-11953-965"/>
    <x v="475"/>
    <s v="19524-21432-XP"/>
    <s v="E-L-2.5"/>
    <n v="2"/>
    <x v="563"/>
    <s v="tcastiglionegz@xing.com"/>
    <x v="0"/>
    <s v="Exc"/>
    <s v="L"/>
    <x v="2"/>
    <n v="34.154999999999994"/>
    <n v="68.309999999999988"/>
    <x v="1"/>
    <x v="1"/>
    <x v="1"/>
    <s v="Betti Lacasa"/>
  </r>
  <r>
    <s v="TVV-42245-088"/>
    <x v="476"/>
    <s v="14398-43114-RV"/>
    <s v="A-M-0.2"/>
    <n v="4"/>
    <x v="564"/>
    <s v=""/>
    <x v="1"/>
    <s v="Ara"/>
    <s v="M"/>
    <x v="3"/>
    <n v="3.375"/>
    <n v="13.5"/>
    <x v="2"/>
    <x v="0"/>
    <x v="1"/>
    <s v="Gunilla Lynch"/>
  </r>
  <r>
    <s v="DYP-74337-787"/>
    <x v="431"/>
    <s v="41486-52502-QQ"/>
    <s v="R-M-0.5"/>
    <n v="1"/>
    <x v="565"/>
    <s v=""/>
    <x v="0"/>
    <s v="Rob"/>
    <s v="M"/>
    <x v="1"/>
    <n v="5.97"/>
    <n v="5.97"/>
    <x v="0"/>
    <x v="0"/>
    <x v="1"/>
    <s v="Cody Verissimo"/>
  </r>
  <r>
    <s v="OKA-93124-100"/>
    <x v="477"/>
    <s v="05325-97750-WP"/>
    <s v="R-M-0.5"/>
    <n v="5"/>
    <x v="539"/>
    <e v="#N/A"/>
    <x v="1"/>
    <s v="Rob"/>
    <s v="M"/>
    <x v="1"/>
    <n v="5.97"/>
    <n v="29.849999999999998"/>
    <x v="0"/>
    <x v="0"/>
    <x v="0"/>
    <s v="Shay Couronne"/>
  </r>
  <r>
    <s v="IXW-20780-268"/>
    <x v="478"/>
    <s v="20236-64364-QL"/>
    <s v="L-L-2.5"/>
    <n v="2"/>
    <x v="566"/>
    <s v="scouronneh3@mozilla.org"/>
    <x v="0"/>
    <s v="Lib"/>
    <s v="L"/>
    <x v="2"/>
    <n v="36.454999999999998"/>
    <n v="72.91"/>
    <x v="3"/>
    <x v="1"/>
    <x v="0"/>
    <s v="Linus Flippelli"/>
  </r>
  <r>
    <s v="NGG-24006-937"/>
    <x v="45"/>
    <s v="29102-40100-TZ"/>
    <s v="E-M-2.5"/>
    <n v="4"/>
    <x v="567"/>
    <s v="lflippellih4@github.io"/>
    <x v="2"/>
    <s v="Exc"/>
    <s v="M"/>
    <x v="2"/>
    <n v="31.624999999999996"/>
    <n v="126.49999999999999"/>
    <x v="1"/>
    <x v="0"/>
    <x v="1"/>
    <s v="Rachelle Elizabeth"/>
  </r>
  <r>
    <s v="JZC-31180-557"/>
    <x v="444"/>
    <s v="09171-42203-EB"/>
    <s v="L-M-2.5"/>
    <n v="1"/>
    <x v="568"/>
    <s v="relizabethh5@live.com"/>
    <x v="0"/>
    <s v="Lib"/>
    <s v="M"/>
    <x v="2"/>
    <n v="33.464999999999996"/>
    <n v="33.464999999999996"/>
    <x v="3"/>
    <x v="0"/>
    <x v="1"/>
    <s v="Innis Renhard"/>
  </r>
  <r>
    <s v="ZMU-63715-204"/>
    <x v="479"/>
    <s v="29060-75856-UI"/>
    <s v="E-D-1"/>
    <n v="6"/>
    <x v="569"/>
    <s v="irenhardh6@i2i.jp"/>
    <x v="0"/>
    <s v="Exc"/>
    <s v="D"/>
    <x v="0"/>
    <n v="12.15"/>
    <n v="72.900000000000006"/>
    <x v="1"/>
    <x v="2"/>
    <x v="0"/>
    <s v="Winne Roche"/>
  </r>
  <r>
    <s v="GND-08192-056"/>
    <x v="480"/>
    <s v="17088-16989-PL"/>
    <s v="L-D-0.5"/>
    <n v="2"/>
    <x v="570"/>
    <s v="wrocheh7@xinhuanet.com"/>
    <x v="0"/>
    <s v="Lib"/>
    <s v="D"/>
    <x v="1"/>
    <n v="7.77"/>
    <n v="15.54"/>
    <x v="3"/>
    <x v="2"/>
    <x v="0"/>
    <s v="Linn Alaway"/>
  </r>
  <r>
    <s v="RYY-38961-093"/>
    <x v="481"/>
    <s v="14756-18321-CL"/>
    <s v="A-M-0.2"/>
    <n v="6"/>
    <x v="571"/>
    <s v="lalawayhh@weather.com"/>
    <x v="0"/>
    <s v="Ara"/>
    <s v="M"/>
    <x v="3"/>
    <n v="3.375"/>
    <n v="20.25"/>
    <x v="2"/>
    <x v="0"/>
    <x v="1"/>
    <s v="Cordy Odgaard"/>
  </r>
  <r>
    <s v="CVA-64996-969"/>
    <x v="478"/>
    <s v="13324-78688-MI"/>
    <s v="A-L-1"/>
    <n v="6"/>
    <x v="572"/>
    <s v="codgaardh9@nsw.gov.au"/>
    <x v="0"/>
    <s v="Ara"/>
    <s v="L"/>
    <x v="0"/>
    <n v="12.95"/>
    <n v="77.699999999999989"/>
    <x v="2"/>
    <x v="1"/>
    <x v="1"/>
    <s v="Bertine Byrd"/>
  </r>
  <r>
    <s v="XTH-67276-442"/>
    <x v="482"/>
    <s v="73799-04749-BM"/>
    <s v="L-M-2.5"/>
    <n v="4"/>
    <x v="573"/>
    <s v="bbyrdha@4shared.com"/>
    <x v="0"/>
    <s v="Lib"/>
    <s v="M"/>
    <x v="2"/>
    <n v="33.464999999999996"/>
    <n v="133.85999999999999"/>
    <x v="3"/>
    <x v="0"/>
    <x v="1"/>
    <s v="Nelie Garnson"/>
  </r>
  <r>
    <s v="PVU-02950-470"/>
    <x v="353"/>
    <s v="01927-46702-YT"/>
    <s v="E-D-1"/>
    <n v="1"/>
    <x v="574"/>
    <s v=""/>
    <x v="2"/>
    <s v="Exc"/>
    <s v="D"/>
    <x v="0"/>
    <n v="12.15"/>
    <n v="12.15"/>
    <x v="1"/>
    <x v="2"/>
    <x v="1"/>
    <s v="Dianne Chardin"/>
  </r>
  <r>
    <s v="XSN-26809-910"/>
    <x v="199"/>
    <s v="80467-17137-TO"/>
    <s v="E-M-2.5"/>
    <n v="2"/>
    <x v="575"/>
    <s v="dchardinhc@nhs.uk"/>
    <x v="1"/>
    <s v="Exc"/>
    <s v="M"/>
    <x v="2"/>
    <n v="31.624999999999996"/>
    <n v="63.249999999999993"/>
    <x v="1"/>
    <x v="0"/>
    <x v="0"/>
    <s v="Hailee Radbone"/>
  </r>
  <r>
    <s v="UDN-88321-005"/>
    <x v="372"/>
    <s v="14640-87215-BK"/>
    <s v="R-L-0.5"/>
    <n v="5"/>
    <x v="576"/>
    <s v="hradbonehd@newsvine.com"/>
    <x v="0"/>
    <s v="Rob"/>
    <s v="L"/>
    <x v="1"/>
    <n v="7.169999999999999"/>
    <n v="35.849999999999994"/>
    <x v="0"/>
    <x v="1"/>
    <x v="1"/>
    <s v="Wallis Bernth"/>
  </r>
  <r>
    <s v="EXP-21628-670"/>
    <x v="267"/>
    <s v="94447-35885-HK"/>
    <s v="A-M-2.5"/>
    <n v="3"/>
    <x v="577"/>
    <s v="wbernthhe@miitbeian.gov.cn"/>
    <x v="0"/>
    <s v="Ara"/>
    <s v="M"/>
    <x v="2"/>
    <n v="25.874999999999996"/>
    <n v="77.624999999999986"/>
    <x v="2"/>
    <x v="0"/>
    <x v="1"/>
    <s v="Byron Acarson"/>
  </r>
  <r>
    <s v="VGM-24161-361"/>
    <x v="480"/>
    <s v="71034-49694-CS"/>
    <s v="E-M-2.5"/>
    <n v="2"/>
    <x v="578"/>
    <s v="bacarsonhf@cnn.com"/>
    <x v="0"/>
    <s v="Exc"/>
    <s v="M"/>
    <x v="2"/>
    <n v="31.624999999999996"/>
    <n v="63.249999999999993"/>
    <x v="1"/>
    <x v="0"/>
    <x v="0"/>
    <s v="Faunie Brigham"/>
  </r>
  <r>
    <s v="PKN-19556-918"/>
    <x v="483"/>
    <s v="00445-42781-KX"/>
    <s v="E-L-0.2"/>
    <n v="6"/>
    <x v="579"/>
    <s v="fbrighamhg@blog.com"/>
    <x v="1"/>
    <s v="Exc"/>
    <s v="L"/>
    <x v="3"/>
    <n v="4.4550000000000001"/>
    <n v="26.73"/>
    <x v="1"/>
    <x v="1"/>
    <x v="0"/>
    <s v="Faunie Brigham"/>
  </r>
  <r>
    <s v="PKN-19556-918"/>
    <x v="483"/>
    <s v="00445-42781-KX"/>
    <s v="L-D-0.5"/>
    <n v="4"/>
    <x v="579"/>
    <s v="fbrighamhg@blog.com"/>
    <x v="1"/>
    <s v="Lib"/>
    <s v="D"/>
    <x v="1"/>
    <n v="7.77"/>
    <n v="31.08"/>
    <x v="3"/>
    <x v="2"/>
    <x v="0"/>
    <s v="Faunie Brigham"/>
  </r>
  <r>
    <s v="PKN-19556-918"/>
    <x v="483"/>
    <s v="00445-42781-KX"/>
    <s v="A-D-0.2"/>
    <n v="1"/>
    <x v="579"/>
    <e v="#N/A"/>
    <x v="1"/>
    <s v="Ara"/>
    <s v="D"/>
    <x v="3"/>
    <n v="2.9849999999999999"/>
    <n v="2.9849999999999999"/>
    <x v="2"/>
    <x v="2"/>
    <x v="0"/>
    <s v="Faunie Brigham"/>
  </r>
  <r>
    <s v="PKN-19556-918"/>
    <x v="483"/>
    <s v="00445-42781-KX"/>
    <s v="R-D-2.5"/>
    <n v="5"/>
    <x v="579"/>
    <e v="#N/A"/>
    <x v="1"/>
    <s v="Rob"/>
    <s v="D"/>
    <x v="2"/>
    <n v="20.584999999999997"/>
    <n v="102.92499999999998"/>
    <x v="0"/>
    <x v="2"/>
    <x v="0"/>
    <s v="Marjorie Yoxen"/>
  </r>
  <r>
    <s v="DXQ-44537-297"/>
    <x v="484"/>
    <s v="96116-24737-LV"/>
    <s v="E-L-0.5"/>
    <n v="4"/>
    <x v="580"/>
    <s v="myoxenhk@google.com"/>
    <x v="0"/>
    <s v="Exc"/>
    <s v="L"/>
    <x v="1"/>
    <n v="8.91"/>
    <n v="35.64"/>
    <x v="1"/>
    <x v="1"/>
    <x v="1"/>
    <s v="Gaspar McGavin"/>
  </r>
  <r>
    <s v="BPC-54727-307"/>
    <x v="485"/>
    <s v="18684-73088-YL"/>
    <s v="R-L-1"/>
    <n v="4"/>
    <x v="581"/>
    <s v="gmcgavinhl@histats.com"/>
    <x v="0"/>
    <s v="Rob"/>
    <s v="L"/>
    <x v="0"/>
    <n v="11.95"/>
    <n v="47.8"/>
    <x v="0"/>
    <x v="1"/>
    <x v="1"/>
    <s v="Lindy Uttermare"/>
  </r>
  <r>
    <s v="KSH-47717-456"/>
    <x v="486"/>
    <s v="74671-55639-TU"/>
    <s v="L-M-1"/>
    <n v="3"/>
    <x v="582"/>
    <s v="luttermarehm@engadget.com"/>
    <x v="0"/>
    <s v="Lib"/>
    <s v="M"/>
    <x v="0"/>
    <n v="14.55"/>
    <n v="43.650000000000006"/>
    <x v="3"/>
    <x v="0"/>
    <x v="1"/>
    <s v="Eal D'Ambrogio"/>
  </r>
  <r>
    <s v="ANK-59436-446"/>
    <x v="487"/>
    <s v="17488-65879-XL"/>
    <s v="E-L-0.5"/>
    <n v="4"/>
    <x v="583"/>
    <s v="edambrogiohn@techcrunch.com"/>
    <x v="0"/>
    <s v="Exc"/>
    <s v="L"/>
    <x v="1"/>
    <n v="8.91"/>
    <n v="35.64"/>
    <x v="1"/>
    <x v="1"/>
    <x v="0"/>
    <s v="Carolee Winchcombe"/>
  </r>
  <r>
    <s v="AYY-83051-752"/>
    <x v="488"/>
    <s v="46431-09298-OU"/>
    <s v="L-L-1"/>
    <n v="6"/>
    <x v="584"/>
    <s v="cwinchcombeho@jiathis.com"/>
    <x v="0"/>
    <s v="Lib"/>
    <s v="L"/>
    <x v="0"/>
    <n v="15.85"/>
    <n v="95.1"/>
    <x v="3"/>
    <x v="1"/>
    <x v="0"/>
    <s v="Benedikta Paumier"/>
  </r>
  <r>
    <s v="CSW-59644-267"/>
    <x v="489"/>
    <s v="60378-26473-FE"/>
    <s v="E-M-2.5"/>
    <n v="1"/>
    <x v="585"/>
    <s v="bpaumierhp@umn.edu"/>
    <x v="1"/>
    <s v="Exc"/>
    <s v="M"/>
    <x v="2"/>
    <n v="31.624999999999996"/>
    <n v="31.624999999999996"/>
    <x v="1"/>
    <x v="0"/>
    <x v="0"/>
    <s v="Neville Piatto"/>
  </r>
  <r>
    <s v="ITY-92466-909"/>
    <x v="162"/>
    <s v="34927-68586-ZV"/>
    <s v="A-M-2.5"/>
    <n v="3"/>
    <x v="586"/>
    <s v=""/>
    <x v="1"/>
    <s v="Ara"/>
    <s v="M"/>
    <x v="2"/>
    <n v="25.874999999999996"/>
    <n v="77.624999999999986"/>
    <x v="2"/>
    <x v="0"/>
    <x v="0"/>
    <s v="Jeno Capey"/>
  </r>
  <r>
    <s v="IGW-04801-466"/>
    <x v="490"/>
    <s v="29051-27555-GD"/>
    <s v="L-D-0.2"/>
    <n v="1"/>
    <x v="587"/>
    <s v="jcapeyhr@bravesites.com"/>
    <x v="0"/>
    <s v="Lib"/>
    <s v="D"/>
    <x v="3"/>
    <n v="3.8849999999999998"/>
    <n v="3.8849999999999998"/>
    <x v="3"/>
    <x v="2"/>
    <x v="0"/>
    <s v="Tuckie Mathonnet"/>
  </r>
  <r>
    <s v="LJN-34281-921"/>
    <x v="491"/>
    <s v="52143-35672-JF"/>
    <s v="R-L-2.5"/>
    <n v="5"/>
    <x v="588"/>
    <s v="tmathonneti0@google.co.jp"/>
    <x v="0"/>
    <s v="Rob"/>
    <s v="L"/>
    <x v="2"/>
    <n v="27.484999999999996"/>
    <n v="137.42499999999998"/>
    <x v="0"/>
    <x v="1"/>
    <x v="1"/>
    <s v="Yardley Basill"/>
  </r>
  <r>
    <s v="BWZ-46364-547"/>
    <x v="301"/>
    <s v="64918-67725-MN"/>
    <s v="R-L-1"/>
    <n v="3"/>
    <x v="589"/>
    <s v="ybasillht@theguardian.com"/>
    <x v="0"/>
    <s v="Rob"/>
    <s v="L"/>
    <x v="0"/>
    <n v="11.95"/>
    <n v="35.849999999999994"/>
    <x v="0"/>
    <x v="1"/>
    <x v="0"/>
    <s v="Maggy Baistow"/>
  </r>
  <r>
    <s v="SBC-95710-706"/>
    <x v="194"/>
    <s v="85634-61759-ND"/>
    <s v="E-M-0.2"/>
    <n v="2"/>
    <x v="590"/>
    <s v="mbaistowhu@i2i.jp"/>
    <x v="2"/>
    <s v="Exc"/>
    <s v="M"/>
    <x v="3"/>
    <n v="4.125"/>
    <n v="8.25"/>
    <x v="1"/>
    <x v="0"/>
    <x v="0"/>
    <s v="Courtney Pallant"/>
  </r>
  <r>
    <s v="WRN-55114-031"/>
    <x v="26"/>
    <s v="40180-22940-QB"/>
    <s v="E-L-2.5"/>
    <n v="3"/>
    <x v="591"/>
    <s v="cpallanthv@typepad.com"/>
    <x v="0"/>
    <s v="Exc"/>
    <s v="L"/>
    <x v="2"/>
    <n v="34.154999999999994"/>
    <n v="102.46499999999997"/>
    <x v="1"/>
    <x v="1"/>
    <x v="0"/>
    <s v="Marne Mingey"/>
  </r>
  <r>
    <s v="TZU-64255-831"/>
    <x v="125"/>
    <s v="34666-76738-SQ"/>
    <s v="R-D-2.5"/>
    <n v="2"/>
    <x v="592"/>
    <s v=""/>
    <x v="0"/>
    <s v="Rob"/>
    <s v="D"/>
    <x v="2"/>
    <n v="20.584999999999997"/>
    <n v="41.169999999999995"/>
    <x v="0"/>
    <x v="2"/>
    <x v="1"/>
    <s v="Denny O' Ronan"/>
  </r>
  <r>
    <s v="JVF-91003-729"/>
    <x v="492"/>
    <s v="98536-88616-FF"/>
    <s v="A-D-2.5"/>
    <n v="3"/>
    <x v="593"/>
    <s v="dohx@redcross.org"/>
    <x v="0"/>
    <s v="Ara"/>
    <s v="D"/>
    <x v="2"/>
    <n v="22.884999999999998"/>
    <n v="68.655000000000001"/>
    <x v="2"/>
    <x v="2"/>
    <x v="0"/>
    <s v="Dottie Rallin"/>
  </r>
  <r>
    <s v="MVB-22135-665"/>
    <x v="462"/>
    <s v="55621-06130-SA"/>
    <s v="A-D-1"/>
    <n v="1"/>
    <x v="594"/>
    <s v="drallinhy@howstuffworks.com"/>
    <x v="0"/>
    <s v="Ara"/>
    <s v="D"/>
    <x v="0"/>
    <n v="9.9499999999999993"/>
    <n v="9.9499999999999993"/>
    <x v="2"/>
    <x v="2"/>
    <x v="0"/>
    <s v="Ardith Chill"/>
  </r>
  <r>
    <s v="CKS-47815-571"/>
    <x v="493"/>
    <s v="45666-86771-EH"/>
    <s v="L-L-0.5"/>
    <n v="3"/>
    <x v="595"/>
    <s v="achillhz@epa.gov"/>
    <x v="2"/>
    <s v="Lib"/>
    <s v="L"/>
    <x v="1"/>
    <n v="9.51"/>
    <n v="28.53"/>
    <x v="3"/>
    <x v="1"/>
    <x v="0"/>
    <s v="Tuckie Mathonnet"/>
  </r>
  <r>
    <s v="OAW-17338-101"/>
    <x v="494"/>
    <s v="52143-35672-JF"/>
    <s v="R-D-0.2"/>
    <n v="6"/>
    <x v="588"/>
    <s v="tmathonneti0@google.co.jp"/>
    <x v="0"/>
    <s v="Rob"/>
    <s v="D"/>
    <x v="3"/>
    <n v="2.6849999999999996"/>
    <n v="16.11"/>
    <x v="0"/>
    <x v="2"/>
    <x v="1"/>
    <s v="Charmane Denys"/>
  </r>
  <r>
    <s v="ALP-37623-536"/>
    <x v="495"/>
    <s v="24689-69376-XX"/>
    <s v="L-L-1"/>
    <n v="6"/>
    <x v="596"/>
    <s v="cdenysi1@is.gd"/>
    <x v="2"/>
    <s v="Lib"/>
    <s v="L"/>
    <x v="0"/>
    <n v="15.85"/>
    <n v="95.1"/>
    <x v="3"/>
    <x v="1"/>
    <x v="1"/>
    <s v="Cecily Stebbings"/>
  </r>
  <r>
    <s v="WMU-87639-108"/>
    <x v="496"/>
    <s v="71891-51101-VQ"/>
    <s v="R-D-0.5"/>
    <n v="1"/>
    <x v="597"/>
    <s v="cstebbingsi2@drupal.org"/>
    <x v="0"/>
    <s v="Rob"/>
    <s v="D"/>
    <x v="1"/>
    <n v="5.3699999999999992"/>
    <n v="5.3699999999999992"/>
    <x v="0"/>
    <x v="2"/>
    <x v="0"/>
    <s v="Giana Tonnesen"/>
  </r>
  <r>
    <s v="USN-44968-231"/>
    <x v="497"/>
    <s v="71749-05400-CN"/>
    <s v="R-L-1"/>
    <n v="4"/>
    <x v="598"/>
    <s v=""/>
    <x v="0"/>
    <s v="Rob"/>
    <s v="L"/>
    <x v="0"/>
    <n v="11.95"/>
    <n v="47.8"/>
    <x v="0"/>
    <x v="1"/>
    <x v="1"/>
    <s v="Rhetta Zywicki"/>
  </r>
  <r>
    <s v="YZG-20575-451"/>
    <x v="498"/>
    <s v="64845-00270-NO"/>
    <s v="L-L-1"/>
    <n v="4"/>
    <x v="599"/>
    <s v="rzywickii4@ifeng.com"/>
    <x v="1"/>
    <s v="Lib"/>
    <s v="L"/>
    <x v="0"/>
    <n v="15.85"/>
    <n v="63.4"/>
    <x v="3"/>
    <x v="1"/>
    <x v="1"/>
    <s v="Almeria Burgett"/>
  </r>
  <r>
    <s v="HTH-52867-812"/>
    <x v="382"/>
    <s v="29851-36402-UX"/>
    <s v="A-M-2.5"/>
    <n v="4"/>
    <x v="600"/>
    <s v="aburgetti5@moonfruit.com"/>
    <x v="0"/>
    <s v="Ara"/>
    <s v="M"/>
    <x v="2"/>
    <n v="25.874999999999996"/>
    <n v="103.49999999999999"/>
    <x v="2"/>
    <x v="0"/>
    <x v="1"/>
    <s v="Marvin Malloy"/>
  </r>
  <r>
    <s v="FWU-44971-444"/>
    <x v="499"/>
    <s v="12190-25421-WM"/>
    <s v="A-D-2.5"/>
    <n v="3"/>
    <x v="601"/>
    <s v="mmalloyi6@seattletimes.com"/>
    <x v="0"/>
    <s v="Ara"/>
    <s v="D"/>
    <x v="2"/>
    <n v="22.884999999999998"/>
    <n v="68.655000000000001"/>
    <x v="2"/>
    <x v="2"/>
    <x v="1"/>
    <s v="Maxim McParland"/>
  </r>
  <r>
    <s v="EQI-82205-066"/>
    <x v="500"/>
    <s v="52316-30571-GD"/>
    <s v="R-M-2.5"/>
    <n v="2"/>
    <x v="602"/>
    <s v="mmcparlandi7@w3.org"/>
    <x v="0"/>
    <s v="Rob"/>
    <s v="M"/>
    <x v="2"/>
    <n v="22.884999999999998"/>
    <n v="45.769999999999996"/>
    <x v="0"/>
    <x v="0"/>
    <x v="0"/>
    <s v="Sylas Jennaroy"/>
  </r>
  <r>
    <s v="NAR-00747-074"/>
    <x v="501"/>
    <s v="23243-92649-RY"/>
    <s v="L-D-1"/>
    <n v="4"/>
    <x v="603"/>
    <s v="sjennaroyi8@purevolume.com"/>
    <x v="0"/>
    <s v="Lib"/>
    <s v="D"/>
    <x v="0"/>
    <n v="12.95"/>
    <n v="51.8"/>
    <x v="3"/>
    <x v="2"/>
    <x v="1"/>
    <s v="Wren Place"/>
  </r>
  <r>
    <s v="JYR-22052-185"/>
    <x v="502"/>
    <s v="39528-19971-OR"/>
    <s v="A-M-0.5"/>
    <n v="2"/>
    <x v="604"/>
    <s v="wplacei9@wsj.com"/>
    <x v="0"/>
    <s v="Ara"/>
    <s v="M"/>
    <x v="1"/>
    <n v="6.75"/>
    <n v="13.5"/>
    <x v="2"/>
    <x v="0"/>
    <x v="0"/>
    <s v="Janella Millett"/>
  </r>
  <r>
    <s v="XKO-54097-932"/>
    <x v="503"/>
    <s v="32743-78448-KT"/>
    <s v="E-M-0.5"/>
    <n v="3"/>
    <x v="605"/>
    <s v="jmillettik@addtoany.com"/>
    <x v="0"/>
    <s v="Exc"/>
    <s v="M"/>
    <x v="1"/>
    <n v="8.25"/>
    <n v="24.75"/>
    <x v="1"/>
    <x v="0"/>
    <x v="0"/>
    <s v="Dollie Gadsden"/>
  </r>
  <r>
    <s v="HXA-72415-025"/>
    <x v="504"/>
    <s v="93417-12322-YB"/>
    <s v="A-D-2.5"/>
    <n v="2"/>
    <x v="606"/>
    <s v="dgadsdenib@google.com.hk"/>
    <x v="1"/>
    <s v="Ara"/>
    <s v="D"/>
    <x v="2"/>
    <n v="22.884999999999998"/>
    <n v="45.769999999999996"/>
    <x v="2"/>
    <x v="2"/>
    <x v="0"/>
    <s v="Val Wakelin"/>
  </r>
  <r>
    <s v="MJF-20065-335"/>
    <x v="497"/>
    <s v="56891-86662-UY"/>
    <s v="E-L-0.5"/>
    <n v="6"/>
    <x v="607"/>
    <s v="vwakelinic@unesco.org"/>
    <x v="0"/>
    <s v="Exc"/>
    <s v="L"/>
    <x v="1"/>
    <n v="8.91"/>
    <n v="53.46"/>
    <x v="1"/>
    <x v="1"/>
    <x v="1"/>
    <s v="Annie Campsall"/>
  </r>
  <r>
    <s v="GFI-83300-059"/>
    <x v="501"/>
    <s v="40414-26467-VE"/>
    <s v="A-M-0.2"/>
    <n v="6"/>
    <x v="608"/>
    <s v="acampsallid@zimbio.com"/>
    <x v="0"/>
    <s v="Ara"/>
    <s v="M"/>
    <x v="3"/>
    <n v="3.375"/>
    <n v="20.25"/>
    <x v="2"/>
    <x v="0"/>
    <x v="0"/>
    <s v="Shermy Moseby"/>
  </r>
  <r>
    <s v="WJR-51493-682"/>
    <x v="1"/>
    <s v="87858-83734-RK"/>
    <s v="L-D-2.5"/>
    <n v="5"/>
    <x v="609"/>
    <s v="smosebyie@stanford.edu"/>
    <x v="0"/>
    <s v="Lib"/>
    <s v="D"/>
    <x v="2"/>
    <n v="29.784999999999997"/>
    <n v="148.92499999999998"/>
    <x v="3"/>
    <x v="2"/>
    <x v="1"/>
    <s v="Corrie Wass"/>
  </r>
  <r>
    <s v="SHP-55648-472"/>
    <x v="505"/>
    <s v="46818-20198-GB"/>
    <s v="A-M-1"/>
    <n v="6"/>
    <x v="610"/>
    <s v="cwassif@prweb.com"/>
    <x v="0"/>
    <s v="Ara"/>
    <s v="M"/>
    <x v="0"/>
    <n v="11.25"/>
    <n v="67.5"/>
    <x v="2"/>
    <x v="0"/>
    <x v="1"/>
    <s v="Ira Sjostrom"/>
  </r>
  <r>
    <s v="HYR-03455-684"/>
    <x v="506"/>
    <s v="29808-89098-XD"/>
    <s v="E-D-1"/>
    <n v="6"/>
    <x v="611"/>
    <s v="isjostromig@pbs.org"/>
    <x v="0"/>
    <s v="Exc"/>
    <s v="D"/>
    <x v="0"/>
    <n v="12.15"/>
    <n v="72.900000000000006"/>
    <x v="1"/>
    <x v="2"/>
    <x v="1"/>
    <s v="Ira Sjostrom"/>
  </r>
  <r>
    <s v="HYR-03455-684"/>
    <x v="506"/>
    <s v="29808-89098-XD"/>
    <s v="L-D-0.2"/>
    <n v="2"/>
    <x v="611"/>
    <s v="isjostromig@pbs.org"/>
    <x v="0"/>
    <s v="Lib"/>
    <s v="D"/>
    <x v="3"/>
    <n v="3.8849999999999998"/>
    <n v="7.77"/>
    <x v="3"/>
    <x v="2"/>
    <x v="1"/>
    <s v="Jermaine Branchett"/>
  </r>
  <r>
    <s v="HUG-52766-375"/>
    <x v="507"/>
    <s v="78786-77449-RQ"/>
    <s v="A-D-2.5"/>
    <n v="4"/>
    <x v="612"/>
    <s v="jbranchettii@bravesites.com"/>
    <x v="0"/>
    <s v="Ara"/>
    <s v="D"/>
    <x v="2"/>
    <n v="22.884999999999998"/>
    <n v="91.539999999999992"/>
    <x v="2"/>
    <x v="2"/>
    <x v="1"/>
    <s v="Nissie Rudland"/>
  </r>
  <r>
    <s v="DAH-46595-917"/>
    <x v="508"/>
    <s v="27878-42224-QF"/>
    <s v="A-D-1"/>
    <n v="6"/>
    <x v="613"/>
    <s v="nrudlandij@blogs.com"/>
    <x v="1"/>
    <s v="Ara"/>
    <s v="D"/>
    <x v="0"/>
    <n v="9.9499999999999993"/>
    <n v="59.699999999999996"/>
    <x v="2"/>
    <x v="2"/>
    <x v="1"/>
    <s v="Janella Millett"/>
  </r>
  <r>
    <s v="VEM-79839-466"/>
    <x v="509"/>
    <s v="32743-78448-KT"/>
    <s v="R-L-2.5"/>
    <n v="5"/>
    <x v="605"/>
    <s v="jmillettik@addtoany.com"/>
    <x v="0"/>
    <s v="Rob"/>
    <s v="L"/>
    <x v="2"/>
    <n v="27.484999999999996"/>
    <n v="137.42499999999998"/>
    <x v="0"/>
    <x v="1"/>
    <x v="0"/>
    <s v="Ferdie Tourry"/>
  </r>
  <r>
    <s v="OWH-11126-533"/>
    <x v="131"/>
    <s v="25331-13794-SB"/>
    <s v="L-M-2.5"/>
    <n v="2"/>
    <x v="614"/>
    <s v="ftourryil@google.de"/>
    <x v="0"/>
    <s v="Lib"/>
    <s v="M"/>
    <x v="2"/>
    <n v="33.464999999999996"/>
    <n v="66.929999999999993"/>
    <x v="3"/>
    <x v="0"/>
    <x v="1"/>
    <s v="Cecil Weatherall"/>
  </r>
  <r>
    <s v="UMT-26130-151"/>
    <x v="510"/>
    <s v="55864-37682-GQ"/>
    <s v="L-M-0.2"/>
    <n v="3"/>
    <x v="615"/>
    <s v="cweatherallim@toplist.cz"/>
    <x v="0"/>
    <s v="Lib"/>
    <s v="M"/>
    <x v="3"/>
    <n v="4.3650000000000002"/>
    <n v="13.095000000000001"/>
    <x v="3"/>
    <x v="0"/>
    <x v="0"/>
    <s v="Gale Heindrick"/>
  </r>
  <r>
    <s v="JKA-27899-806"/>
    <x v="511"/>
    <s v="97005-25609-CQ"/>
    <s v="R-L-1"/>
    <n v="5"/>
    <x v="616"/>
    <s v="gheindrickin@usda.gov"/>
    <x v="0"/>
    <s v="Rob"/>
    <s v="L"/>
    <x v="0"/>
    <n v="11.95"/>
    <n v="59.75"/>
    <x v="0"/>
    <x v="1"/>
    <x v="1"/>
    <s v="Layne Imason"/>
  </r>
  <r>
    <s v="ULU-07744-724"/>
    <x v="512"/>
    <s v="94058-95794-IJ"/>
    <s v="L-M-0.5"/>
    <n v="5"/>
    <x v="617"/>
    <s v="limasonio@discuz.net"/>
    <x v="0"/>
    <s v="Lib"/>
    <s v="M"/>
    <x v="1"/>
    <n v="8.73"/>
    <n v="43.650000000000006"/>
    <x v="3"/>
    <x v="0"/>
    <x v="0"/>
    <s v="Hazel Saill"/>
  </r>
  <r>
    <s v="NOM-56457-507"/>
    <x v="513"/>
    <s v="40214-03678-GU"/>
    <s v="E-M-1"/>
    <n v="6"/>
    <x v="618"/>
    <s v="hsaillip@odnoklassniki.ru"/>
    <x v="0"/>
    <s v="Exc"/>
    <s v="M"/>
    <x v="0"/>
    <n v="13.75"/>
    <n v="82.5"/>
    <x v="1"/>
    <x v="0"/>
    <x v="0"/>
    <s v="Hermann Larvor"/>
  </r>
  <r>
    <s v="NZN-71683-705"/>
    <x v="514"/>
    <s v="04921-85445-SL"/>
    <s v="A-L-2.5"/>
    <n v="6"/>
    <x v="619"/>
    <s v="hlarvoriq@last.fm"/>
    <x v="0"/>
    <s v="Ara"/>
    <s v="L"/>
    <x v="2"/>
    <n v="29.784999999999997"/>
    <n v="178.70999999999998"/>
    <x v="2"/>
    <x v="1"/>
    <x v="0"/>
    <s v="Terri Lyford"/>
  </r>
  <r>
    <s v="WMA-34232-850"/>
    <x v="7"/>
    <s v="53386-94266-LJ"/>
    <s v="L-D-2.5"/>
    <n v="4"/>
    <x v="620"/>
    <s v=""/>
    <x v="0"/>
    <s v="Lib"/>
    <s v="D"/>
    <x v="2"/>
    <n v="29.784999999999997"/>
    <n v="119.13999999999999"/>
    <x v="3"/>
    <x v="2"/>
    <x v="0"/>
    <s v="Gabey Cogan"/>
  </r>
  <r>
    <s v="EZL-27919-704"/>
    <x v="481"/>
    <s v="49480-85909-DG"/>
    <s v="L-L-0.5"/>
    <n v="5"/>
    <x v="621"/>
    <s v=""/>
    <x v="0"/>
    <s v="Lib"/>
    <s v="L"/>
    <x v="1"/>
    <n v="9.51"/>
    <n v="47.55"/>
    <x v="3"/>
    <x v="1"/>
    <x v="1"/>
    <s v="Charin Penwarden"/>
  </r>
  <r>
    <s v="ZYU-11345-774"/>
    <x v="515"/>
    <s v="18293-78136-MN"/>
    <s v="L-M-0.5"/>
    <n v="5"/>
    <x v="622"/>
    <s v="cpenwardenit@mlb.com"/>
    <x v="1"/>
    <s v="Lib"/>
    <s v="M"/>
    <x v="1"/>
    <n v="8.73"/>
    <n v="43.650000000000006"/>
    <x v="3"/>
    <x v="0"/>
    <x v="1"/>
    <s v="Milty Middis"/>
  </r>
  <r>
    <s v="CPW-34587-459"/>
    <x v="516"/>
    <s v="84641-67384-TD"/>
    <s v="A-L-2.5"/>
    <n v="6"/>
    <x v="623"/>
    <s v="mmiddisiu@dmoz.org"/>
    <x v="0"/>
    <s v="Ara"/>
    <s v="L"/>
    <x v="2"/>
    <n v="29.784999999999997"/>
    <n v="178.70999999999998"/>
    <x v="2"/>
    <x v="1"/>
    <x v="0"/>
    <s v="Adrianne Vairow"/>
  </r>
  <r>
    <s v="NQZ-82067-394"/>
    <x v="517"/>
    <s v="72320-29738-EB"/>
    <s v="R-L-2.5"/>
    <n v="1"/>
    <x v="624"/>
    <s v="avairowiv@studiopress.com"/>
    <x v="2"/>
    <s v="Rob"/>
    <s v="L"/>
    <x v="2"/>
    <n v="27.484999999999996"/>
    <n v="27.484999999999996"/>
    <x v="0"/>
    <x v="1"/>
    <x v="1"/>
    <s v="Anjanette Goldie"/>
  </r>
  <r>
    <s v="JBW-95055-851"/>
    <x v="518"/>
    <s v="47355-97488-XS"/>
    <s v="A-M-1"/>
    <n v="5"/>
    <x v="625"/>
    <s v="agoldieiw@goo.gl"/>
    <x v="0"/>
    <s v="Ara"/>
    <s v="M"/>
    <x v="0"/>
    <n v="11.25"/>
    <n v="56.25"/>
    <x v="2"/>
    <x v="0"/>
    <x v="1"/>
    <s v="Nicky Ayris"/>
  </r>
  <r>
    <s v="AHY-20324-088"/>
    <x v="519"/>
    <s v="63499-24884-PP"/>
    <s v="L-L-0.2"/>
    <n v="2"/>
    <x v="626"/>
    <s v="nayrisix@t-online.de"/>
    <x v="2"/>
    <s v="Lib"/>
    <s v="L"/>
    <x v="3"/>
    <n v="4.7549999999999999"/>
    <n v="9.51"/>
    <x v="3"/>
    <x v="1"/>
    <x v="0"/>
    <s v="Laryssa Benediktovich"/>
  </r>
  <r>
    <s v="ZSL-66684-103"/>
    <x v="520"/>
    <s v="39193-51770-FM"/>
    <s v="E-M-0.2"/>
    <n v="2"/>
    <x v="627"/>
    <s v="lbenediktovichiy@wunderground.com"/>
    <x v="0"/>
    <s v="Exc"/>
    <s v="M"/>
    <x v="3"/>
    <n v="4.125"/>
    <n v="8.25"/>
    <x v="1"/>
    <x v="0"/>
    <x v="0"/>
    <s v="Theo Jacobovitz"/>
  </r>
  <r>
    <s v="WNE-73911-475"/>
    <x v="521"/>
    <s v="61323-91967-GG"/>
    <s v="L-D-0.5"/>
    <n v="6"/>
    <x v="628"/>
    <s v="tjacobovitziz@cbc.ca"/>
    <x v="0"/>
    <s v="Lib"/>
    <s v="D"/>
    <x v="1"/>
    <n v="7.77"/>
    <n v="46.62"/>
    <x v="3"/>
    <x v="2"/>
    <x v="1"/>
    <s v="Becca Ableson"/>
  </r>
  <r>
    <s v="EZB-68383-559"/>
    <x v="418"/>
    <s v="90123-01967-KS"/>
    <s v="R-L-1"/>
    <n v="6"/>
    <x v="629"/>
    <s v=""/>
    <x v="0"/>
    <s v="Rob"/>
    <s v="L"/>
    <x v="0"/>
    <n v="11.95"/>
    <n v="71.699999999999989"/>
    <x v="0"/>
    <x v="1"/>
    <x v="1"/>
    <s v="Jeno Druitt"/>
  </r>
  <r>
    <s v="OVO-01283-090"/>
    <x v="122"/>
    <s v="15958-25089-OS"/>
    <s v="L-L-2.5"/>
    <n v="2"/>
    <x v="630"/>
    <s v="jdruittj1@feedburner.com"/>
    <x v="0"/>
    <s v="Lib"/>
    <s v="L"/>
    <x v="2"/>
    <n v="36.454999999999998"/>
    <n v="72.91"/>
    <x v="3"/>
    <x v="1"/>
    <x v="0"/>
    <s v="Deonne Shortall"/>
  </r>
  <r>
    <s v="TXH-78646-919"/>
    <x v="423"/>
    <s v="98430-37820-UV"/>
    <s v="R-D-0.2"/>
    <n v="3"/>
    <x v="631"/>
    <s v="dshortallj2@wikipedia.org"/>
    <x v="0"/>
    <s v="Rob"/>
    <s v="D"/>
    <x v="3"/>
    <n v="2.6849999999999996"/>
    <n v="8.0549999999999997"/>
    <x v="0"/>
    <x v="2"/>
    <x v="0"/>
    <s v="Wilton Cottier"/>
  </r>
  <r>
    <s v="CYZ-37122-164"/>
    <x v="463"/>
    <s v="21798-04171-XC"/>
    <s v="E-M-0.5"/>
    <n v="2"/>
    <x v="632"/>
    <s v="wcottierj3@cafepress.com"/>
    <x v="0"/>
    <s v="Exc"/>
    <s v="M"/>
    <x v="1"/>
    <n v="8.25"/>
    <n v="16.5"/>
    <x v="1"/>
    <x v="0"/>
    <x v="1"/>
    <s v="Kevan Grinsted"/>
  </r>
  <r>
    <s v="AGQ-06534-750"/>
    <x v="273"/>
    <s v="52798-46508-HP"/>
    <s v="A-L-1"/>
    <n v="5"/>
    <x v="633"/>
    <s v="kgrinstedj4@google.com.br"/>
    <x v="1"/>
    <s v="Ara"/>
    <s v="L"/>
    <x v="0"/>
    <n v="12.95"/>
    <n v="64.75"/>
    <x v="2"/>
    <x v="1"/>
    <x v="1"/>
    <s v="Dionne Skyner"/>
  </r>
  <r>
    <s v="QVL-32245-818"/>
    <x v="522"/>
    <s v="46478-42970-EM"/>
    <s v="A-M-0.5"/>
    <n v="5"/>
    <x v="634"/>
    <s v="dskynerj5@hubpages.com"/>
    <x v="0"/>
    <s v="Ara"/>
    <s v="M"/>
    <x v="1"/>
    <n v="6.75"/>
    <n v="33.75"/>
    <x v="2"/>
    <x v="0"/>
    <x v="1"/>
    <s v="Francesco Dressel"/>
  </r>
  <r>
    <s v="LTD-96842-834"/>
    <x v="523"/>
    <s v="00246-15080-LE"/>
    <s v="L-D-2.5"/>
    <n v="6"/>
    <x v="635"/>
    <s v=""/>
    <x v="0"/>
    <s v="Lib"/>
    <s v="D"/>
    <x v="2"/>
    <n v="29.784999999999997"/>
    <n v="178.70999999999998"/>
    <x v="3"/>
    <x v="2"/>
    <x v="1"/>
    <s v="Jimmy Dymoke"/>
  </r>
  <r>
    <s v="SEC-91807-425"/>
    <x v="260"/>
    <s v="94091-86957-HX"/>
    <s v="A-M-1"/>
    <n v="2"/>
    <x v="636"/>
    <s v="jdymokeje@prnewswire.com"/>
    <x v="1"/>
    <s v="Ara"/>
    <s v="M"/>
    <x v="0"/>
    <n v="11.25"/>
    <n v="22.5"/>
    <x v="2"/>
    <x v="0"/>
    <x v="1"/>
    <s v="Ambrosio Weinmann"/>
  </r>
  <r>
    <s v="MHM-44857-599"/>
    <x v="331"/>
    <s v="26295-44907-DK"/>
    <s v="L-D-1"/>
    <n v="1"/>
    <x v="637"/>
    <s v="aweinmannj8@shinystat.com"/>
    <x v="0"/>
    <s v="Lib"/>
    <s v="D"/>
    <x v="0"/>
    <n v="12.95"/>
    <n v="12.95"/>
    <x v="3"/>
    <x v="2"/>
    <x v="1"/>
    <s v="Elden Andriessen"/>
  </r>
  <r>
    <s v="KGC-95046-911"/>
    <x v="524"/>
    <s v="95351-96177-QV"/>
    <s v="A-M-2.5"/>
    <n v="2"/>
    <x v="638"/>
    <s v="eandriessenj9@europa.eu"/>
    <x v="0"/>
    <s v="Ara"/>
    <s v="M"/>
    <x v="2"/>
    <n v="25.874999999999996"/>
    <n v="51.749999999999993"/>
    <x v="2"/>
    <x v="0"/>
    <x v="0"/>
    <s v="Roxie Deaconson"/>
  </r>
  <r>
    <s v="RZC-75150-413"/>
    <x v="525"/>
    <s v="92204-96636-BS"/>
    <s v="E-D-0.5"/>
    <n v="5"/>
    <x v="639"/>
    <s v="rdeaconsonja@archive.org"/>
    <x v="0"/>
    <s v="Exc"/>
    <s v="D"/>
    <x v="1"/>
    <n v="7.29"/>
    <n v="36.450000000000003"/>
    <x v="1"/>
    <x v="2"/>
    <x v="1"/>
    <s v="Davida Caro"/>
  </r>
  <r>
    <s v="EYH-88288-452"/>
    <x v="526"/>
    <s v="03010-30348-UA"/>
    <s v="L-L-2.5"/>
    <n v="5"/>
    <x v="640"/>
    <s v="dcarojb@twitter.com"/>
    <x v="0"/>
    <s v="Lib"/>
    <s v="L"/>
    <x v="2"/>
    <n v="36.454999999999998"/>
    <n v="182.27499999999998"/>
    <x v="3"/>
    <x v="1"/>
    <x v="0"/>
    <s v="Johna Bluck"/>
  </r>
  <r>
    <s v="NYQ-24237-772"/>
    <x v="104"/>
    <s v="13441-34686-SW"/>
    <s v="L-D-0.5"/>
    <n v="4"/>
    <x v="641"/>
    <s v="jbluckjc@imageshack.us"/>
    <x v="0"/>
    <s v="Lib"/>
    <s v="D"/>
    <x v="1"/>
    <n v="7.77"/>
    <n v="31.08"/>
    <x v="3"/>
    <x v="2"/>
    <x v="1"/>
    <s v="Myrle Dearden"/>
  </r>
  <r>
    <s v="WKB-21680-566"/>
    <x v="491"/>
    <s v="96612-41722-VJ"/>
    <s v="A-M-0.5"/>
    <n v="3"/>
    <x v="642"/>
    <s v=""/>
    <x v="1"/>
    <s v="Ara"/>
    <s v="M"/>
    <x v="1"/>
    <n v="6.75"/>
    <n v="20.25"/>
    <x v="2"/>
    <x v="0"/>
    <x v="1"/>
    <s v="Jimmy Dymoke"/>
  </r>
  <r>
    <s v="THE-61147-027"/>
    <x v="157"/>
    <s v="94091-86957-HX"/>
    <s v="L-D-1"/>
    <n v="2"/>
    <x v="636"/>
    <s v="jdymokeje@prnewswire.com"/>
    <x v="1"/>
    <s v="Lib"/>
    <s v="D"/>
    <x v="0"/>
    <n v="12.95"/>
    <n v="25.9"/>
    <x v="3"/>
    <x v="2"/>
    <x v="1"/>
    <s v="Orland Tadman"/>
  </r>
  <r>
    <s v="PTY-86420-119"/>
    <x v="527"/>
    <s v="25504-41681-WA"/>
    <s v="A-D-0.5"/>
    <n v="4"/>
    <x v="643"/>
    <s v="otadmanjf@ft.com"/>
    <x v="0"/>
    <s v="Ara"/>
    <s v="D"/>
    <x v="1"/>
    <n v="5.97"/>
    <n v="23.88"/>
    <x v="2"/>
    <x v="2"/>
    <x v="0"/>
    <s v="Barrett Gudde"/>
  </r>
  <r>
    <s v="QHL-27188-431"/>
    <x v="528"/>
    <s v="75443-07820-DZ"/>
    <s v="L-L-0.5"/>
    <n v="2"/>
    <x v="644"/>
    <s v="bguddejg@dailymotion.com"/>
    <x v="0"/>
    <s v="Lib"/>
    <s v="L"/>
    <x v="1"/>
    <n v="9.51"/>
    <n v="19.02"/>
    <x v="3"/>
    <x v="1"/>
    <x v="1"/>
    <s v="Nathan Sictornes"/>
  </r>
  <r>
    <s v="MIS-54381-047"/>
    <x v="99"/>
    <s v="39276-95489-XV"/>
    <s v="A-D-0.5"/>
    <n v="5"/>
    <x v="645"/>
    <s v="nsictornesjh@buzzfeed.com"/>
    <x v="1"/>
    <s v="Ara"/>
    <s v="D"/>
    <x v="1"/>
    <n v="5.97"/>
    <n v="29.849999999999998"/>
    <x v="2"/>
    <x v="2"/>
    <x v="0"/>
    <s v="Vivyan Dunning"/>
  </r>
  <r>
    <s v="TBB-29780-459"/>
    <x v="529"/>
    <s v="61437-83623-PZ"/>
    <s v="A-L-0.5"/>
    <n v="1"/>
    <x v="646"/>
    <s v="vdunningji@independent.co.uk"/>
    <x v="0"/>
    <s v="Ara"/>
    <s v="L"/>
    <x v="1"/>
    <n v="7.77"/>
    <n v="7.77"/>
    <x v="2"/>
    <x v="1"/>
    <x v="0"/>
    <s v="Doralin Baison"/>
  </r>
  <r>
    <s v="QLC-52637-305"/>
    <x v="530"/>
    <s v="34317-87258-HQ"/>
    <s v="L-D-2.5"/>
    <n v="4"/>
    <x v="647"/>
    <s v=""/>
    <x v="1"/>
    <s v="Lib"/>
    <s v="D"/>
    <x v="2"/>
    <n v="29.784999999999997"/>
    <n v="119.13999999999999"/>
    <x v="3"/>
    <x v="2"/>
    <x v="0"/>
    <s v="Josefina Ferens"/>
  </r>
  <r>
    <s v="CWT-27056-328"/>
    <x v="531"/>
    <s v="18570-80998-ZS"/>
    <s v="E-D-0.2"/>
    <n v="6"/>
    <x v="648"/>
    <s v=""/>
    <x v="0"/>
    <s v="Exc"/>
    <s v="D"/>
    <x v="3"/>
    <n v="3.645"/>
    <n v="21.87"/>
    <x v="1"/>
    <x v="2"/>
    <x v="0"/>
    <s v="Shelley Gehring"/>
  </r>
  <r>
    <s v="ASS-05878-128"/>
    <x v="210"/>
    <s v="66580-33745-OQ"/>
    <s v="E-L-0.5"/>
    <n v="2"/>
    <x v="649"/>
    <s v="sgehringjl@gnu.org"/>
    <x v="0"/>
    <s v="Exc"/>
    <s v="L"/>
    <x v="1"/>
    <n v="8.91"/>
    <n v="17.82"/>
    <x v="1"/>
    <x v="1"/>
    <x v="1"/>
    <s v="Barrie Fallowes"/>
  </r>
  <r>
    <s v="EGK-03027-418"/>
    <x v="532"/>
    <s v="19820-29285-FD"/>
    <s v="E-M-0.2"/>
    <n v="3"/>
    <x v="650"/>
    <s v="bfallowesjm@purevolume.com"/>
    <x v="0"/>
    <s v="Exc"/>
    <s v="M"/>
    <x v="3"/>
    <n v="4.125"/>
    <n v="12.375"/>
    <x v="1"/>
    <x v="0"/>
    <x v="1"/>
    <s v="Nicolas Aiton"/>
  </r>
  <r>
    <s v="KCY-61732-849"/>
    <x v="533"/>
    <s v="11349-55147-SN"/>
    <s v="L-D-1"/>
    <n v="2"/>
    <x v="651"/>
    <s v=""/>
    <x v="1"/>
    <s v="Lib"/>
    <s v="D"/>
    <x v="0"/>
    <n v="12.95"/>
    <n v="25.9"/>
    <x v="3"/>
    <x v="2"/>
    <x v="1"/>
    <s v="Shelli De Banke"/>
  </r>
  <r>
    <s v="BLI-21697-702"/>
    <x v="534"/>
    <s v="21141-12455-VB"/>
    <s v="A-M-0.5"/>
    <n v="2"/>
    <x v="652"/>
    <s v="sdejo@newsvine.com"/>
    <x v="0"/>
    <s v="Ara"/>
    <s v="M"/>
    <x v="1"/>
    <n v="6.75"/>
    <n v="13.5"/>
    <x v="2"/>
    <x v="0"/>
    <x v="0"/>
    <s v="Lyell Murch"/>
  </r>
  <r>
    <s v="KFJ-46568-890"/>
    <x v="535"/>
    <s v="71003-85639-HB"/>
    <s v="E-L-0.5"/>
    <n v="2"/>
    <x v="653"/>
    <s v=""/>
    <x v="0"/>
    <s v="Exc"/>
    <s v="L"/>
    <x v="1"/>
    <n v="8.91"/>
    <n v="17.82"/>
    <x v="1"/>
    <x v="1"/>
    <x v="0"/>
    <s v="Stearne Count"/>
  </r>
  <r>
    <s v="SOK-43535-680"/>
    <x v="536"/>
    <s v="58443-95866-YO"/>
    <s v="E-M-0.5"/>
    <n v="3"/>
    <x v="654"/>
    <s v="scountjq@nba.com"/>
    <x v="0"/>
    <s v="Exc"/>
    <s v="M"/>
    <x v="1"/>
    <n v="8.25"/>
    <n v="24.75"/>
    <x v="1"/>
    <x v="0"/>
    <x v="1"/>
    <s v="Selia Ragles"/>
  </r>
  <r>
    <s v="XUE-87260-201"/>
    <x v="537"/>
    <s v="89646-21249-OH"/>
    <s v="R-M-0.2"/>
    <n v="6"/>
    <x v="655"/>
    <s v="sraglesjr@blogtalkradio.com"/>
    <x v="0"/>
    <s v="Rob"/>
    <s v="M"/>
    <x v="3"/>
    <n v="2.9849999999999999"/>
    <n v="17.91"/>
    <x v="0"/>
    <x v="0"/>
    <x v="1"/>
    <s v="Silas Deehan"/>
  </r>
  <r>
    <s v="CZF-40873-691"/>
    <x v="61"/>
    <s v="64988-20636-XQ"/>
    <s v="E-M-0.5"/>
    <n v="2"/>
    <x v="656"/>
    <s v=""/>
    <x v="2"/>
    <s v="Exc"/>
    <s v="M"/>
    <x v="1"/>
    <n v="8.25"/>
    <n v="16.5"/>
    <x v="1"/>
    <x v="0"/>
    <x v="1"/>
    <s v="Sacha Bruun"/>
  </r>
  <r>
    <s v="AIA-98989-755"/>
    <x v="242"/>
    <s v="34704-83143-KS"/>
    <s v="R-M-0.2"/>
    <n v="1"/>
    <x v="657"/>
    <s v="sbruunjt@blogtalkradio.com"/>
    <x v="0"/>
    <s v="Rob"/>
    <s v="M"/>
    <x v="3"/>
    <n v="2.9849999999999999"/>
    <n v="2.9849999999999999"/>
    <x v="0"/>
    <x v="0"/>
    <x v="1"/>
    <s v="Alon Pllu"/>
  </r>
  <r>
    <s v="ITZ-21793-986"/>
    <x v="299"/>
    <s v="67388-17544-XX"/>
    <s v="E-D-0.2"/>
    <n v="4"/>
    <x v="658"/>
    <s v="aplluju@dagondesign.com"/>
    <x v="1"/>
    <s v="Exc"/>
    <s v="D"/>
    <x v="3"/>
    <n v="3.645"/>
    <n v="14.58"/>
    <x v="1"/>
    <x v="2"/>
    <x v="0"/>
    <s v="Gilberto Cornier"/>
  </r>
  <r>
    <s v="YOK-93322-608"/>
    <x v="343"/>
    <s v="69411-48470-ID"/>
    <s v="E-L-1"/>
    <n v="6"/>
    <x v="659"/>
    <s v="gcornierjv@techcrunch.com"/>
    <x v="0"/>
    <s v="Exc"/>
    <s v="L"/>
    <x v="0"/>
    <n v="14.85"/>
    <n v="89.1"/>
    <x v="1"/>
    <x v="1"/>
    <x v="1"/>
    <s v="Jimmy Dymoke"/>
  </r>
  <r>
    <s v="LXK-00634-611"/>
    <x v="538"/>
    <s v="94091-86957-HX"/>
    <s v="R-L-1"/>
    <n v="3"/>
    <x v="636"/>
    <e v="#N/A"/>
    <x v="1"/>
    <s v="Rob"/>
    <s v="L"/>
    <x v="0"/>
    <n v="11.95"/>
    <n v="35.849999999999994"/>
    <x v="0"/>
    <x v="1"/>
    <x v="1"/>
    <s v="Willabella Harvison"/>
  </r>
  <r>
    <s v="CQW-37388-302"/>
    <x v="539"/>
    <s v="97741-98924-KT"/>
    <s v="A-D-2.5"/>
    <n v="3"/>
    <x v="660"/>
    <s v="wharvisonjx@gizmodo.com"/>
    <x v="0"/>
    <s v="Ara"/>
    <s v="D"/>
    <x v="2"/>
    <n v="22.884999999999998"/>
    <n v="68.655000000000001"/>
    <x v="2"/>
    <x v="2"/>
    <x v="1"/>
    <s v="Darice Heaford"/>
  </r>
  <r>
    <s v="SPA-79365-334"/>
    <x v="27"/>
    <s v="79857-78167-KO"/>
    <s v="L-D-1"/>
    <n v="3"/>
    <x v="661"/>
    <s v="dheafordjy@twitpic.com"/>
    <x v="0"/>
    <s v="Lib"/>
    <s v="D"/>
    <x v="0"/>
    <n v="12.95"/>
    <n v="38.849999999999994"/>
    <x v="3"/>
    <x v="2"/>
    <x v="1"/>
    <s v="Granger Fantham"/>
  </r>
  <r>
    <s v="VPX-08817-517"/>
    <x v="540"/>
    <s v="46963-10322-ZA"/>
    <s v="L-L-1"/>
    <n v="5"/>
    <x v="662"/>
    <s v="gfanthamjz@hexun.com"/>
    <x v="0"/>
    <s v="Lib"/>
    <s v="L"/>
    <x v="0"/>
    <n v="15.85"/>
    <n v="79.25"/>
    <x v="3"/>
    <x v="1"/>
    <x v="0"/>
    <s v="Reynolds Crookshanks"/>
  </r>
  <r>
    <s v="PBP-87115-410"/>
    <x v="541"/>
    <s v="93812-74772-MV"/>
    <s v="E-D-0.5"/>
    <n v="5"/>
    <x v="663"/>
    <s v="rcrookshanksk0@unc.edu"/>
    <x v="0"/>
    <s v="Exc"/>
    <s v="D"/>
    <x v="1"/>
    <n v="7.29"/>
    <n v="36.450000000000003"/>
    <x v="1"/>
    <x v="2"/>
    <x v="0"/>
    <s v="Niels Leake"/>
  </r>
  <r>
    <s v="SFB-93752-440"/>
    <x v="390"/>
    <s v="48203-23480-UB"/>
    <s v="R-M-0.2"/>
    <n v="3"/>
    <x v="664"/>
    <s v="nleakek1@cmu.edu"/>
    <x v="0"/>
    <s v="Rob"/>
    <s v="M"/>
    <x v="3"/>
    <n v="2.9849999999999999"/>
    <n v="8.9550000000000001"/>
    <x v="0"/>
    <x v="0"/>
    <x v="0"/>
    <s v="Hetti Measures"/>
  </r>
  <r>
    <s v="TBU-65158-068"/>
    <x v="396"/>
    <s v="60357-65386-RD"/>
    <s v="E-D-1"/>
    <n v="2"/>
    <x v="665"/>
    <s v=""/>
    <x v="0"/>
    <s v="Exc"/>
    <s v="D"/>
    <x v="0"/>
    <n v="12.15"/>
    <n v="24.3"/>
    <x v="1"/>
    <x v="2"/>
    <x v="1"/>
    <s v="Gay Eilhersen"/>
  </r>
  <r>
    <s v="TEH-08414-216"/>
    <x v="185"/>
    <s v="35099-13971-JI"/>
    <s v="E-M-2.5"/>
    <n v="2"/>
    <x v="666"/>
    <s v="geilhersenk3@networksolutions.com"/>
    <x v="0"/>
    <s v="Exc"/>
    <s v="M"/>
    <x v="2"/>
    <n v="31.624999999999996"/>
    <n v="63.249999999999993"/>
    <x v="1"/>
    <x v="0"/>
    <x v="1"/>
    <s v="Nico Hubert"/>
  </r>
  <r>
    <s v="MAY-77231-536"/>
    <x v="542"/>
    <s v="01304-59807-OB"/>
    <s v="A-M-0.2"/>
    <n v="2"/>
    <x v="667"/>
    <s v=""/>
    <x v="0"/>
    <s v="Ara"/>
    <s v="M"/>
    <x v="3"/>
    <n v="3.375"/>
    <n v="6.75"/>
    <x v="2"/>
    <x v="0"/>
    <x v="0"/>
    <s v="Cristina Aleixo"/>
  </r>
  <r>
    <s v="ATY-28980-884"/>
    <x v="117"/>
    <s v="50705-17295-NK"/>
    <s v="A-L-0.2"/>
    <n v="6"/>
    <x v="668"/>
    <s v="caleixok5@globo.com"/>
    <x v="0"/>
    <s v="Ara"/>
    <s v="L"/>
    <x v="3"/>
    <n v="3.8849999999999998"/>
    <n v="23.31"/>
    <x v="2"/>
    <x v="1"/>
    <x v="1"/>
    <s v="Derrek Allpress"/>
  </r>
  <r>
    <s v="SWP-88281-918"/>
    <x v="543"/>
    <s v="77657-61366-FY"/>
    <s v="L-L-2.5"/>
    <n v="4"/>
    <x v="669"/>
    <s v=""/>
    <x v="0"/>
    <s v="Lib"/>
    <s v="L"/>
    <x v="2"/>
    <n v="36.454999999999998"/>
    <n v="145.82"/>
    <x v="3"/>
    <x v="1"/>
    <x v="1"/>
    <s v="Rikki Tomkowicz"/>
  </r>
  <r>
    <s v="VCE-56531-986"/>
    <x v="544"/>
    <s v="57192-13428-PL"/>
    <s v="R-M-0.5"/>
    <n v="5"/>
    <x v="670"/>
    <s v="rtomkowiczk7@bravesites.com"/>
    <x v="1"/>
    <s v="Rob"/>
    <s v="M"/>
    <x v="1"/>
    <n v="5.97"/>
    <n v="29.849999999999998"/>
    <x v="0"/>
    <x v="0"/>
    <x v="0"/>
    <s v="Rochette Huscroft"/>
  </r>
  <r>
    <s v="FVV-75700-005"/>
    <x v="545"/>
    <s v="24891-77957-LU"/>
    <s v="E-D-0.5"/>
    <n v="3"/>
    <x v="671"/>
    <s v="rhuscroftk8@jimdo.com"/>
    <x v="0"/>
    <s v="Exc"/>
    <s v="D"/>
    <x v="1"/>
    <n v="7.29"/>
    <n v="21.87"/>
    <x v="1"/>
    <x v="2"/>
    <x v="0"/>
    <s v="Selle Scurrer"/>
  </r>
  <r>
    <s v="CFZ-53492-600"/>
    <x v="546"/>
    <s v="64896-18468-BT"/>
    <s v="L-M-0.2"/>
    <n v="1"/>
    <x v="672"/>
    <s v="sscurrerk9@flavors.me"/>
    <x v="2"/>
    <s v="Lib"/>
    <s v="M"/>
    <x v="3"/>
    <n v="4.3650000000000002"/>
    <n v="4.3650000000000002"/>
    <x v="3"/>
    <x v="0"/>
    <x v="1"/>
    <s v="Andie Rudram"/>
  </r>
  <r>
    <s v="LDK-71031-121"/>
    <x v="420"/>
    <s v="84761-40784-SV"/>
    <s v="L-L-2.5"/>
    <n v="1"/>
    <x v="673"/>
    <s v="arudramka@prnewswire.com"/>
    <x v="0"/>
    <s v="Lib"/>
    <s v="L"/>
    <x v="2"/>
    <n v="36.454999999999998"/>
    <n v="36.454999999999998"/>
    <x v="3"/>
    <x v="1"/>
    <x v="1"/>
    <s v="Leta Clarricoates"/>
  </r>
  <r>
    <s v="EBA-82404-343"/>
    <x v="547"/>
    <s v="20236-42322-CM"/>
    <s v="L-D-0.2"/>
    <n v="4"/>
    <x v="674"/>
    <s v=""/>
    <x v="0"/>
    <s v="Lib"/>
    <s v="D"/>
    <x v="3"/>
    <n v="3.8849999999999998"/>
    <n v="15.54"/>
    <x v="3"/>
    <x v="2"/>
    <x v="0"/>
    <s v="Jacquelyn Maha"/>
  </r>
  <r>
    <s v="USA-42811-560"/>
    <x v="548"/>
    <s v="49671-11547-WG"/>
    <s v="E-L-0.2"/>
    <n v="2"/>
    <x v="675"/>
    <s v="jmahakc@cyberchimps.com"/>
    <x v="0"/>
    <s v="Exc"/>
    <s v="L"/>
    <x v="3"/>
    <n v="4.4550000000000001"/>
    <n v="8.91"/>
    <x v="1"/>
    <x v="1"/>
    <x v="1"/>
    <s v="Glory Clemon"/>
  </r>
  <r>
    <s v="SNL-83703-516"/>
    <x v="549"/>
    <s v="57976-33535-WK"/>
    <s v="L-M-2.5"/>
    <n v="3"/>
    <x v="676"/>
    <s v="gclemonkd@networksolutions.com"/>
    <x v="0"/>
    <s v="Lib"/>
    <s v="M"/>
    <x v="2"/>
    <n v="33.464999999999996"/>
    <n v="100.39499999999998"/>
    <x v="3"/>
    <x v="0"/>
    <x v="0"/>
    <s v="Alica Kift"/>
  </r>
  <r>
    <s v="SUZ-83036-175"/>
    <x v="550"/>
    <s v="55915-19477-MK"/>
    <s v="R-D-0.2"/>
    <n v="5"/>
    <x v="677"/>
    <s v=""/>
    <x v="0"/>
    <s v="Rob"/>
    <s v="D"/>
    <x v="3"/>
    <n v="2.6849999999999996"/>
    <n v="13.424999999999997"/>
    <x v="0"/>
    <x v="2"/>
    <x v="1"/>
    <s v="Babb Pollins"/>
  </r>
  <r>
    <s v="RGM-01187-513"/>
    <x v="551"/>
    <s v="28121-11641-UA"/>
    <s v="E-D-0.2"/>
    <n v="6"/>
    <x v="678"/>
    <s v="bpollinskf@shinystat.com"/>
    <x v="0"/>
    <s v="Exc"/>
    <s v="D"/>
    <x v="3"/>
    <n v="3.645"/>
    <n v="21.87"/>
    <x v="1"/>
    <x v="2"/>
    <x v="1"/>
    <s v="Jarret Toye"/>
  </r>
  <r>
    <s v="CZG-01299-952"/>
    <x v="552"/>
    <s v="09540-70637-EV"/>
    <s v="L-D-1"/>
    <n v="2"/>
    <x v="679"/>
    <s v="jtoyekg@pinterest.com"/>
    <x v="1"/>
    <s v="Lib"/>
    <s v="D"/>
    <x v="0"/>
    <n v="12.95"/>
    <n v="25.9"/>
    <x v="3"/>
    <x v="2"/>
    <x v="0"/>
    <s v="Carlie Linskill"/>
  </r>
  <r>
    <s v="KLD-88731-484"/>
    <x v="553"/>
    <s v="17775-77072-PP"/>
    <s v="A-M-1"/>
    <n v="5"/>
    <x v="680"/>
    <s v="clinskillkh@sphinn.com"/>
    <x v="0"/>
    <s v="Ara"/>
    <s v="M"/>
    <x v="0"/>
    <n v="11.25"/>
    <n v="56.25"/>
    <x v="2"/>
    <x v="0"/>
    <x v="1"/>
    <s v="Natal Vigrass"/>
  </r>
  <r>
    <s v="BQK-38412-229"/>
    <x v="554"/>
    <s v="90392-73338-BC"/>
    <s v="R-L-0.2"/>
    <n v="3"/>
    <x v="681"/>
    <s v="nvigrasski@ezinearticles.com"/>
    <x v="2"/>
    <s v="Rob"/>
    <s v="L"/>
    <x v="3"/>
    <n v="3.5849999999999995"/>
    <n v="10.754999999999999"/>
    <x v="0"/>
    <x v="1"/>
    <x v="1"/>
    <s v="Jimmy Dymoke"/>
  </r>
  <r>
    <s v="TCX-76953-071"/>
    <x v="555"/>
    <s v="94091-86957-HX"/>
    <s v="E-D-0.2"/>
    <n v="5"/>
    <x v="636"/>
    <e v="#N/A"/>
    <x v="1"/>
    <s v="Exc"/>
    <s v="D"/>
    <x v="3"/>
    <n v="3.645"/>
    <n v="18.225000000000001"/>
    <x v="1"/>
    <x v="2"/>
    <x v="1"/>
    <s v="Kandace Cragell"/>
  </r>
  <r>
    <s v="LIN-88046-551"/>
    <x v="150"/>
    <s v="10725-45724-CO"/>
    <s v="R-L-0.5"/>
    <n v="4"/>
    <x v="682"/>
    <s v="kcragellkk@google.com"/>
    <x v="1"/>
    <s v="Rob"/>
    <s v="L"/>
    <x v="1"/>
    <n v="7.169999999999999"/>
    <n v="28.679999999999996"/>
    <x v="0"/>
    <x v="1"/>
    <x v="1"/>
    <s v="Lyon Ibert"/>
  </r>
  <r>
    <s v="PMV-54491-220"/>
    <x v="556"/>
    <s v="87242-18006-IR"/>
    <s v="L-M-0.2"/>
    <n v="2"/>
    <x v="683"/>
    <s v="libertkl@huffingtonpost.com"/>
    <x v="0"/>
    <s v="Lib"/>
    <s v="M"/>
    <x v="3"/>
    <n v="4.3650000000000002"/>
    <n v="8.73"/>
    <x v="3"/>
    <x v="0"/>
    <x v="1"/>
    <s v="Reese Lidgey"/>
  </r>
  <r>
    <s v="SKA-73676-005"/>
    <x v="327"/>
    <s v="36572-91896-PP"/>
    <s v="L-M-1"/>
    <n v="4"/>
    <x v="684"/>
    <s v="rlidgeykm@vimeo.com"/>
    <x v="0"/>
    <s v="Lib"/>
    <s v="M"/>
    <x v="0"/>
    <n v="14.55"/>
    <n v="58.2"/>
    <x v="3"/>
    <x v="0"/>
    <x v="1"/>
    <s v="Tersina Castagne"/>
  </r>
  <r>
    <s v="TKH-62197-239"/>
    <x v="557"/>
    <s v="25181-97933-UX"/>
    <s v="A-D-0.5"/>
    <n v="3"/>
    <x v="685"/>
    <s v="tcastagnekn@wikia.com"/>
    <x v="0"/>
    <s v="Ara"/>
    <s v="D"/>
    <x v="1"/>
    <n v="5.97"/>
    <n v="17.91"/>
    <x v="2"/>
    <x v="2"/>
    <x v="1"/>
    <s v="Samuele Klaaassen"/>
  </r>
  <r>
    <s v="YXF-57218-272"/>
    <x v="333"/>
    <s v="55374-03175-IA"/>
    <s v="R-M-0.2"/>
    <n v="6"/>
    <x v="686"/>
    <s v=""/>
    <x v="0"/>
    <s v="Rob"/>
    <s v="M"/>
    <x v="3"/>
    <n v="2.9849999999999999"/>
    <n v="17.91"/>
    <x v="0"/>
    <x v="0"/>
    <x v="0"/>
    <s v="Jordana Halden"/>
  </r>
  <r>
    <s v="PKJ-30083-501"/>
    <x v="558"/>
    <s v="76948-43532-JS"/>
    <s v="E-D-0.5"/>
    <n v="2"/>
    <x v="687"/>
    <s v="jhaldenkp@comcast.net"/>
    <x v="1"/>
    <s v="Exc"/>
    <s v="D"/>
    <x v="1"/>
    <n v="7.29"/>
    <n v="14.58"/>
    <x v="1"/>
    <x v="2"/>
    <x v="1"/>
    <s v="Hussein Olliff"/>
  </r>
  <r>
    <s v="WTT-91832-645"/>
    <x v="559"/>
    <s v="24344-88599-PP"/>
    <s v="A-M-1"/>
    <n v="3"/>
    <x v="688"/>
    <s v="holliffkq@sciencedirect.com"/>
    <x v="1"/>
    <s v="Ara"/>
    <s v="M"/>
    <x v="0"/>
    <n v="11.25"/>
    <n v="33.75"/>
    <x v="2"/>
    <x v="0"/>
    <x v="1"/>
    <s v="Teddi Quadri"/>
  </r>
  <r>
    <s v="TRZ-94735-865"/>
    <x v="310"/>
    <s v="54462-58311-YF"/>
    <s v="L-M-0.5"/>
    <n v="4"/>
    <x v="689"/>
    <s v="tquadrikr@opensource.org"/>
    <x v="1"/>
    <s v="Lib"/>
    <s v="M"/>
    <x v="1"/>
    <n v="8.73"/>
    <n v="34.92"/>
    <x v="3"/>
    <x v="0"/>
    <x v="0"/>
    <s v="Felita Eshmade"/>
  </r>
  <r>
    <s v="UDB-09651-780"/>
    <x v="560"/>
    <s v="90767-92589-LV"/>
    <s v="E-D-0.5"/>
    <n v="2"/>
    <x v="690"/>
    <s v="feshmadeks@umn.edu"/>
    <x v="0"/>
    <s v="Exc"/>
    <s v="D"/>
    <x v="1"/>
    <n v="7.29"/>
    <n v="14.58"/>
    <x v="1"/>
    <x v="2"/>
    <x v="1"/>
    <s v="Melodie OIlier"/>
  </r>
  <r>
    <s v="EHJ-82097-549"/>
    <x v="561"/>
    <s v="27517-43747-YD"/>
    <s v="R-D-0.2"/>
    <n v="2"/>
    <x v="691"/>
    <s v="moilierkt@paginegialle.it"/>
    <x v="1"/>
    <s v="Rob"/>
    <s v="D"/>
    <x v="3"/>
    <n v="2.6849999999999996"/>
    <n v="5.3699999999999992"/>
    <x v="0"/>
    <x v="2"/>
    <x v="0"/>
    <s v="Hazel Iacopini"/>
  </r>
  <r>
    <s v="ZFR-79447-696"/>
    <x v="562"/>
    <s v="77828-66867-KH"/>
    <s v="R-M-0.5"/>
    <n v="1"/>
    <x v="692"/>
    <s v=""/>
    <x v="0"/>
    <s v="Rob"/>
    <s v="M"/>
    <x v="1"/>
    <n v="5.97"/>
    <n v="5.97"/>
    <x v="0"/>
    <x v="0"/>
    <x v="0"/>
    <s v="Vinny Shoebotham"/>
  </r>
  <r>
    <s v="NUU-03893-975"/>
    <x v="563"/>
    <s v="41054-59693-XE"/>
    <s v="L-L-0.5"/>
    <n v="2"/>
    <x v="693"/>
    <s v="vshoebothamkv@redcross.org"/>
    <x v="0"/>
    <s v="Lib"/>
    <s v="L"/>
    <x v="1"/>
    <n v="9.51"/>
    <n v="19.02"/>
    <x v="3"/>
    <x v="1"/>
    <x v="1"/>
    <s v="Bran Sterke"/>
  </r>
  <r>
    <s v="GVG-59542-307"/>
    <x v="564"/>
    <s v="26314-66792-VP"/>
    <s v="E-M-1"/>
    <n v="2"/>
    <x v="694"/>
    <s v="bsterkekw@biblegateway.com"/>
    <x v="0"/>
    <s v="Exc"/>
    <s v="M"/>
    <x v="0"/>
    <n v="13.75"/>
    <n v="27.5"/>
    <x v="1"/>
    <x v="0"/>
    <x v="0"/>
    <s v="Simone Capon"/>
  </r>
  <r>
    <s v="YLY-35287-172"/>
    <x v="565"/>
    <s v="69410-04668-MA"/>
    <s v="A-D-0.5"/>
    <n v="5"/>
    <x v="695"/>
    <s v="scaponkx@craigslist.org"/>
    <x v="0"/>
    <s v="Ara"/>
    <s v="D"/>
    <x v="1"/>
    <n v="5.97"/>
    <n v="29.849999999999998"/>
    <x v="2"/>
    <x v="2"/>
    <x v="1"/>
    <s v="Jimmy Dymoke"/>
  </r>
  <r>
    <s v="DCI-96254-548"/>
    <x v="566"/>
    <s v="94091-86957-HX"/>
    <s v="A-D-0.2"/>
    <n v="6"/>
    <x v="636"/>
    <e v="#N/A"/>
    <x v="1"/>
    <s v="Ara"/>
    <s v="D"/>
    <x v="3"/>
    <n v="2.9849999999999999"/>
    <n v="17.91"/>
    <x v="2"/>
    <x v="2"/>
    <x v="1"/>
    <s v="Foster Constance"/>
  </r>
  <r>
    <s v="KHZ-26264-253"/>
    <x v="160"/>
    <s v="24972-55878-KX"/>
    <s v="L-L-0.2"/>
    <n v="6"/>
    <x v="696"/>
    <s v="fconstancekz@ifeng.com"/>
    <x v="0"/>
    <s v="Lib"/>
    <s v="L"/>
    <x v="3"/>
    <n v="4.7549999999999999"/>
    <n v="28.53"/>
    <x v="3"/>
    <x v="1"/>
    <x v="1"/>
    <s v="Fernando Sulman"/>
  </r>
  <r>
    <s v="AAQ-13644-699"/>
    <x v="567"/>
    <s v="46296-42617-OQ"/>
    <s v="R-D-1"/>
    <n v="4"/>
    <x v="697"/>
    <s v="fsulmanl0@washington.edu"/>
    <x v="0"/>
    <s v="Rob"/>
    <s v="D"/>
    <x v="0"/>
    <n v="8.9499999999999993"/>
    <n v="35.799999999999997"/>
    <x v="0"/>
    <x v="2"/>
    <x v="0"/>
    <s v="Dorotea Hollyman"/>
  </r>
  <r>
    <s v="LWL-68108-794"/>
    <x v="568"/>
    <s v="44494-89923-UW"/>
    <s v="A-D-0.5"/>
    <n v="3"/>
    <x v="698"/>
    <s v="dhollymanl1@ibm.com"/>
    <x v="0"/>
    <s v="Ara"/>
    <s v="D"/>
    <x v="1"/>
    <n v="5.97"/>
    <n v="17.91"/>
    <x v="2"/>
    <x v="2"/>
    <x v="0"/>
    <s v="Lorelei Nardoni"/>
  </r>
  <r>
    <s v="JQT-14347-517"/>
    <x v="569"/>
    <s v="11621-09964-ID"/>
    <s v="R-D-1"/>
    <n v="1"/>
    <x v="699"/>
    <s v="lnardonil2@hao123.com"/>
    <x v="0"/>
    <s v="Rob"/>
    <s v="D"/>
    <x v="0"/>
    <n v="8.9499999999999993"/>
    <n v="8.9499999999999993"/>
    <x v="0"/>
    <x v="2"/>
    <x v="1"/>
    <s v="Dallas Yarham"/>
  </r>
  <r>
    <s v="BMM-86471-923"/>
    <x v="570"/>
    <s v="76319-80715-II"/>
    <s v="L-D-2.5"/>
    <n v="1"/>
    <x v="700"/>
    <s v="dyarhaml3@moonfruit.com"/>
    <x v="0"/>
    <s v="Lib"/>
    <s v="D"/>
    <x v="2"/>
    <n v="29.784999999999997"/>
    <n v="29.784999999999997"/>
    <x v="3"/>
    <x v="2"/>
    <x v="0"/>
    <s v="Arlana Ferrea"/>
  </r>
  <r>
    <s v="IXU-67272-326"/>
    <x v="571"/>
    <s v="91654-79216-IC"/>
    <s v="E-L-0.5"/>
    <n v="5"/>
    <x v="701"/>
    <s v="aferreal4@wikia.com"/>
    <x v="0"/>
    <s v="Exc"/>
    <s v="L"/>
    <x v="1"/>
    <n v="8.91"/>
    <n v="44.55"/>
    <x v="1"/>
    <x v="1"/>
    <x v="1"/>
    <s v="Chuck Kendrick"/>
  </r>
  <r>
    <s v="ITE-28312-615"/>
    <x v="139"/>
    <s v="56450-21890-HK"/>
    <s v="E-L-1"/>
    <n v="6"/>
    <x v="702"/>
    <s v="ckendrickl5@webnode.com"/>
    <x v="0"/>
    <s v="Exc"/>
    <s v="L"/>
    <x v="0"/>
    <n v="14.85"/>
    <n v="89.1"/>
    <x v="1"/>
    <x v="1"/>
    <x v="0"/>
    <s v="Sharona Danilchik"/>
  </r>
  <r>
    <s v="ZHQ-30471-635"/>
    <x v="303"/>
    <s v="40600-58915-WZ"/>
    <s v="L-M-0.5"/>
    <n v="5"/>
    <x v="703"/>
    <s v="sdanilchikl6@mit.edu"/>
    <x v="2"/>
    <s v="Lib"/>
    <s v="M"/>
    <x v="1"/>
    <n v="8.73"/>
    <n v="43.650000000000006"/>
    <x v="3"/>
    <x v="0"/>
    <x v="1"/>
    <s v="Sarajane Potter"/>
  </r>
  <r>
    <s v="LTP-31133-134"/>
    <x v="572"/>
    <s v="66527-94478-PB"/>
    <s v="A-L-0.5"/>
    <n v="3"/>
    <x v="704"/>
    <s v=""/>
    <x v="0"/>
    <s v="Ara"/>
    <s v="L"/>
    <x v="1"/>
    <n v="7.77"/>
    <n v="23.31"/>
    <x v="2"/>
    <x v="1"/>
    <x v="1"/>
    <s v="Bobby Folomkin"/>
  </r>
  <r>
    <s v="ZVQ-26122-859"/>
    <x v="573"/>
    <s v="77154-45038-IH"/>
    <s v="A-L-2.5"/>
    <n v="6"/>
    <x v="705"/>
    <s v="bfolomkinl8@yolasite.com"/>
    <x v="0"/>
    <s v="Ara"/>
    <s v="L"/>
    <x v="2"/>
    <n v="29.784999999999997"/>
    <n v="178.70999999999998"/>
    <x v="2"/>
    <x v="1"/>
    <x v="0"/>
    <s v="Rafferty Pursglove"/>
  </r>
  <r>
    <s v="MIU-01481-194"/>
    <x v="574"/>
    <s v="08439-55669-AI"/>
    <s v="R-M-1"/>
    <n v="6"/>
    <x v="706"/>
    <s v="rpursglovel9@biblegateway.com"/>
    <x v="0"/>
    <s v="Rob"/>
    <s v="M"/>
    <x v="0"/>
    <n v="9.9499999999999993"/>
    <n v="59.699999999999996"/>
    <x v="0"/>
    <x v="0"/>
    <x v="0"/>
    <s v="Rafferty Pursglove"/>
  </r>
  <r>
    <s v="MIU-01481-194"/>
    <x v="574"/>
    <s v="08439-55669-AI"/>
    <s v="A-L-0.5"/>
    <n v="2"/>
    <x v="706"/>
    <s v="rpursglovel9@biblegateway.com"/>
    <x v="0"/>
    <s v="Ara"/>
    <s v="L"/>
    <x v="1"/>
    <n v="7.77"/>
    <n v="15.54"/>
    <x v="2"/>
    <x v="1"/>
    <x v="0"/>
    <s v="Foster Constance"/>
  </r>
  <r>
    <s v="UEA-72681-629"/>
    <x v="455"/>
    <s v="24972-55878-KX"/>
    <s v="A-L-2.5"/>
    <n v="3"/>
    <x v="696"/>
    <e v="#N/A"/>
    <x v="1"/>
    <s v="Ara"/>
    <s v="L"/>
    <x v="2"/>
    <n v="29.784999999999997"/>
    <n v="89.35499999999999"/>
    <x v="2"/>
    <x v="1"/>
    <x v="1"/>
    <s v="Foster Constance"/>
  </r>
  <r>
    <s v="CVE-15042-481"/>
    <x v="575"/>
    <s v="24972-55878-KX"/>
    <s v="R-L-1"/>
    <n v="2"/>
    <x v="696"/>
    <e v="#N/A"/>
    <x v="1"/>
    <s v="Rob"/>
    <s v="L"/>
    <x v="0"/>
    <n v="11.95"/>
    <n v="23.9"/>
    <x v="0"/>
    <x v="1"/>
    <x v="1"/>
    <s v="Dalia Eburah"/>
  </r>
  <r>
    <s v="EJA-79176-833"/>
    <x v="576"/>
    <s v="91509-62250-GN"/>
    <s v="R-M-2.5"/>
    <n v="6"/>
    <x v="707"/>
    <s v="deburahld@google.co.jp"/>
    <x v="2"/>
    <s v="Rob"/>
    <s v="M"/>
    <x v="2"/>
    <n v="22.884999999999998"/>
    <n v="137.31"/>
    <x v="0"/>
    <x v="0"/>
    <x v="1"/>
    <s v="Martie Brimilcombe"/>
  </r>
  <r>
    <s v="AHQ-40440-522"/>
    <x v="577"/>
    <s v="83833-46106-ZC"/>
    <s v="A-D-1"/>
    <n v="1"/>
    <x v="708"/>
    <s v="mbrimilcombele@cnn.com"/>
    <x v="0"/>
    <s v="Ara"/>
    <s v="D"/>
    <x v="0"/>
    <n v="9.9499999999999993"/>
    <n v="9.9499999999999993"/>
    <x v="2"/>
    <x v="2"/>
    <x v="1"/>
    <s v="Suzanna Bollam"/>
  </r>
  <r>
    <s v="TID-21626-411"/>
    <x v="578"/>
    <s v="19383-33606-PW"/>
    <s v="R-L-0.5"/>
    <n v="3"/>
    <x v="709"/>
    <s v="sbollamlf@list-manage.com"/>
    <x v="0"/>
    <s v="Rob"/>
    <s v="L"/>
    <x v="1"/>
    <n v="7.169999999999999"/>
    <n v="21.509999999999998"/>
    <x v="0"/>
    <x v="1"/>
    <x v="1"/>
    <s v="Mellisa Mebes"/>
  </r>
  <r>
    <s v="RSR-96390-187"/>
    <x v="579"/>
    <s v="67052-76184-CB"/>
    <s v="E-M-1"/>
    <n v="6"/>
    <x v="710"/>
    <s v=""/>
    <x v="0"/>
    <s v="Exc"/>
    <s v="M"/>
    <x v="0"/>
    <n v="13.75"/>
    <n v="82.5"/>
    <x v="1"/>
    <x v="0"/>
    <x v="1"/>
    <s v="Alva Filipczak"/>
  </r>
  <r>
    <s v="BZE-96093-118"/>
    <x v="91"/>
    <s v="43452-18035-DH"/>
    <s v="L-M-0.2"/>
    <n v="2"/>
    <x v="711"/>
    <s v="afilipczaklh@ning.com"/>
    <x v="1"/>
    <s v="Lib"/>
    <s v="M"/>
    <x v="3"/>
    <n v="4.3650000000000002"/>
    <n v="8.73"/>
    <x v="3"/>
    <x v="0"/>
    <x v="1"/>
    <s v="Dorette Hinemoor"/>
  </r>
  <r>
    <s v="LOU-41819-242"/>
    <x v="272"/>
    <s v="88060-50676-MV"/>
    <s v="R-M-1"/>
    <n v="2"/>
    <x v="712"/>
    <s v=""/>
    <x v="0"/>
    <s v="Rob"/>
    <s v="M"/>
    <x v="0"/>
    <n v="9.9499999999999993"/>
    <n v="19.899999999999999"/>
    <x v="0"/>
    <x v="0"/>
    <x v="0"/>
    <s v="Rhetta Elnaugh"/>
  </r>
  <r>
    <s v="FND-99527-640"/>
    <x v="65"/>
    <s v="89574-96203-EP"/>
    <s v="E-L-0.5"/>
    <n v="2"/>
    <x v="713"/>
    <s v="relnaughlj@comsenz.com"/>
    <x v="0"/>
    <s v="Exc"/>
    <s v="L"/>
    <x v="1"/>
    <n v="8.91"/>
    <n v="17.82"/>
    <x v="1"/>
    <x v="1"/>
    <x v="0"/>
    <s v="Jule Deehan"/>
  </r>
  <r>
    <s v="ASG-27179-958"/>
    <x v="580"/>
    <s v="12607-75113-UV"/>
    <s v="A-M-0.5"/>
    <n v="3"/>
    <x v="714"/>
    <s v="jdeehanlk@about.me"/>
    <x v="0"/>
    <s v="Ara"/>
    <s v="M"/>
    <x v="1"/>
    <n v="6.75"/>
    <n v="20.25"/>
    <x v="2"/>
    <x v="0"/>
    <x v="1"/>
    <s v="Janella Eden"/>
  </r>
  <r>
    <s v="YKX-23510-272"/>
    <x v="581"/>
    <s v="56991-05510-PR"/>
    <s v="A-L-2.5"/>
    <n v="2"/>
    <x v="715"/>
    <s v="jedenll@e-recht24.de"/>
    <x v="0"/>
    <s v="Ara"/>
    <s v="L"/>
    <x v="2"/>
    <n v="29.784999999999997"/>
    <n v="59.569999999999993"/>
    <x v="2"/>
    <x v="1"/>
    <x v="1"/>
    <s v="Cam Jewster"/>
  </r>
  <r>
    <s v="FSA-98650-921"/>
    <x v="489"/>
    <s v="01841-48191-NL"/>
    <s v="L-L-0.5"/>
    <n v="2"/>
    <x v="716"/>
    <s v="cjewsterlu@moonfruit.com"/>
    <x v="0"/>
    <s v="Lib"/>
    <s v="L"/>
    <x v="1"/>
    <n v="9.51"/>
    <n v="19.02"/>
    <x v="3"/>
    <x v="1"/>
    <x v="0"/>
    <s v="Ugo Southerden"/>
  </r>
  <r>
    <s v="ZUR-55774-294"/>
    <x v="234"/>
    <s v="33269-10023-CO"/>
    <s v="L-D-1"/>
    <n v="6"/>
    <x v="717"/>
    <s v="usoutherdenln@hao123.com"/>
    <x v="0"/>
    <s v="Lib"/>
    <s v="D"/>
    <x v="0"/>
    <n v="12.95"/>
    <n v="77.699999999999989"/>
    <x v="3"/>
    <x v="2"/>
    <x v="0"/>
    <s v="Verne Dunkerley"/>
  </r>
  <r>
    <s v="FUO-99821-974"/>
    <x v="175"/>
    <s v="31245-81098-PJ"/>
    <s v="E-M-1"/>
    <n v="3"/>
    <x v="718"/>
    <s v=""/>
    <x v="0"/>
    <s v="Exc"/>
    <s v="M"/>
    <x v="0"/>
    <n v="13.75"/>
    <n v="41.25"/>
    <x v="1"/>
    <x v="0"/>
    <x v="1"/>
    <s v="Lacee Burtenshaw"/>
  </r>
  <r>
    <s v="YVH-19865-819"/>
    <x v="582"/>
    <s v="08946-56610-IH"/>
    <s v="L-L-2.5"/>
    <n v="4"/>
    <x v="719"/>
    <s v="lburtenshawlp@shinystat.com"/>
    <x v="0"/>
    <s v="Lib"/>
    <s v="L"/>
    <x v="2"/>
    <n v="36.454999999999998"/>
    <n v="145.82"/>
    <x v="3"/>
    <x v="1"/>
    <x v="1"/>
    <s v="Adorne Gregoratti"/>
  </r>
  <r>
    <s v="NNF-47422-501"/>
    <x v="583"/>
    <s v="20260-32948-EB"/>
    <s v="E-L-0.2"/>
    <n v="6"/>
    <x v="720"/>
    <s v="agregorattilq@vistaprint.com"/>
    <x v="1"/>
    <s v="Exc"/>
    <s v="L"/>
    <x v="3"/>
    <n v="4.4550000000000001"/>
    <n v="26.73"/>
    <x v="1"/>
    <x v="1"/>
    <x v="1"/>
    <s v="Chris Croster"/>
  </r>
  <r>
    <s v="RJI-71409-490"/>
    <x v="548"/>
    <s v="31613-41626-KX"/>
    <s v="L-M-0.5"/>
    <n v="5"/>
    <x v="721"/>
    <s v="ccrosterlr@gov.uk"/>
    <x v="0"/>
    <s v="Lib"/>
    <s v="M"/>
    <x v="1"/>
    <n v="8.73"/>
    <n v="43.650000000000006"/>
    <x v="3"/>
    <x v="0"/>
    <x v="0"/>
    <s v="Graeme Whitehead"/>
  </r>
  <r>
    <s v="UZL-46108-213"/>
    <x v="584"/>
    <s v="75961-20170-RD"/>
    <s v="L-L-1"/>
    <n v="2"/>
    <x v="722"/>
    <s v="gwhiteheadls@hp.com"/>
    <x v="0"/>
    <s v="Lib"/>
    <s v="L"/>
    <x v="0"/>
    <n v="15.85"/>
    <n v="31.7"/>
    <x v="3"/>
    <x v="1"/>
    <x v="1"/>
    <s v="Haslett Jodrelle"/>
  </r>
  <r>
    <s v="AOX-44467-109"/>
    <x v="64"/>
    <s v="72524-06410-KD"/>
    <s v="A-D-2.5"/>
    <n v="1"/>
    <x v="723"/>
    <s v="hjodrellelt@samsung.com"/>
    <x v="0"/>
    <s v="Ara"/>
    <s v="D"/>
    <x v="2"/>
    <n v="22.884999999999998"/>
    <n v="22.884999999999998"/>
    <x v="2"/>
    <x v="2"/>
    <x v="1"/>
    <s v="Cam Jewster"/>
  </r>
  <r>
    <s v="TZD-67261-174"/>
    <x v="585"/>
    <s v="01841-48191-NL"/>
    <s v="E-D-2.5"/>
    <n v="1"/>
    <x v="716"/>
    <s v="cjewsterlu@moonfruit.com"/>
    <x v="0"/>
    <s v="Exc"/>
    <s v="D"/>
    <x v="2"/>
    <n v="27.945"/>
    <n v="27.945"/>
    <x v="1"/>
    <x v="2"/>
    <x v="0"/>
    <s v="Beryl Osborn"/>
  </r>
  <r>
    <s v="TBU-64277-625"/>
    <x v="32"/>
    <s v="98918-34330-GY"/>
    <s v="E-M-1"/>
    <n v="6"/>
    <x v="724"/>
    <s v=""/>
    <x v="0"/>
    <s v="Exc"/>
    <s v="M"/>
    <x v="0"/>
    <n v="13.75"/>
    <n v="82.5"/>
    <x v="1"/>
    <x v="0"/>
    <x v="0"/>
    <s v="Kaela Nottram"/>
  </r>
  <r>
    <s v="TYP-85767-944"/>
    <x v="586"/>
    <s v="51497-50894-WU"/>
    <s v="R-M-2.5"/>
    <n v="2"/>
    <x v="725"/>
    <s v="knottramlw@odnoklassniki.ru"/>
    <x v="1"/>
    <s v="Rob"/>
    <s v="M"/>
    <x v="2"/>
    <n v="22.884999999999998"/>
    <n v="45.769999999999996"/>
    <x v="0"/>
    <x v="0"/>
    <x v="0"/>
    <s v="Nobe Buney"/>
  </r>
  <r>
    <s v="GTT-73214-334"/>
    <x v="535"/>
    <s v="98636-90072-YE"/>
    <s v="A-L-1"/>
    <n v="6"/>
    <x v="726"/>
    <s v="nbuneylx@jugem.jp"/>
    <x v="0"/>
    <s v="Ara"/>
    <s v="L"/>
    <x v="0"/>
    <n v="12.95"/>
    <n v="77.699999999999989"/>
    <x v="2"/>
    <x v="1"/>
    <x v="1"/>
    <s v="Silvan McShea"/>
  </r>
  <r>
    <s v="WAI-89905-069"/>
    <x v="587"/>
    <s v="47011-57815-HJ"/>
    <s v="A-L-0.5"/>
    <n v="3"/>
    <x v="727"/>
    <s v="smcshealy@photobucket.com"/>
    <x v="0"/>
    <s v="Ara"/>
    <s v="L"/>
    <x v="1"/>
    <n v="7.77"/>
    <n v="23.31"/>
    <x v="2"/>
    <x v="1"/>
    <x v="1"/>
    <s v="Karylin Huddart"/>
  </r>
  <r>
    <s v="OJL-96844-459"/>
    <x v="393"/>
    <s v="61253-98356-VD"/>
    <s v="L-L-0.2"/>
    <n v="5"/>
    <x v="728"/>
    <s v="khuddartlz@about.com"/>
    <x v="0"/>
    <s v="Lib"/>
    <s v="L"/>
    <x v="3"/>
    <n v="4.7549999999999999"/>
    <n v="23.774999999999999"/>
    <x v="3"/>
    <x v="1"/>
    <x v="0"/>
    <s v="Jereme Gippes"/>
  </r>
  <r>
    <s v="VGI-33205-360"/>
    <x v="588"/>
    <s v="96762-10814-DA"/>
    <s v="L-M-0.5"/>
    <n v="6"/>
    <x v="729"/>
    <s v="jgippesm0@cloudflare.com"/>
    <x v="2"/>
    <s v="Lib"/>
    <s v="M"/>
    <x v="1"/>
    <n v="8.73"/>
    <n v="52.38"/>
    <x v="3"/>
    <x v="0"/>
    <x v="0"/>
    <s v="Lukas Whittlesee"/>
  </r>
  <r>
    <s v="PCA-14081-576"/>
    <x v="15"/>
    <s v="63112-10870-LC"/>
    <s v="R-L-0.2"/>
    <n v="5"/>
    <x v="730"/>
    <s v="lwhittleseem1@e-recht24.de"/>
    <x v="0"/>
    <s v="Rob"/>
    <s v="L"/>
    <x v="3"/>
    <n v="3.5849999999999995"/>
    <n v="17.924999999999997"/>
    <x v="0"/>
    <x v="1"/>
    <x v="1"/>
    <s v="Gregorius Trengrove"/>
  </r>
  <r>
    <s v="SCS-67069-962"/>
    <x v="507"/>
    <s v="21403-49423-PD"/>
    <s v="A-L-2.5"/>
    <n v="5"/>
    <x v="731"/>
    <s v="gtrengrovem2@elpais.com"/>
    <x v="0"/>
    <s v="Ara"/>
    <s v="L"/>
    <x v="2"/>
    <n v="29.784999999999997"/>
    <n v="148.92499999999998"/>
    <x v="2"/>
    <x v="1"/>
    <x v="1"/>
    <s v="Wright Caldero"/>
  </r>
  <r>
    <s v="BDM-03174-485"/>
    <x v="533"/>
    <s v="29581-13303-VB"/>
    <s v="R-L-0.5"/>
    <n v="4"/>
    <x v="732"/>
    <s v="wcalderom3@stumbleupon.com"/>
    <x v="0"/>
    <s v="Rob"/>
    <s v="L"/>
    <x v="1"/>
    <n v="7.169999999999999"/>
    <n v="28.679999999999996"/>
    <x v="0"/>
    <x v="1"/>
    <x v="1"/>
    <s v="Merell Zanazzi"/>
  </r>
  <r>
    <s v="UJV-32333-364"/>
    <x v="589"/>
    <s v="86110-83695-YS"/>
    <s v="L-L-0.5"/>
    <n v="1"/>
    <x v="733"/>
    <s v=""/>
    <x v="0"/>
    <s v="Lib"/>
    <s v="L"/>
    <x v="1"/>
    <n v="9.51"/>
    <n v="9.51"/>
    <x v="3"/>
    <x v="1"/>
    <x v="1"/>
    <s v="Jed Kennicott"/>
  </r>
  <r>
    <s v="FLI-11493-954"/>
    <x v="590"/>
    <s v="80454-42225-FT"/>
    <s v="A-L-0.5"/>
    <n v="4"/>
    <x v="734"/>
    <s v="jkennicottm5@yahoo.co.jp"/>
    <x v="0"/>
    <s v="Ara"/>
    <s v="L"/>
    <x v="1"/>
    <n v="7.77"/>
    <n v="31.08"/>
    <x v="2"/>
    <x v="1"/>
    <x v="1"/>
    <s v="Guenevere Ruggen"/>
  </r>
  <r>
    <s v="IWL-13117-537"/>
    <x v="457"/>
    <s v="29129-60664-KO"/>
    <s v="R-D-0.2"/>
    <n v="3"/>
    <x v="735"/>
    <s v="gruggenm6@nymag.com"/>
    <x v="0"/>
    <s v="Rob"/>
    <s v="D"/>
    <x v="3"/>
    <n v="2.6849999999999996"/>
    <n v="8.0549999999999997"/>
    <x v="0"/>
    <x v="2"/>
    <x v="0"/>
    <s v="Gonzales Cicculi"/>
  </r>
  <r>
    <s v="OAM-76916-748"/>
    <x v="591"/>
    <s v="63025-62939-AN"/>
    <s v="E-D-1"/>
    <n v="3"/>
    <x v="736"/>
    <s v=""/>
    <x v="0"/>
    <s v="Exc"/>
    <s v="D"/>
    <x v="0"/>
    <n v="12.15"/>
    <n v="36.450000000000003"/>
    <x v="1"/>
    <x v="2"/>
    <x v="0"/>
    <s v="Man Fright"/>
  </r>
  <r>
    <s v="UMB-11223-710"/>
    <x v="592"/>
    <s v="49012-12987-QT"/>
    <s v="R-D-0.2"/>
    <n v="6"/>
    <x v="737"/>
    <s v="mfrightm8@harvard.edu"/>
    <x v="1"/>
    <s v="Rob"/>
    <s v="D"/>
    <x v="3"/>
    <n v="2.6849999999999996"/>
    <n v="16.11"/>
    <x v="0"/>
    <x v="2"/>
    <x v="1"/>
    <s v="Boyce Tarte"/>
  </r>
  <r>
    <s v="LXR-09892-726"/>
    <x v="402"/>
    <s v="50924-94200-SQ"/>
    <s v="R-D-2.5"/>
    <n v="2"/>
    <x v="738"/>
    <s v="btartem9@aol.com"/>
    <x v="0"/>
    <s v="Rob"/>
    <s v="D"/>
    <x v="2"/>
    <n v="20.584999999999997"/>
    <n v="41.169999999999995"/>
    <x v="0"/>
    <x v="2"/>
    <x v="0"/>
    <s v="Caddric Krzysztofiak"/>
  </r>
  <r>
    <s v="QXX-89943-393"/>
    <x v="593"/>
    <s v="15673-18812-IU"/>
    <s v="R-D-0.2"/>
    <n v="4"/>
    <x v="739"/>
    <s v="ckrzysztofiakma@skyrock.com"/>
    <x v="0"/>
    <s v="Rob"/>
    <s v="D"/>
    <x v="3"/>
    <n v="2.6849999999999996"/>
    <n v="10.739999999999998"/>
    <x v="0"/>
    <x v="2"/>
    <x v="1"/>
    <s v="Darn Penquet"/>
  </r>
  <r>
    <s v="WVS-57822-366"/>
    <x v="594"/>
    <s v="52151-75971-YY"/>
    <s v="E-M-2.5"/>
    <n v="4"/>
    <x v="740"/>
    <s v="dpenquetmb@diigo.com"/>
    <x v="0"/>
    <s v="Exc"/>
    <s v="M"/>
    <x v="2"/>
    <n v="31.624999999999996"/>
    <n v="126.49999999999999"/>
    <x v="1"/>
    <x v="0"/>
    <x v="1"/>
    <s v="Jammie Cloke"/>
  </r>
  <r>
    <s v="CLJ-23403-689"/>
    <x v="77"/>
    <s v="19413-02045-CG"/>
    <s v="R-L-1"/>
    <n v="2"/>
    <x v="741"/>
    <s v=""/>
    <x v="2"/>
    <s v="Rob"/>
    <s v="L"/>
    <x v="0"/>
    <n v="11.95"/>
    <n v="23.9"/>
    <x v="0"/>
    <x v="1"/>
    <x v="1"/>
    <s v="Chester Clowton"/>
  </r>
  <r>
    <s v="XNU-83276-288"/>
    <x v="595"/>
    <s v="98185-92775-KT"/>
    <s v="R-M-0.5"/>
    <n v="1"/>
    <x v="742"/>
    <s v=""/>
    <x v="0"/>
    <s v="Rob"/>
    <s v="M"/>
    <x v="1"/>
    <n v="5.97"/>
    <n v="5.97"/>
    <x v="0"/>
    <x v="0"/>
    <x v="1"/>
    <s v="Kathleen Diable"/>
  </r>
  <r>
    <s v="YOG-94666-679"/>
    <x v="596"/>
    <s v="86991-53901-AT"/>
    <s v="L-D-0.2"/>
    <n v="2"/>
    <x v="743"/>
    <s v=""/>
    <x v="2"/>
    <s v="Lib"/>
    <s v="D"/>
    <x v="3"/>
    <n v="3.8849999999999998"/>
    <n v="7.77"/>
    <x v="3"/>
    <x v="2"/>
    <x v="0"/>
    <s v="Koren Ferretti"/>
  </r>
  <r>
    <s v="KHG-33953-115"/>
    <x v="514"/>
    <s v="78226-97287-JI"/>
    <s v="L-D-0.5"/>
    <n v="3"/>
    <x v="744"/>
    <s v="kferrettimf@huffingtonpost.com"/>
    <x v="1"/>
    <s v="Lib"/>
    <s v="D"/>
    <x v="1"/>
    <n v="7.77"/>
    <n v="23.31"/>
    <x v="3"/>
    <x v="2"/>
    <x v="1"/>
    <s v="Allis Wilmore"/>
  </r>
  <r>
    <s v="MHD-95615-696"/>
    <x v="54"/>
    <s v="27930-59250-JT"/>
    <s v="R-L-2.5"/>
    <n v="5"/>
    <x v="745"/>
    <s v=""/>
    <x v="0"/>
    <s v="Rob"/>
    <s v="L"/>
    <x v="2"/>
    <n v="27.484999999999996"/>
    <n v="137.42499999999998"/>
    <x v="0"/>
    <x v="1"/>
    <x v="1"/>
    <s v="Chaddie Bennie"/>
  </r>
  <r>
    <s v="HBH-64794-080"/>
    <x v="597"/>
    <s v="40560-18556-YE"/>
    <s v="R-D-0.2"/>
    <n v="3"/>
    <x v="746"/>
    <s v=""/>
    <x v="0"/>
    <s v="Rob"/>
    <s v="D"/>
    <x v="3"/>
    <n v="2.6849999999999996"/>
    <n v="8.0549999999999997"/>
    <x v="0"/>
    <x v="2"/>
    <x v="0"/>
    <s v="Alberta Balsdone"/>
  </r>
  <r>
    <s v="CNJ-56058-223"/>
    <x v="105"/>
    <s v="40780-22081-LX"/>
    <s v="L-L-0.5"/>
    <n v="3"/>
    <x v="747"/>
    <s v="abalsdonemi@toplist.cz"/>
    <x v="0"/>
    <s v="Lib"/>
    <s v="L"/>
    <x v="1"/>
    <n v="9.51"/>
    <n v="28.53"/>
    <x v="3"/>
    <x v="1"/>
    <x v="1"/>
    <s v="Brice Romera"/>
  </r>
  <r>
    <s v="KHO-27106-786"/>
    <x v="210"/>
    <s v="01603-43789-TN"/>
    <s v="A-M-1"/>
    <n v="6"/>
    <x v="748"/>
    <s v="bromeramj@list-manage.com"/>
    <x v="1"/>
    <s v="Ara"/>
    <s v="M"/>
    <x v="0"/>
    <n v="11.25"/>
    <n v="67.5"/>
    <x v="2"/>
    <x v="0"/>
    <x v="0"/>
    <s v="Brice Romera"/>
  </r>
  <r>
    <s v="KHO-27106-786"/>
    <x v="210"/>
    <s v="01603-43789-TN"/>
    <s v="L-D-2.5"/>
    <n v="6"/>
    <x v="748"/>
    <s v="bromeramj@list-manage.com"/>
    <x v="1"/>
    <s v="Lib"/>
    <s v="D"/>
    <x v="2"/>
    <n v="29.784999999999997"/>
    <n v="178.70999999999998"/>
    <x v="3"/>
    <x v="2"/>
    <x v="0"/>
    <s v="Conchita Bryde"/>
  </r>
  <r>
    <s v="YAC-50329-982"/>
    <x v="598"/>
    <s v="75419-92838-TI"/>
    <s v="E-M-2.5"/>
    <n v="1"/>
    <x v="749"/>
    <s v="cbrydeml@tuttocitta.it"/>
    <x v="0"/>
    <s v="Exc"/>
    <s v="M"/>
    <x v="2"/>
    <n v="31.624999999999996"/>
    <n v="31.624999999999996"/>
    <x v="1"/>
    <x v="0"/>
    <x v="0"/>
    <s v="Silvanus Enefer"/>
  </r>
  <r>
    <s v="VVL-95291-039"/>
    <x v="360"/>
    <s v="96516-97464-MF"/>
    <s v="E-L-0.2"/>
    <n v="2"/>
    <x v="750"/>
    <s v="senefermm@blog.com"/>
    <x v="0"/>
    <s v="Exc"/>
    <s v="L"/>
    <x v="3"/>
    <n v="4.4550000000000001"/>
    <n v="8.91"/>
    <x v="1"/>
    <x v="1"/>
    <x v="1"/>
    <s v="Lenci Haggerstone"/>
  </r>
  <r>
    <s v="VUT-20974-364"/>
    <x v="62"/>
    <s v="90285-56295-PO"/>
    <s v="R-M-0.5"/>
    <n v="6"/>
    <x v="751"/>
    <s v="lhaggerstonemn@independent.co.uk"/>
    <x v="0"/>
    <s v="Rob"/>
    <s v="M"/>
    <x v="1"/>
    <n v="5.97"/>
    <n v="35.82"/>
    <x v="0"/>
    <x v="0"/>
    <x v="1"/>
    <s v="Marvin Gundry"/>
  </r>
  <r>
    <s v="SFC-34054-213"/>
    <x v="599"/>
    <s v="08100-71102-HQ"/>
    <s v="L-L-0.5"/>
    <n v="4"/>
    <x v="752"/>
    <s v="mgundrymo@omniture.com"/>
    <x v="1"/>
    <s v="Lib"/>
    <s v="L"/>
    <x v="1"/>
    <n v="9.51"/>
    <n v="38.04"/>
    <x v="3"/>
    <x v="1"/>
    <x v="1"/>
    <s v="Bayard Wellan"/>
  </r>
  <r>
    <s v="UDS-04807-593"/>
    <x v="600"/>
    <s v="84074-28110-OV"/>
    <s v="L-D-0.5"/>
    <n v="2"/>
    <x v="753"/>
    <s v="bwellanmp@cafepress.com"/>
    <x v="0"/>
    <s v="Lib"/>
    <s v="D"/>
    <x v="1"/>
    <n v="7.77"/>
    <n v="15.54"/>
    <x v="3"/>
    <x v="2"/>
    <x v="1"/>
    <s v="Allis Wilmore"/>
  </r>
  <r>
    <s v="FWE-98471-488"/>
    <x v="601"/>
    <s v="27930-59250-JT"/>
    <s v="L-L-1"/>
    <n v="5"/>
    <x v="745"/>
    <s v=""/>
    <x v="0"/>
    <s v="Lib"/>
    <s v="L"/>
    <x v="0"/>
    <n v="15.85"/>
    <n v="79.25"/>
    <x v="3"/>
    <x v="1"/>
    <x v="1"/>
    <s v="Caddric Atcheson"/>
  </r>
  <r>
    <s v="RAU-17060-674"/>
    <x v="602"/>
    <s v="12747-63766-EU"/>
    <s v="L-L-0.2"/>
    <n v="1"/>
    <x v="754"/>
    <s v="catchesonmr@xinhuanet.com"/>
    <x v="0"/>
    <s v="Lib"/>
    <s v="L"/>
    <x v="3"/>
    <n v="4.7549999999999999"/>
    <n v="4.7549999999999999"/>
    <x v="3"/>
    <x v="1"/>
    <x v="0"/>
    <s v="Eustace Stenton"/>
  </r>
  <r>
    <s v="AOL-13866-711"/>
    <x v="603"/>
    <s v="83490-88357-LJ"/>
    <s v="E-M-1"/>
    <n v="4"/>
    <x v="755"/>
    <s v="estentonms@google.it"/>
    <x v="0"/>
    <s v="Exc"/>
    <s v="M"/>
    <x v="0"/>
    <n v="13.75"/>
    <n v="55"/>
    <x v="1"/>
    <x v="0"/>
    <x v="0"/>
    <s v="Ericka Tripp"/>
  </r>
  <r>
    <s v="NOA-79645-377"/>
    <x v="604"/>
    <s v="53729-30320-XZ"/>
    <s v="R-D-0.5"/>
    <n v="5"/>
    <x v="756"/>
    <s v="etrippmt@wp.com"/>
    <x v="0"/>
    <s v="Rob"/>
    <s v="D"/>
    <x v="1"/>
    <n v="5.3699999999999992"/>
    <n v="26.849999999999994"/>
    <x v="0"/>
    <x v="2"/>
    <x v="1"/>
    <s v="Lyndsey MacManus"/>
  </r>
  <r>
    <s v="KMS-49214-806"/>
    <x v="605"/>
    <s v="50384-52703-LA"/>
    <s v="E-L-2.5"/>
    <n v="4"/>
    <x v="757"/>
    <s v="lmacmanusmu@imdb.com"/>
    <x v="0"/>
    <s v="Exc"/>
    <s v="L"/>
    <x v="2"/>
    <n v="34.154999999999994"/>
    <n v="136.61999999999998"/>
    <x v="1"/>
    <x v="1"/>
    <x v="1"/>
    <s v="Tess Benediktovich"/>
  </r>
  <r>
    <s v="ABK-08091-531"/>
    <x v="606"/>
    <s v="53864-36201-FG"/>
    <s v="L-L-1"/>
    <n v="3"/>
    <x v="758"/>
    <s v="tbenediktovichmv@ebay.com"/>
    <x v="0"/>
    <s v="Lib"/>
    <s v="L"/>
    <x v="0"/>
    <n v="15.85"/>
    <n v="47.55"/>
    <x v="3"/>
    <x v="1"/>
    <x v="0"/>
    <s v="Correy Bourner"/>
  </r>
  <r>
    <s v="GPT-67705-953"/>
    <x v="446"/>
    <s v="70631-33225-MZ"/>
    <s v="A-M-0.2"/>
    <n v="5"/>
    <x v="759"/>
    <s v="cbournermw@chronoengine.com"/>
    <x v="0"/>
    <s v="Ara"/>
    <s v="M"/>
    <x v="3"/>
    <n v="3.375"/>
    <n v="16.875"/>
    <x v="2"/>
    <x v="0"/>
    <x v="0"/>
    <s v="Odelia Skerme"/>
  </r>
  <r>
    <s v="JNA-21450-177"/>
    <x v="18"/>
    <s v="54798-14109-HC"/>
    <s v="A-D-1"/>
    <n v="3"/>
    <x v="760"/>
    <s v="oskermen3@hatena.ne.jp"/>
    <x v="0"/>
    <s v="Ara"/>
    <s v="D"/>
    <x v="0"/>
    <n v="9.9499999999999993"/>
    <n v="29.849999999999998"/>
    <x v="2"/>
    <x v="2"/>
    <x v="0"/>
    <s v="Kandy Heddan"/>
  </r>
  <r>
    <s v="MPQ-23421-608"/>
    <x v="180"/>
    <s v="08023-52962-ET"/>
    <s v="E-M-0.5"/>
    <n v="5"/>
    <x v="761"/>
    <s v="kheddanmy@icq.com"/>
    <x v="0"/>
    <s v="Exc"/>
    <s v="M"/>
    <x v="1"/>
    <n v="8.25"/>
    <n v="41.25"/>
    <x v="1"/>
    <x v="0"/>
    <x v="0"/>
    <s v="Ibby Charters"/>
  </r>
  <r>
    <s v="NLI-63891-565"/>
    <x v="580"/>
    <s v="41899-00283-VK"/>
    <s v="E-M-0.2"/>
    <n v="5"/>
    <x v="762"/>
    <s v="ichartersmz@abc.net.au"/>
    <x v="0"/>
    <s v="Exc"/>
    <s v="M"/>
    <x v="3"/>
    <n v="4.125"/>
    <n v="20.625"/>
    <x v="1"/>
    <x v="0"/>
    <x v="1"/>
    <s v="Adora Roubert"/>
  </r>
  <r>
    <s v="HHF-36647-854"/>
    <x v="453"/>
    <s v="39011-18412-GR"/>
    <s v="A-D-2.5"/>
    <n v="6"/>
    <x v="763"/>
    <s v="aroubertn0@tmall.com"/>
    <x v="0"/>
    <s v="Ara"/>
    <s v="D"/>
    <x v="2"/>
    <n v="22.884999999999998"/>
    <n v="137.31"/>
    <x v="2"/>
    <x v="2"/>
    <x v="0"/>
    <s v="Hillel Mairs"/>
  </r>
  <r>
    <s v="SBN-16537-046"/>
    <x v="259"/>
    <s v="60255-12579-PZ"/>
    <s v="A-D-0.2"/>
    <n v="1"/>
    <x v="764"/>
    <s v="hmairsn1@so-net.ne.jp"/>
    <x v="0"/>
    <s v="Ara"/>
    <s v="D"/>
    <x v="3"/>
    <n v="2.9849999999999999"/>
    <n v="2.9849999999999999"/>
    <x v="2"/>
    <x v="2"/>
    <x v="1"/>
    <s v="Helaina Rainforth"/>
  </r>
  <r>
    <s v="XZD-44484-632"/>
    <x v="607"/>
    <s v="80541-38332-BP"/>
    <s v="E-M-1"/>
    <n v="2"/>
    <x v="765"/>
    <s v="hrainforthn2@blog.com"/>
    <x v="0"/>
    <s v="Exc"/>
    <s v="M"/>
    <x v="0"/>
    <n v="13.75"/>
    <n v="27.5"/>
    <x v="1"/>
    <x v="0"/>
    <x v="1"/>
    <s v="Helaina Rainforth"/>
  </r>
  <r>
    <s v="XZD-44484-632"/>
    <x v="607"/>
    <s v="80541-38332-BP"/>
    <s v="A-D-0.2"/>
    <n v="2"/>
    <x v="765"/>
    <s v="hrainforthn2@blog.com"/>
    <x v="0"/>
    <s v="Ara"/>
    <s v="D"/>
    <x v="3"/>
    <n v="2.9849999999999999"/>
    <n v="5.97"/>
    <x v="2"/>
    <x v="2"/>
    <x v="1"/>
    <s v="Isac Jesper"/>
  </r>
  <r>
    <s v="IKQ-39946-768"/>
    <x v="385"/>
    <s v="72778-50968-UQ"/>
    <s v="R-M-1"/>
    <n v="6"/>
    <x v="766"/>
    <s v="ijespern4@theglobeandmail.com"/>
    <x v="0"/>
    <s v="Rob"/>
    <s v="M"/>
    <x v="0"/>
    <n v="9.9499999999999993"/>
    <n v="59.699999999999996"/>
    <x v="0"/>
    <x v="0"/>
    <x v="1"/>
    <s v="Lenette Dwerryhouse"/>
  </r>
  <r>
    <s v="KMB-95211-174"/>
    <x v="608"/>
    <s v="23941-30203-MO"/>
    <s v="R-D-2.5"/>
    <n v="4"/>
    <x v="767"/>
    <s v="ldwerryhousen5@gravatar.com"/>
    <x v="0"/>
    <s v="Rob"/>
    <s v="D"/>
    <x v="2"/>
    <n v="20.584999999999997"/>
    <n v="82.339999999999989"/>
    <x v="0"/>
    <x v="2"/>
    <x v="0"/>
    <s v="Nadeen Broomer"/>
  </r>
  <r>
    <s v="QWY-99467-368"/>
    <x v="609"/>
    <s v="96434-50068-DZ"/>
    <s v="A-D-2.5"/>
    <n v="1"/>
    <x v="768"/>
    <s v="nbroomern6@examiner.com"/>
    <x v="0"/>
    <s v="Ara"/>
    <s v="D"/>
    <x v="2"/>
    <n v="22.884999999999998"/>
    <n v="22.884999999999998"/>
    <x v="2"/>
    <x v="2"/>
    <x v="1"/>
    <s v="Konstantine Thoumasson"/>
  </r>
  <r>
    <s v="SRG-76791-614"/>
    <x v="147"/>
    <s v="11729-74102-XB"/>
    <s v="E-L-0.5"/>
    <n v="1"/>
    <x v="769"/>
    <s v="kthoumassonn7@bloglovin.com"/>
    <x v="0"/>
    <s v="Exc"/>
    <s v="L"/>
    <x v="1"/>
    <n v="8.91"/>
    <n v="8.91"/>
    <x v="1"/>
    <x v="1"/>
    <x v="0"/>
    <s v="Frans Habbergham"/>
  </r>
  <r>
    <s v="VSN-94485-621"/>
    <x v="172"/>
    <s v="88116-12604-TE"/>
    <s v="A-D-0.2"/>
    <n v="4"/>
    <x v="770"/>
    <s v="fhabberghamn8@discovery.com"/>
    <x v="0"/>
    <s v="Ara"/>
    <s v="D"/>
    <x v="3"/>
    <n v="2.9849999999999999"/>
    <n v="11.94"/>
    <x v="2"/>
    <x v="2"/>
    <x v="1"/>
    <s v="Allis Wilmore"/>
  </r>
  <r>
    <s v="UFZ-24348-219"/>
    <x v="610"/>
    <s v="27930-59250-JT"/>
    <s v="L-M-2.5"/>
    <n v="3"/>
    <x v="745"/>
    <e v="#N/A"/>
    <x v="1"/>
    <s v="Lib"/>
    <s v="M"/>
    <x v="2"/>
    <n v="33.464999999999996"/>
    <n v="100.39499999999998"/>
    <x v="3"/>
    <x v="0"/>
    <x v="1"/>
    <s v="Romain Avrashin"/>
  </r>
  <r>
    <s v="UKS-93055-397"/>
    <x v="611"/>
    <s v="13082-41034-PD"/>
    <s v="A-D-2.5"/>
    <n v="5"/>
    <x v="771"/>
    <s v="ravrashinna@tamu.edu"/>
    <x v="0"/>
    <s v="Ara"/>
    <s v="D"/>
    <x v="2"/>
    <n v="22.884999999999998"/>
    <n v="114.42499999999998"/>
    <x v="2"/>
    <x v="2"/>
    <x v="1"/>
    <s v="Miran Doidge"/>
  </r>
  <r>
    <s v="AVH-56062-335"/>
    <x v="612"/>
    <s v="18082-74419-QH"/>
    <s v="E-M-0.5"/>
    <n v="5"/>
    <x v="772"/>
    <s v="mdoidgenb@etsy.com"/>
    <x v="0"/>
    <s v="Exc"/>
    <s v="M"/>
    <x v="1"/>
    <n v="8.25"/>
    <n v="41.25"/>
    <x v="1"/>
    <x v="0"/>
    <x v="1"/>
    <s v="Janeva Edinboro"/>
  </r>
  <r>
    <s v="HGE-19842-613"/>
    <x v="613"/>
    <s v="49401-45041-ZU"/>
    <s v="R-L-0.5"/>
    <n v="4"/>
    <x v="773"/>
    <s v="jedinboronc@reverbnation.com"/>
    <x v="0"/>
    <s v="Rob"/>
    <s v="L"/>
    <x v="1"/>
    <n v="7.169999999999999"/>
    <n v="28.679999999999996"/>
    <x v="0"/>
    <x v="1"/>
    <x v="0"/>
    <s v="Trumaine Tewelson"/>
  </r>
  <r>
    <s v="WBA-85905-175"/>
    <x v="611"/>
    <s v="41252-45992-VS"/>
    <s v="L-M-0.2"/>
    <n v="1"/>
    <x v="774"/>
    <s v="ttewelsonnd@cdbaby.com"/>
    <x v="0"/>
    <s v="Lib"/>
    <s v="M"/>
    <x v="3"/>
    <n v="4.3650000000000002"/>
    <n v="4.3650000000000002"/>
    <x v="3"/>
    <x v="0"/>
    <x v="1"/>
    <s v="Odelia Skerme"/>
  </r>
  <r>
    <s v="DZI-35365-596"/>
    <x v="493"/>
    <s v="54798-14109-HC"/>
    <s v="E-M-0.2"/>
    <n v="2"/>
    <x v="760"/>
    <e v="#N/A"/>
    <x v="1"/>
    <s v="Exc"/>
    <s v="M"/>
    <x v="3"/>
    <n v="4.125"/>
    <n v="8.25"/>
    <x v="1"/>
    <x v="0"/>
    <x v="0"/>
    <s v="De Drewitt"/>
  </r>
  <r>
    <s v="XIR-88982-743"/>
    <x v="614"/>
    <s v="00852-54571-WP"/>
    <s v="E-M-0.2"/>
    <n v="2"/>
    <x v="775"/>
    <s v="ddrewittnf@mapquest.com"/>
    <x v="0"/>
    <s v="Exc"/>
    <s v="M"/>
    <x v="3"/>
    <n v="4.125"/>
    <n v="8.25"/>
    <x v="1"/>
    <x v="0"/>
    <x v="0"/>
    <s v="Adelheid Gladhill"/>
  </r>
  <r>
    <s v="VUC-72395-865"/>
    <x v="151"/>
    <s v="13321-57602-GK"/>
    <s v="A-D-0.5"/>
    <n v="6"/>
    <x v="776"/>
    <s v="agladhillng@stanford.edu"/>
    <x v="0"/>
    <s v="Ara"/>
    <s v="D"/>
    <x v="1"/>
    <n v="5.97"/>
    <n v="35.82"/>
    <x v="2"/>
    <x v="2"/>
    <x v="0"/>
    <s v="Murielle Lorinez"/>
  </r>
  <r>
    <s v="BQJ-44755-910"/>
    <x v="489"/>
    <s v="75006-89922-VW"/>
    <s v="E-D-2.5"/>
    <n v="6"/>
    <x v="777"/>
    <s v="mlorineznh@whitehouse.gov"/>
    <x v="0"/>
    <s v="Exc"/>
    <s v="D"/>
    <x v="2"/>
    <n v="27.945"/>
    <n v="167.67000000000002"/>
    <x v="1"/>
    <x v="2"/>
    <x v="1"/>
    <s v="Edin Mathe"/>
  </r>
  <r>
    <s v="JKC-64636-831"/>
    <x v="615"/>
    <s v="52098-80103-FD"/>
    <s v="A-M-2.5"/>
    <n v="2"/>
    <x v="778"/>
    <s v=""/>
    <x v="0"/>
    <s v="Ara"/>
    <s v="M"/>
    <x v="2"/>
    <n v="25.874999999999996"/>
    <n v="51.749999999999993"/>
    <x v="2"/>
    <x v="0"/>
    <x v="0"/>
    <s v="Mordy Van Der Vlies"/>
  </r>
  <r>
    <s v="ZKI-78561-066"/>
    <x v="616"/>
    <s v="60121-12432-VU"/>
    <s v="A-D-0.2"/>
    <n v="3"/>
    <x v="779"/>
    <s v="mvannj@wikipedia.org"/>
    <x v="0"/>
    <s v="Ara"/>
    <s v="D"/>
    <x v="3"/>
    <n v="2.9849999999999999"/>
    <n v="8.9550000000000001"/>
    <x v="2"/>
    <x v="2"/>
    <x v="0"/>
    <s v="Spencer Wastell"/>
  </r>
  <r>
    <s v="IMP-12563-728"/>
    <x v="578"/>
    <s v="68346-14810-UA"/>
    <s v="E-L-0.5"/>
    <n v="6"/>
    <x v="780"/>
    <s v=""/>
    <x v="0"/>
    <s v="Exc"/>
    <s v="L"/>
    <x v="1"/>
    <n v="8.91"/>
    <n v="53.46"/>
    <x v="1"/>
    <x v="1"/>
    <x v="1"/>
    <s v="Jemimah Ethelston"/>
  </r>
  <r>
    <s v="MZL-81126-390"/>
    <x v="617"/>
    <s v="48464-99723-HK"/>
    <s v="A-L-0.2"/>
    <n v="6"/>
    <x v="781"/>
    <s v="jethelstonnl@creativecommons.org"/>
    <x v="0"/>
    <s v="Ara"/>
    <s v="L"/>
    <x v="3"/>
    <n v="3.8849999999999998"/>
    <n v="23.31"/>
    <x v="2"/>
    <x v="1"/>
    <x v="0"/>
    <s v="Jemimah Ethelston"/>
  </r>
  <r>
    <s v="MZL-81126-390"/>
    <x v="617"/>
    <s v="48464-99723-HK"/>
    <s v="A-M-0.2"/>
    <n v="2"/>
    <x v="781"/>
    <s v="jethelstonnl@creativecommons.org"/>
    <x v="0"/>
    <s v="Ara"/>
    <s v="M"/>
    <x v="3"/>
    <n v="3.375"/>
    <n v="6.75"/>
    <x v="2"/>
    <x v="0"/>
    <x v="0"/>
    <s v="Perice Eberz"/>
  </r>
  <r>
    <s v="TVF-57766-608"/>
    <x v="155"/>
    <s v="88420-46464-XE"/>
    <s v="L-D-0.5"/>
    <n v="1"/>
    <x v="782"/>
    <s v="peberznn@woothemes.com"/>
    <x v="0"/>
    <s v="Lib"/>
    <s v="D"/>
    <x v="1"/>
    <n v="7.77"/>
    <n v="7.77"/>
    <x v="3"/>
    <x v="2"/>
    <x v="0"/>
    <s v="Bear Gaish"/>
  </r>
  <r>
    <s v="RUX-37995-892"/>
    <x v="461"/>
    <s v="37762-09530-MP"/>
    <s v="L-D-2.5"/>
    <n v="4"/>
    <x v="783"/>
    <s v="bgaishno@altervista.org"/>
    <x v="0"/>
    <s v="Lib"/>
    <s v="D"/>
    <x v="2"/>
    <n v="29.784999999999997"/>
    <n v="119.13999999999999"/>
    <x v="3"/>
    <x v="2"/>
    <x v="0"/>
    <s v="Lynnea Danton"/>
  </r>
  <r>
    <s v="AVK-76526-953"/>
    <x v="87"/>
    <s v="47268-50127-XY"/>
    <s v="A-D-1"/>
    <n v="2"/>
    <x v="784"/>
    <s v="ldantonnp@miitbeian.gov.cn"/>
    <x v="0"/>
    <s v="Ara"/>
    <s v="D"/>
    <x v="0"/>
    <n v="9.9499999999999993"/>
    <n v="19.899999999999999"/>
    <x v="2"/>
    <x v="2"/>
    <x v="1"/>
    <s v="Skipton Morrall"/>
  </r>
  <r>
    <s v="RIU-02231-623"/>
    <x v="618"/>
    <s v="25544-84179-QC"/>
    <s v="R-L-0.5"/>
    <n v="5"/>
    <x v="785"/>
    <s v="smorrallnq@answers.com"/>
    <x v="0"/>
    <s v="Rob"/>
    <s v="L"/>
    <x v="1"/>
    <n v="7.169999999999999"/>
    <n v="35.849999999999994"/>
    <x v="0"/>
    <x v="1"/>
    <x v="0"/>
    <s v="Devan Crownshaw"/>
  </r>
  <r>
    <s v="WFK-99317-827"/>
    <x v="619"/>
    <s v="32058-76765-ZL"/>
    <s v="L-D-2.5"/>
    <n v="3"/>
    <x v="786"/>
    <s v="dcrownshawnr@photobucket.com"/>
    <x v="0"/>
    <s v="Lib"/>
    <s v="D"/>
    <x v="2"/>
    <n v="29.784999999999997"/>
    <n v="89.35499999999999"/>
    <x v="3"/>
    <x v="2"/>
    <x v="1"/>
    <s v="Odelia Skerme"/>
  </r>
  <r>
    <s v="SFD-00372-284"/>
    <x v="440"/>
    <s v="54798-14109-HC"/>
    <s v="L-M-0.2"/>
    <n v="2"/>
    <x v="760"/>
    <e v="#N/A"/>
    <x v="1"/>
    <s v="Lib"/>
    <s v="M"/>
    <x v="3"/>
    <n v="4.3650000000000002"/>
    <n v="8.73"/>
    <x v="3"/>
    <x v="0"/>
    <x v="0"/>
    <s v="Joceline Reddoch"/>
  </r>
  <r>
    <s v="SXC-62166-515"/>
    <x v="489"/>
    <s v="69171-65646-UC"/>
    <s v="R-L-2.5"/>
    <n v="5"/>
    <x v="787"/>
    <s v="jreddochnt@sun.com"/>
    <x v="0"/>
    <s v="Rob"/>
    <s v="L"/>
    <x v="2"/>
    <n v="27.484999999999996"/>
    <n v="137.42499999999998"/>
    <x v="0"/>
    <x v="1"/>
    <x v="1"/>
    <s v="Shelley Titley"/>
  </r>
  <r>
    <s v="YIE-87008-621"/>
    <x v="620"/>
    <s v="22503-52799-MI"/>
    <s v="L-M-0.5"/>
    <n v="4"/>
    <x v="788"/>
    <s v="stitleynu@whitehouse.gov"/>
    <x v="0"/>
    <s v="Lib"/>
    <s v="M"/>
    <x v="1"/>
    <n v="8.73"/>
    <n v="34.92"/>
    <x v="3"/>
    <x v="0"/>
    <x v="1"/>
    <s v="Redd Simao"/>
  </r>
  <r>
    <s v="HRM-94548-288"/>
    <x v="621"/>
    <s v="08934-65581-ZI"/>
    <s v="A-L-2.5"/>
    <n v="6"/>
    <x v="789"/>
    <s v="rsimaonv@simplemachines.org"/>
    <x v="0"/>
    <s v="Ara"/>
    <s v="L"/>
    <x v="2"/>
    <n v="29.784999999999997"/>
    <n v="178.70999999999998"/>
    <x v="2"/>
    <x v="1"/>
    <x v="1"/>
    <s v="Cece Inker"/>
  </r>
  <r>
    <s v="UJG-34731-295"/>
    <x v="374"/>
    <s v="15764-22559-ZT"/>
    <s v="A-M-2.5"/>
    <n v="1"/>
    <x v="790"/>
    <s v=""/>
    <x v="0"/>
    <s v="Ara"/>
    <s v="M"/>
    <x v="2"/>
    <n v="25.874999999999996"/>
    <n v="25.874999999999996"/>
    <x v="2"/>
    <x v="0"/>
    <x v="1"/>
    <s v="Noel Chisholm"/>
  </r>
  <r>
    <s v="TWD-70988-853"/>
    <x v="345"/>
    <s v="87519-68847-ZG"/>
    <s v="L-D-1"/>
    <n v="6"/>
    <x v="791"/>
    <s v="nchisholmnx@example.com"/>
    <x v="0"/>
    <s v="Lib"/>
    <s v="D"/>
    <x v="0"/>
    <n v="12.95"/>
    <n v="77.699999999999989"/>
    <x v="3"/>
    <x v="2"/>
    <x v="0"/>
    <s v="Grazia Oats"/>
  </r>
  <r>
    <s v="CIX-22904-641"/>
    <x v="622"/>
    <s v="78012-56878-UB"/>
    <s v="R-M-1"/>
    <n v="1"/>
    <x v="792"/>
    <s v="goatsny@live.com"/>
    <x v="0"/>
    <s v="Rob"/>
    <s v="M"/>
    <x v="0"/>
    <n v="9.9499999999999993"/>
    <n v="9.9499999999999993"/>
    <x v="0"/>
    <x v="0"/>
    <x v="0"/>
    <s v="Meade Birkin"/>
  </r>
  <r>
    <s v="DLV-65840-759"/>
    <x v="623"/>
    <s v="77192-72145-RG"/>
    <s v="L-M-1"/>
    <n v="2"/>
    <x v="793"/>
    <s v="mbirkinnz@java.com"/>
    <x v="0"/>
    <s v="Lib"/>
    <s v="M"/>
    <x v="0"/>
    <n v="14.55"/>
    <n v="29.1"/>
    <x v="3"/>
    <x v="0"/>
    <x v="0"/>
    <s v="Ronda Pyson"/>
  </r>
  <r>
    <s v="RXN-55491-201"/>
    <x v="354"/>
    <s v="86071-79238-CX"/>
    <s v="R-L-0.2"/>
    <n v="6"/>
    <x v="794"/>
    <s v="rpysono0@constantcontact.com"/>
    <x v="1"/>
    <s v="Rob"/>
    <s v="L"/>
    <x v="3"/>
    <n v="3.5849999999999995"/>
    <n v="21.509999999999998"/>
    <x v="0"/>
    <x v="1"/>
    <x v="1"/>
    <s v="Modesty MacConnechie"/>
  </r>
  <r>
    <s v="UHK-63283-868"/>
    <x v="624"/>
    <s v="16809-16936-WF"/>
    <s v="A-M-0.5"/>
    <n v="1"/>
    <x v="795"/>
    <s v="mmacconnechieo9@reuters.com"/>
    <x v="0"/>
    <s v="Ara"/>
    <s v="M"/>
    <x v="1"/>
    <n v="6.75"/>
    <n v="6.75"/>
    <x v="2"/>
    <x v="0"/>
    <x v="0"/>
    <s v="Rafaela Treacher"/>
  </r>
  <r>
    <s v="PJC-31401-893"/>
    <x v="561"/>
    <s v="11212-69985-ZJ"/>
    <s v="A-D-0.5"/>
    <n v="3"/>
    <x v="796"/>
    <s v="rtreachero2@usa.gov"/>
    <x v="1"/>
    <s v="Ara"/>
    <s v="D"/>
    <x v="1"/>
    <n v="5.97"/>
    <n v="17.91"/>
    <x v="2"/>
    <x v="2"/>
    <x v="1"/>
    <s v="Bee Fattorini"/>
  </r>
  <r>
    <s v="HHO-79903-185"/>
    <x v="42"/>
    <s v="53893-01719-CL"/>
    <s v="A-L-2.5"/>
    <n v="1"/>
    <x v="797"/>
    <s v="bfattorinio3@quantcast.com"/>
    <x v="1"/>
    <s v="Ara"/>
    <s v="L"/>
    <x v="2"/>
    <n v="29.784999999999997"/>
    <n v="29.784999999999997"/>
    <x v="2"/>
    <x v="1"/>
    <x v="0"/>
    <s v="Margie Palleske"/>
  </r>
  <r>
    <s v="YWM-07310-594"/>
    <x v="267"/>
    <s v="66028-99867-WJ"/>
    <s v="E-M-0.5"/>
    <n v="5"/>
    <x v="798"/>
    <s v="mpalleskeo4@nyu.edu"/>
    <x v="0"/>
    <s v="Exc"/>
    <s v="M"/>
    <x v="1"/>
    <n v="8.25"/>
    <n v="41.25"/>
    <x v="1"/>
    <x v="0"/>
    <x v="0"/>
    <s v="Alexina Randals"/>
  </r>
  <r>
    <s v="FHD-94983-982"/>
    <x v="625"/>
    <s v="62839-56723-CH"/>
    <s v="R-M-0.5"/>
    <n v="3"/>
    <x v="799"/>
    <s v=""/>
    <x v="0"/>
    <s v="Rob"/>
    <s v="M"/>
    <x v="1"/>
    <n v="5.97"/>
    <n v="17.91"/>
    <x v="0"/>
    <x v="0"/>
    <x v="0"/>
    <s v="Filip Antcliffe"/>
  </r>
  <r>
    <s v="WQK-10857-119"/>
    <x v="616"/>
    <s v="96849-52854-CR"/>
    <s v="E-D-0.5"/>
    <n v="1"/>
    <x v="800"/>
    <s v="fantcliffeo6@amazon.co.jp"/>
    <x v="1"/>
    <s v="Exc"/>
    <s v="D"/>
    <x v="1"/>
    <n v="7.29"/>
    <n v="7.29"/>
    <x v="1"/>
    <x v="2"/>
    <x v="0"/>
    <s v="Peyter Matignon"/>
  </r>
  <r>
    <s v="DXA-50313-073"/>
    <x v="626"/>
    <s v="19755-55847-VW"/>
    <s v="E-L-1"/>
    <n v="2"/>
    <x v="801"/>
    <s v="pmatignono7@harvard.edu"/>
    <x v="2"/>
    <s v="Exc"/>
    <s v="L"/>
    <x v="0"/>
    <n v="14.85"/>
    <n v="29.7"/>
    <x v="1"/>
    <x v="1"/>
    <x v="0"/>
    <s v="Claudie Weond"/>
  </r>
  <r>
    <s v="ONW-00560-570"/>
    <x v="52"/>
    <s v="32900-82606-BO"/>
    <s v="A-M-1"/>
    <n v="2"/>
    <x v="802"/>
    <s v="cweondo8@theglobeandmail.com"/>
    <x v="0"/>
    <s v="Ara"/>
    <s v="M"/>
    <x v="0"/>
    <n v="11.25"/>
    <n v="22.5"/>
    <x v="2"/>
    <x v="0"/>
    <x v="1"/>
    <s v="Modesty MacConnechie"/>
  </r>
  <r>
    <s v="BRJ-19414-277"/>
    <x v="622"/>
    <s v="16809-16936-WF"/>
    <s v="R-M-0.2"/>
    <n v="4"/>
    <x v="795"/>
    <s v="mmacconnechieo9@reuters.com"/>
    <x v="0"/>
    <s v="Rob"/>
    <s v="M"/>
    <x v="3"/>
    <n v="2.9849999999999999"/>
    <n v="11.94"/>
    <x v="0"/>
    <x v="0"/>
    <x v="0"/>
    <s v="Jaquenette Skentelbery"/>
  </r>
  <r>
    <s v="MIQ-16322-908"/>
    <x v="627"/>
    <s v="20118-28138-QD"/>
    <s v="A-L-1"/>
    <n v="2"/>
    <x v="803"/>
    <s v="jskentelberyoa@paypal.com"/>
    <x v="0"/>
    <s v="Ara"/>
    <s v="L"/>
    <x v="0"/>
    <n v="12.95"/>
    <n v="25.9"/>
    <x v="2"/>
    <x v="1"/>
    <x v="1"/>
    <s v="Orazio Comber"/>
  </r>
  <r>
    <s v="MVO-39328-830"/>
    <x v="628"/>
    <s v="84057-45461-AH"/>
    <s v="L-M-0.5"/>
    <n v="5"/>
    <x v="804"/>
    <s v="ocomberob@goo.gl"/>
    <x v="1"/>
    <s v="Lib"/>
    <s v="M"/>
    <x v="1"/>
    <n v="8.73"/>
    <n v="43.650000000000006"/>
    <x v="3"/>
    <x v="0"/>
    <x v="1"/>
    <s v="Orazio Comber"/>
  </r>
  <r>
    <s v="MVO-39328-830"/>
    <x v="628"/>
    <s v="84057-45461-AH"/>
    <s v="A-L-0.5"/>
    <n v="6"/>
    <x v="804"/>
    <s v="ocomberob@goo.gl"/>
    <x v="1"/>
    <s v="Ara"/>
    <s v="L"/>
    <x v="1"/>
    <n v="7.77"/>
    <n v="46.62"/>
    <x v="2"/>
    <x v="1"/>
    <x v="1"/>
    <s v="Zachary Tramel"/>
  </r>
  <r>
    <s v="NTJ-88319-746"/>
    <x v="629"/>
    <s v="90882-88130-KQ"/>
    <s v="L-L-0.5"/>
    <n v="3"/>
    <x v="805"/>
    <s v="ztramelod@netlog.com"/>
    <x v="0"/>
    <s v="Lib"/>
    <s v="L"/>
    <x v="1"/>
    <n v="9.51"/>
    <n v="28.53"/>
    <x v="3"/>
    <x v="1"/>
    <x v="1"/>
    <s v="Izaak Primak"/>
  </r>
  <r>
    <s v="LCY-24377-948"/>
    <x v="630"/>
    <s v="21617-79890-DD"/>
    <s v="R-L-2.5"/>
    <n v="1"/>
    <x v="806"/>
    <s v=""/>
    <x v="0"/>
    <s v="Rob"/>
    <s v="L"/>
    <x v="2"/>
    <n v="27.484999999999996"/>
    <n v="27.484999999999996"/>
    <x v="0"/>
    <x v="1"/>
    <x v="0"/>
    <s v="Brittani Thoresbie"/>
  </r>
  <r>
    <s v="FWD-85967-769"/>
    <x v="631"/>
    <s v="20256-54689-LO"/>
    <s v="E-D-0.2"/>
    <n v="3"/>
    <x v="807"/>
    <s v=""/>
    <x v="0"/>
    <s v="Exc"/>
    <s v="D"/>
    <x v="3"/>
    <n v="3.645"/>
    <n v="10.935"/>
    <x v="1"/>
    <x v="2"/>
    <x v="1"/>
    <s v="Constanta Hatfull"/>
  </r>
  <r>
    <s v="KTO-53793-109"/>
    <x v="229"/>
    <s v="17572-27091-AA"/>
    <s v="R-L-0.2"/>
    <n v="2"/>
    <x v="808"/>
    <s v="chatfullog@ebay.com"/>
    <x v="0"/>
    <s v="Rob"/>
    <s v="L"/>
    <x v="3"/>
    <n v="3.5849999999999995"/>
    <n v="7.169999999999999"/>
    <x v="0"/>
    <x v="1"/>
    <x v="1"/>
    <s v="Bobbe Castagneto"/>
  </r>
  <r>
    <s v="OCK-89033-348"/>
    <x v="632"/>
    <s v="82300-88786-UE"/>
    <s v="A-L-0.2"/>
    <n v="6"/>
    <x v="809"/>
    <s v=""/>
    <x v="0"/>
    <s v="Ara"/>
    <s v="L"/>
    <x v="3"/>
    <n v="3.8849999999999998"/>
    <n v="23.31"/>
    <x v="2"/>
    <x v="1"/>
    <x v="0"/>
    <s v="Kippie Marrison"/>
  </r>
  <r>
    <s v="GPZ-36017-366"/>
    <x v="633"/>
    <s v="65732-22589-OW"/>
    <s v="A-D-2.5"/>
    <n v="5"/>
    <x v="810"/>
    <s v="kmarrisonoq@dropbox.com"/>
    <x v="0"/>
    <s v="Ara"/>
    <s v="D"/>
    <x v="2"/>
    <n v="22.884999999999998"/>
    <n v="114.42499999999998"/>
    <x v="2"/>
    <x v="2"/>
    <x v="0"/>
    <s v="Lindon Agnolo"/>
  </r>
  <r>
    <s v="BZP-33213-637"/>
    <x v="95"/>
    <s v="77175-09826-SF"/>
    <s v="A-M-2.5"/>
    <n v="3"/>
    <x v="811"/>
    <s v="lagnolooj@pinterest.com"/>
    <x v="0"/>
    <s v="Ara"/>
    <s v="M"/>
    <x v="2"/>
    <n v="25.874999999999996"/>
    <n v="77.624999999999986"/>
    <x v="2"/>
    <x v="0"/>
    <x v="0"/>
    <s v="Delainey Kiddy"/>
  </r>
  <r>
    <s v="WFH-21507-708"/>
    <x v="521"/>
    <s v="07237-32539-NB"/>
    <s v="R-D-0.5"/>
    <n v="1"/>
    <x v="812"/>
    <s v="dkiddyok@fda.gov"/>
    <x v="0"/>
    <s v="Rob"/>
    <s v="D"/>
    <x v="1"/>
    <n v="5.3699999999999992"/>
    <n v="5.3699999999999992"/>
    <x v="0"/>
    <x v="2"/>
    <x v="0"/>
    <s v="Helli Petroulis"/>
  </r>
  <r>
    <s v="HST-96923-073"/>
    <x v="76"/>
    <s v="54722-76431-EX"/>
    <s v="R-D-2.5"/>
    <n v="6"/>
    <x v="813"/>
    <s v="hpetroulisol@state.tx.us"/>
    <x v="1"/>
    <s v="Rob"/>
    <s v="D"/>
    <x v="2"/>
    <n v="20.584999999999997"/>
    <n v="123.50999999999999"/>
    <x v="0"/>
    <x v="2"/>
    <x v="1"/>
    <s v="Marty Scholl"/>
  </r>
  <r>
    <s v="ENN-79947-323"/>
    <x v="634"/>
    <s v="67847-82662-TE"/>
    <s v="L-M-0.5"/>
    <n v="2"/>
    <x v="814"/>
    <s v="mschollom@taobao.com"/>
    <x v="0"/>
    <s v="Lib"/>
    <s v="M"/>
    <x v="1"/>
    <n v="8.73"/>
    <n v="17.46"/>
    <x v="3"/>
    <x v="0"/>
    <x v="1"/>
    <s v="Kienan Ferson"/>
  </r>
  <r>
    <s v="BHA-47429-889"/>
    <x v="635"/>
    <s v="51114-51191-EW"/>
    <s v="E-L-0.2"/>
    <n v="3"/>
    <x v="815"/>
    <s v="kfersonon@g.co"/>
    <x v="0"/>
    <s v="Exc"/>
    <s v="L"/>
    <x v="3"/>
    <n v="4.4550000000000001"/>
    <n v="13.365"/>
    <x v="1"/>
    <x v="1"/>
    <x v="1"/>
    <s v="Blake Kelloway"/>
  </r>
  <r>
    <s v="SZY-63017-318"/>
    <x v="636"/>
    <s v="91809-58808-TV"/>
    <s v="A-L-0.2"/>
    <n v="2"/>
    <x v="816"/>
    <s v="bkellowayoo@omniture.com"/>
    <x v="0"/>
    <s v="Ara"/>
    <s v="L"/>
    <x v="3"/>
    <n v="3.8849999999999998"/>
    <n v="7.77"/>
    <x v="2"/>
    <x v="1"/>
    <x v="0"/>
    <s v="Scarlett Oliffe"/>
  </r>
  <r>
    <s v="LCU-93317-340"/>
    <x v="637"/>
    <s v="84996-26826-DK"/>
    <s v="R-D-0.2"/>
    <n v="1"/>
    <x v="817"/>
    <s v="soliffeop@yellowbook.com"/>
    <x v="0"/>
    <s v="Rob"/>
    <s v="D"/>
    <x v="3"/>
    <n v="2.6849999999999996"/>
    <n v="2.6849999999999996"/>
    <x v="0"/>
    <x v="2"/>
    <x v="0"/>
    <s v="Kippie Marrison"/>
  </r>
  <r>
    <s v="UOM-71431-481"/>
    <x v="182"/>
    <s v="65732-22589-OW"/>
    <s v="R-D-2.5"/>
    <n v="1"/>
    <x v="810"/>
    <s v="kmarrisonoq@dropbox.com"/>
    <x v="0"/>
    <s v="Rob"/>
    <s v="D"/>
    <x v="2"/>
    <n v="20.584999999999997"/>
    <n v="20.584999999999997"/>
    <x v="0"/>
    <x v="2"/>
    <x v="0"/>
    <s v="Celestia Dolohunty"/>
  </r>
  <r>
    <s v="PJH-42618-877"/>
    <x v="479"/>
    <s v="93676-95250-XJ"/>
    <s v="A-D-2.5"/>
    <n v="5"/>
    <x v="818"/>
    <s v="cdolohuntyor@dailymail.co.uk"/>
    <x v="0"/>
    <s v="Ara"/>
    <s v="D"/>
    <x v="2"/>
    <n v="22.884999999999998"/>
    <n v="114.42499999999998"/>
    <x v="2"/>
    <x v="2"/>
    <x v="0"/>
    <s v="Patsy Vasilenko"/>
  </r>
  <r>
    <s v="XED-90333-402"/>
    <x v="638"/>
    <s v="28300-14355-GF"/>
    <s v="E-M-0.2"/>
    <n v="5"/>
    <x v="819"/>
    <s v="pvasilenkoos@addtoany.com"/>
    <x v="2"/>
    <s v="Exc"/>
    <s v="M"/>
    <x v="3"/>
    <n v="4.125"/>
    <n v="20.625"/>
    <x v="1"/>
    <x v="0"/>
    <x v="1"/>
    <s v="Raphaela Schankelborg"/>
  </r>
  <r>
    <s v="IKK-62234-199"/>
    <x v="639"/>
    <s v="91190-84826-IQ"/>
    <s v="L-L-0.5"/>
    <n v="6"/>
    <x v="820"/>
    <s v="rschankelborgot@ameblo.jp"/>
    <x v="0"/>
    <s v="Lib"/>
    <s v="L"/>
    <x v="1"/>
    <n v="9.51"/>
    <n v="57.06"/>
    <x v="3"/>
    <x v="1"/>
    <x v="0"/>
    <s v="Sharity Wickens"/>
  </r>
  <r>
    <s v="KAW-95195-329"/>
    <x v="640"/>
    <s v="34570-99384-AF"/>
    <s v="R-D-2.5"/>
    <n v="4"/>
    <x v="821"/>
    <s v=""/>
    <x v="1"/>
    <s v="Rob"/>
    <s v="D"/>
    <x v="2"/>
    <n v="20.584999999999997"/>
    <n v="82.339999999999989"/>
    <x v="0"/>
    <x v="2"/>
    <x v="0"/>
    <s v="Derick Snow"/>
  </r>
  <r>
    <s v="QDO-57268-842"/>
    <x v="612"/>
    <s v="57808-90533-UE"/>
    <s v="E-M-2.5"/>
    <n v="5"/>
    <x v="822"/>
    <s v=""/>
    <x v="0"/>
    <s v="Exc"/>
    <s v="M"/>
    <x v="2"/>
    <n v="31.624999999999996"/>
    <n v="158.12499999999997"/>
    <x v="1"/>
    <x v="0"/>
    <x v="1"/>
    <s v="Baxy Cargen"/>
  </r>
  <r>
    <s v="IIZ-24416-212"/>
    <x v="641"/>
    <s v="76060-30540-LB"/>
    <s v="R-D-0.5"/>
    <n v="6"/>
    <x v="823"/>
    <s v="bcargenow@geocities.jp"/>
    <x v="0"/>
    <s v="Rob"/>
    <s v="D"/>
    <x v="1"/>
    <n v="5.3699999999999992"/>
    <n v="32.22"/>
    <x v="0"/>
    <x v="2"/>
    <x v="0"/>
    <s v="Ryann Stickler"/>
  </r>
  <r>
    <s v="AWP-11469-510"/>
    <x v="36"/>
    <s v="76730-63769-ND"/>
    <s v="E-D-1"/>
    <n v="2"/>
    <x v="824"/>
    <s v="rsticklerox@printfriendly.com"/>
    <x v="2"/>
    <s v="Exc"/>
    <s v="D"/>
    <x v="0"/>
    <n v="12.15"/>
    <n v="24.3"/>
    <x v="1"/>
    <x v="2"/>
    <x v="1"/>
    <s v="Daryn Cassius"/>
  </r>
  <r>
    <s v="KXA-27983-918"/>
    <x v="642"/>
    <s v="96042-27290-EQ"/>
    <s v="R-L-0.5"/>
    <n v="5"/>
    <x v="825"/>
    <s v=""/>
    <x v="0"/>
    <s v="Rob"/>
    <s v="L"/>
    <x v="1"/>
    <n v="7.169999999999999"/>
    <n v="35.849999999999994"/>
    <x v="0"/>
    <x v="1"/>
    <x v="1"/>
    <s v="Derick Snow"/>
  </r>
  <r>
    <s v="VKQ-39009-292"/>
    <x v="219"/>
    <s v="57808-90533-UE"/>
    <s v="L-M-1"/>
    <n v="5"/>
    <x v="822"/>
    <e v="#N/A"/>
    <x v="1"/>
    <s v="Lib"/>
    <s v="M"/>
    <x v="0"/>
    <n v="14.55"/>
    <n v="72.75"/>
    <x v="3"/>
    <x v="0"/>
    <x v="1"/>
    <s v="Skelly Dolohunty"/>
  </r>
  <r>
    <s v="PDB-98743-282"/>
    <x v="643"/>
    <s v="51940-02669-OR"/>
    <s v="L-L-1"/>
    <n v="3"/>
    <x v="826"/>
    <s v=""/>
    <x v="1"/>
    <s v="Lib"/>
    <s v="L"/>
    <x v="0"/>
    <n v="15.85"/>
    <n v="47.55"/>
    <x v="3"/>
    <x v="1"/>
    <x v="1"/>
    <s v="Drake Jevon"/>
  </r>
  <r>
    <s v="SXW-34014-556"/>
    <x v="644"/>
    <s v="99144-98314-GN"/>
    <s v="R-L-0.2"/>
    <n v="1"/>
    <x v="827"/>
    <s v="djevonp1@ibm.com"/>
    <x v="0"/>
    <s v="Rob"/>
    <s v="L"/>
    <x v="3"/>
    <n v="3.5849999999999995"/>
    <n v="3.5849999999999995"/>
    <x v="0"/>
    <x v="1"/>
    <x v="0"/>
    <s v="Hall Ranner"/>
  </r>
  <r>
    <s v="QOJ-38788-727"/>
    <x v="136"/>
    <s v="16358-63919-CE"/>
    <s v="E-M-2.5"/>
    <n v="5"/>
    <x v="828"/>
    <s v="hrannerp2@omniture.com"/>
    <x v="0"/>
    <s v="Exc"/>
    <s v="M"/>
    <x v="2"/>
    <n v="31.624999999999996"/>
    <n v="158.12499999999997"/>
    <x v="1"/>
    <x v="0"/>
    <x v="1"/>
    <s v="Berkly Imrie"/>
  </r>
  <r>
    <s v="TGF-38649-658"/>
    <x v="645"/>
    <s v="67743-54817-UT"/>
    <s v="L-M-0.5"/>
    <n v="2"/>
    <x v="829"/>
    <s v="bimriep3@addtoany.com"/>
    <x v="0"/>
    <s v="Lib"/>
    <s v="M"/>
    <x v="1"/>
    <n v="8.73"/>
    <n v="17.46"/>
    <x v="3"/>
    <x v="0"/>
    <x v="1"/>
    <s v="Dorey Sopper"/>
  </r>
  <r>
    <s v="EAI-25194-209"/>
    <x v="646"/>
    <s v="44601-51441-BH"/>
    <s v="A-L-2.5"/>
    <n v="5"/>
    <x v="830"/>
    <s v="dsopperp4@eventbrite.com"/>
    <x v="0"/>
    <s v="Ara"/>
    <s v="L"/>
    <x v="2"/>
    <n v="29.784999999999997"/>
    <n v="148.92499999999998"/>
    <x v="2"/>
    <x v="1"/>
    <x v="1"/>
    <s v="Darcy Lochran"/>
  </r>
  <r>
    <s v="IJK-34441-720"/>
    <x v="647"/>
    <s v="97201-58870-WB"/>
    <s v="A-M-0.5"/>
    <n v="6"/>
    <x v="831"/>
    <s v=""/>
    <x v="0"/>
    <s v="Ara"/>
    <s v="M"/>
    <x v="1"/>
    <n v="6.75"/>
    <n v="40.5"/>
    <x v="2"/>
    <x v="0"/>
    <x v="0"/>
    <s v="Lauritz Ledgley"/>
  </r>
  <r>
    <s v="ZMC-00336-619"/>
    <x v="591"/>
    <s v="19849-12926-QF"/>
    <s v="A-M-0.5"/>
    <n v="4"/>
    <x v="832"/>
    <s v="lledgleyp6@de.vu"/>
    <x v="0"/>
    <s v="Ara"/>
    <s v="M"/>
    <x v="1"/>
    <n v="6.75"/>
    <n v="27"/>
    <x v="2"/>
    <x v="0"/>
    <x v="0"/>
    <s v="Tawnya Menary"/>
  </r>
  <r>
    <s v="UPX-54529-618"/>
    <x v="648"/>
    <s v="40535-56770-UM"/>
    <s v="L-D-1"/>
    <n v="3"/>
    <x v="833"/>
    <s v="tmenaryp7@phoca.cz"/>
    <x v="0"/>
    <s v="Lib"/>
    <s v="D"/>
    <x v="0"/>
    <n v="12.95"/>
    <n v="38.849999999999994"/>
    <x v="3"/>
    <x v="2"/>
    <x v="1"/>
    <s v="Gustaf Ciccotti"/>
  </r>
  <r>
    <s v="DLX-01059-899"/>
    <x v="191"/>
    <s v="74940-09646-MU"/>
    <s v="R-L-1"/>
    <n v="5"/>
    <x v="834"/>
    <s v="gciccottip8@so-net.ne.jp"/>
    <x v="0"/>
    <s v="Rob"/>
    <s v="L"/>
    <x v="0"/>
    <n v="11.95"/>
    <n v="59.75"/>
    <x v="0"/>
    <x v="1"/>
    <x v="1"/>
    <s v="Bobbe Renner"/>
  </r>
  <r>
    <s v="MEK-85120-243"/>
    <x v="649"/>
    <s v="06623-54610-HC"/>
    <s v="R-L-0.2"/>
    <n v="3"/>
    <x v="835"/>
    <s v=""/>
    <x v="0"/>
    <s v="Rob"/>
    <s v="L"/>
    <x v="3"/>
    <n v="3.5849999999999995"/>
    <n v="10.754999999999999"/>
    <x v="0"/>
    <x v="1"/>
    <x v="1"/>
    <s v="Wilton Jallin"/>
  </r>
  <r>
    <s v="NFI-37188-246"/>
    <x v="553"/>
    <s v="89490-75361-AF"/>
    <s v="A-D-2.5"/>
    <n v="4"/>
    <x v="836"/>
    <s v="wjallinpa@pcworld.com"/>
    <x v="0"/>
    <s v="Ara"/>
    <s v="D"/>
    <x v="2"/>
    <n v="22.884999999999998"/>
    <n v="91.539999999999992"/>
    <x v="2"/>
    <x v="2"/>
    <x v="1"/>
    <s v="Mindy Bogey"/>
  </r>
  <r>
    <s v="BXH-62195-013"/>
    <x v="584"/>
    <s v="94526-79230-GZ"/>
    <s v="A-M-1"/>
    <n v="4"/>
    <x v="837"/>
    <s v="mbogeypb@thetimes.co.uk"/>
    <x v="0"/>
    <s v="Ara"/>
    <s v="M"/>
    <x v="0"/>
    <n v="11.25"/>
    <n v="45"/>
    <x v="2"/>
    <x v="0"/>
    <x v="0"/>
    <s v="Paulie Fonzone"/>
  </r>
  <r>
    <s v="YLK-78851-470"/>
    <x v="650"/>
    <s v="58559-08254-UY"/>
    <s v="R-M-2.5"/>
    <n v="6"/>
    <x v="838"/>
    <s v=""/>
    <x v="0"/>
    <s v="Rob"/>
    <s v="M"/>
    <x v="2"/>
    <n v="22.884999999999998"/>
    <n v="137.31"/>
    <x v="0"/>
    <x v="0"/>
    <x v="0"/>
    <s v="Merrile Cobbledick"/>
  </r>
  <r>
    <s v="DXY-76225-633"/>
    <x v="121"/>
    <s v="88574-37083-WX"/>
    <s v="A-M-0.5"/>
    <n v="1"/>
    <x v="839"/>
    <s v="mcobbledickpd@ucsd.edu"/>
    <x v="0"/>
    <s v="Ara"/>
    <s v="M"/>
    <x v="1"/>
    <n v="6.75"/>
    <n v="6.75"/>
    <x v="2"/>
    <x v="0"/>
    <x v="1"/>
    <s v="Antonius Lewry"/>
  </r>
  <r>
    <s v="UHP-24614-199"/>
    <x v="472"/>
    <s v="67953-79896-AC"/>
    <s v="A-M-1"/>
    <n v="4"/>
    <x v="840"/>
    <s v="alewrype@whitehouse.gov"/>
    <x v="0"/>
    <s v="Ara"/>
    <s v="M"/>
    <x v="0"/>
    <n v="11.25"/>
    <n v="45"/>
    <x v="2"/>
    <x v="0"/>
    <x v="1"/>
    <s v="Isis Hessel"/>
  </r>
  <r>
    <s v="HBY-35655-049"/>
    <x v="594"/>
    <s v="69207-93422-CQ"/>
    <s v="E-D-2.5"/>
    <n v="3"/>
    <x v="841"/>
    <s v="ihesselpf@ox.ac.uk"/>
    <x v="0"/>
    <s v="Exc"/>
    <s v="D"/>
    <x v="2"/>
    <n v="27.945"/>
    <n v="83.835000000000008"/>
    <x v="1"/>
    <x v="2"/>
    <x v="0"/>
    <s v="Harland Trematick"/>
  </r>
  <r>
    <s v="DCE-22886-861"/>
    <x v="89"/>
    <s v="56060-17602-RG"/>
    <s v="E-D-0.2"/>
    <n v="1"/>
    <x v="842"/>
    <s v=""/>
    <x v="1"/>
    <s v="Exc"/>
    <s v="D"/>
    <x v="3"/>
    <n v="3.645"/>
    <n v="3.645"/>
    <x v="1"/>
    <x v="2"/>
    <x v="0"/>
    <s v="Chloris Sorrell"/>
  </r>
  <r>
    <s v="QTG-93823-843"/>
    <x v="651"/>
    <s v="46859-14212-FI"/>
    <s v="A-M-0.5"/>
    <n v="1"/>
    <x v="843"/>
    <s v="csorrellph@amazon.com"/>
    <x v="2"/>
    <s v="Ara"/>
    <s v="M"/>
    <x v="1"/>
    <n v="6.75"/>
    <n v="6.75"/>
    <x v="2"/>
    <x v="0"/>
    <x v="1"/>
    <s v="Chloris Sorrell"/>
  </r>
  <r>
    <s v="QTG-93823-843"/>
    <x v="651"/>
    <s v="46859-14212-FI"/>
    <s v="E-D-0.5"/>
    <n v="3"/>
    <x v="843"/>
    <s v="csorrellph@amazon.com"/>
    <x v="2"/>
    <s v="Exc"/>
    <s v="D"/>
    <x v="1"/>
    <n v="7.29"/>
    <n v="21.87"/>
    <x v="1"/>
    <x v="2"/>
    <x v="1"/>
    <s v="Quintina Heavyside"/>
  </r>
  <r>
    <s v="WFT-16178-396"/>
    <x v="249"/>
    <s v="33555-01585-RP"/>
    <s v="R-D-0.2"/>
    <n v="5"/>
    <x v="844"/>
    <s v="qheavysidepj@unc.edu"/>
    <x v="0"/>
    <s v="Rob"/>
    <s v="D"/>
    <x v="3"/>
    <n v="2.6849999999999996"/>
    <n v="13.424999999999997"/>
    <x v="0"/>
    <x v="2"/>
    <x v="0"/>
    <s v="Hadley Reuven"/>
  </r>
  <r>
    <s v="ERC-54560-934"/>
    <x v="652"/>
    <s v="11932-85629-CU"/>
    <s v="R-D-2.5"/>
    <n v="6"/>
    <x v="845"/>
    <s v="hreuvenpk@whitehouse.gov"/>
    <x v="0"/>
    <s v="Rob"/>
    <s v="D"/>
    <x v="2"/>
    <n v="20.584999999999997"/>
    <n v="123.50999999999999"/>
    <x v="0"/>
    <x v="2"/>
    <x v="1"/>
    <s v="Mitch Attwool"/>
  </r>
  <r>
    <s v="RUK-78200-416"/>
    <x v="653"/>
    <s v="36192-07175-XC"/>
    <s v="L-D-0.2"/>
    <n v="2"/>
    <x v="846"/>
    <s v="mattwoolpl@nba.com"/>
    <x v="0"/>
    <s v="Lib"/>
    <s v="D"/>
    <x v="3"/>
    <n v="3.8849999999999998"/>
    <n v="7.77"/>
    <x v="3"/>
    <x v="2"/>
    <x v="1"/>
    <s v="Charin Maplethorp"/>
  </r>
  <r>
    <s v="KHK-13105-388"/>
    <x v="177"/>
    <s v="46242-54946-ZW"/>
    <s v="A-M-1"/>
    <n v="6"/>
    <x v="847"/>
    <s v=""/>
    <x v="0"/>
    <s v="Ara"/>
    <s v="M"/>
    <x v="0"/>
    <n v="11.25"/>
    <n v="67.5"/>
    <x v="2"/>
    <x v="0"/>
    <x v="0"/>
    <s v="Goldie Wynes"/>
  </r>
  <r>
    <s v="NJR-03699-189"/>
    <x v="22"/>
    <s v="95152-82155-VQ"/>
    <s v="E-D-2.5"/>
    <n v="1"/>
    <x v="848"/>
    <s v="gwynespn@dagondesign.com"/>
    <x v="0"/>
    <s v="Exc"/>
    <s v="D"/>
    <x v="2"/>
    <n v="27.945"/>
    <n v="27.945"/>
    <x v="1"/>
    <x v="2"/>
    <x v="1"/>
    <s v="Celie MacCourt"/>
  </r>
  <r>
    <s v="PJV-20427-019"/>
    <x v="508"/>
    <s v="13404-39127-WQ"/>
    <s v="A-L-2.5"/>
    <n v="3"/>
    <x v="849"/>
    <s v="cmaccourtpo@amazon.com"/>
    <x v="0"/>
    <s v="Ara"/>
    <s v="L"/>
    <x v="2"/>
    <n v="29.784999999999997"/>
    <n v="89.35499999999999"/>
    <x v="2"/>
    <x v="1"/>
    <x v="1"/>
    <s v="Derick Snow"/>
  </r>
  <r>
    <s v="UGK-07613-982"/>
    <x v="654"/>
    <s v="57808-90533-UE"/>
    <s v="A-M-0.5"/>
    <n v="3"/>
    <x v="822"/>
    <e v="#N/A"/>
    <x v="1"/>
    <s v="Ara"/>
    <s v="M"/>
    <x v="1"/>
    <n v="6.75"/>
    <n v="20.25"/>
    <x v="2"/>
    <x v="0"/>
    <x v="1"/>
    <s v="Evy Wilsone"/>
  </r>
  <r>
    <s v="OLA-68289-577"/>
    <x v="524"/>
    <s v="40226-52317-IO"/>
    <s v="A-M-0.5"/>
    <n v="5"/>
    <x v="850"/>
    <s v="ewilsonepq@eepurl.com"/>
    <x v="0"/>
    <s v="Ara"/>
    <s v="M"/>
    <x v="1"/>
    <n v="6.75"/>
    <n v="33.75"/>
    <x v="2"/>
    <x v="0"/>
    <x v="0"/>
    <s v="Dolores Duffie"/>
  </r>
  <r>
    <s v="TNR-84447-052"/>
    <x v="655"/>
    <s v="34419-18068-AG"/>
    <s v="E-D-2.5"/>
    <n v="4"/>
    <x v="851"/>
    <s v="dduffiepr@time.com"/>
    <x v="0"/>
    <s v="Exc"/>
    <s v="D"/>
    <x v="2"/>
    <n v="27.945"/>
    <n v="111.78"/>
    <x v="1"/>
    <x v="2"/>
    <x v="1"/>
    <s v="Mathilda Matiasek"/>
  </r>
  <r>
    <s v="FBZ-64200-586"/>
    <x v="523"/>
    <s v="51738-61457-RS"/>
    <s v="E-M-2.5"/>
    <n v="2"/>
    <x v="852"/>
    <s v="mmatiasekps@ucoz.ru"/>
    <x v="0"/>
    <s v="Exc"/>
    <s v="M"/>
    <x v="2"/>
    <n v="31.624999999999996"/>
    <n v="63.249999999999993"/>
    <x v="1"/>
    <x v="0"/>
    <x v="0"/>
    <s v="Jarred Camillo"/>
  </r>
  <r>
    <s v="OBN-66334-505"/>
    <x v="656"/>
    <s v="86757-52367-ON"/>
    <s v="E-L-0.2"/>
    <n v="2"/>
    <x v="853"/>
    <s v="jcamillopt@shinystat.com"/>
    <x v="0"/>
    <s v="Exc"/>
    <s v="L"/>
    <x v="3"/>
    <n v="4.4550000000000001"/>
    <n v="8.91"/>
    <x v="1"/>
    <x v="1"/>
    <x v="0"/>
    <s v="Kameko Philbrick"/>
  </r>
  <r>
    <s v="NXM-89323-646"/>
    <x v="657"/>
    <s v="28158-93383-CK"/>
    <s v="E-D-1"/>
    <n v="1"/>
    <x v="854"/>
    <s v="kphilbrickpu@cdc.gov"/>
    <x v="0"/>
    <s v="Exc"/>
    <s v="D"/>
    <x v="0"/>
    <n v="12.15"/>
    <n v="12.15"/>
    <x v="1"/>
    <x v="2"/>
    <x v="0"/>
    <s v="Mallory Shrimpling"/>
  </r>
  <r>
    <s v="NHI-23264-055"/>
    <x v="658"/>
    <s v="44799-09711-XW"/>
    <s v="A-D-0.5"/>
    <n v="4"/>
    <x v="855"/>
    <s v=""/>
    <x v="0"/>
    <s v="Ara"/>
    <s v="D"/>
    <x v="1"/>
    <n v="5.97"/>
    <n v="23.88"/>
    <x v="2"/>
    <x v="2"/>
    <x v="0"/>
    <s v="Barnett Sillis"/>
  </r>
  <r>
    <s v="EQH-53569-934"/>
    <x v="659"/>
    <s v="53667-91553-LT"/>
    <s v="E-M-1"/>
    <n v="4"/>
    <x v="856"/>
    <s v="bsillispw@istockphoto.com"/>
    <x v="0"/>
    <s v="Exc"/>
    <s v="M"/>
    <x v="0"/>
    <n v="13.75"/>
    <n v="55"/>
    <x v="1"/>
    <x v="0"/>
    <x v="1"/>
    <s v="Brenn Dundredge"/>
  </r>
  <r>
    <s v="XKK-06692-189"/>
    <x v="558"/>
    <s v="86579-92122-OC"/>
    <s v="R-D-1"/>
    <n v="3"/>
    <x v="857"/>
    <s v=""/>
    <x v="0"/>
    <s v="Rob"/>
    <s v="D"/>
    <x v="0"/>
    <n v="8.9499999999999993"/>
    <n v="26.849999999999998"/>
    <x v="0"/>
    <x v="2"/>
    <x v="0"/>
    <s v="Read Cutts"/>
  </r>
  <r>
    <s v="BYP-16005-016"/>
    <x v="660"/>
    <s v="01474-63436-TP"/>
    <s v="R-M-2.5"/>
    <n v="5"/>
    <x v="858"/>
    <s v="rcuttspy@techcrunch.com"/>
    <x v="0"/>
    <s v="Rob"/>
    <s v="M"/>
    <x v="2"/>
    <n v="22.884999999999998"/>
    <n v="114.42499999999998"/>
    <x v="0"/>
    <x v="0"/>
    <x v="1"/>
    <s v="Michale Delves"/>
  </r>
  <r>
    <s v="LWS-13938-905"/>
    <x v="661"/>
    <s v="90533-82440-EE"/>
    <s v="A-M-2.5"/>
    <n v="6"/>
    <x v="859"/>
    <s v="mdelvespz@nature.com"/>
    <x v="0"/>
    <s v="Ara"/>
    <s v="M"/>
    <x v="2"/>
    <n v="25.874999999999996"/>
    <n v="155.24999999999997"/>
    <x v="2"/>
    <x v="0"/>
    <x v="0"/>
    <s v="Devland Gritton"/>
  </r>
  <r>
    <s v="OLH-95722-362"/>
    <x v="662"/>
    <s v="48553-69225-VX"/>
    <s v="L-D-0.5"/>
    <n v="3"/>
    <x v="860"/>
    <s v="dgrittonq0@nydailynews.com"/>
    <x v="0"/>
    <s v="Lib"/>
    <s v="D"/>
    <x v="1"/>
    <n v="7.77"/>
    <n v="23.31"/>
    <x v="3"/>
    <x v="2"/>
    <x v="0"/>
    <s v="Devland Gritton"/>
  </r>
  <r>
    <s v="OLH-95722-362"/>
    <x v="662"/>
    <s v="48553-69225-VX"/>
    <s v="R-M-2.5"/>
    <n v="4"/>
    <x v="860"/>
    <s v="dgrittonq0@nydailynews.com"/>
    <x v="0"/>
    <s v="Rob"/>
    <s v="M"/>
    <x v="2"/>
    <n v="22.884999999999998"/>
    <n v="91.539999999999992"/>
    <x v="0"/>
    <x v="0"/>
    <x v="0"/>
    <s v="Dell Gut"/>
  </r>
  <r>
    <s v="KCW-50949-318"/>
    <x v="184"/>
    <s v="52374-27313-IV"/>
    <s v="E-L-1"/>
    <n v="5"/>
    <x v="861"/>
    <s v="dgutq2@umich.edu"/>
    <x v="0"/>
    <s v="Exc"/>
    <s v="L"/>
    <x v="0"/>
    <n v="14.85"/>
    <n v="74.25"/>
    <x v="1"/>
    <x v="1"/>
    <x v="0"/>
    <s v="Willy Pummery"/>
  </r>
  <r>
    <s v="JGZ-16947-591"/>
    <x v="663"/>
    <s v="14264-41252-SL"/>
    <s v="L-L-0.2"/>
    <n v="6"/>
    <x v="862"/>
    <s v="wpummeryq3@topsy.com"/>
    <x v="0"/>
    <s v="Lib"/>
    <s v="L"/>
    <x v="3"/>
    <n v="4.7549999999999999"/>
    <n v="28.53"/>
    <x v="3"/>
    <x v="1"/>
    <x v="1"/>
    <s v="Geoffrey Siuda"/>
  </r>
  <r>
    <s v="LXS-63326-144"/>
    <x v="334"/>
    <s v="35367-50483-AR"/>
    <s v="R-L-0.5"/>
    <n v="2"/>
    <x v="863"/>
    <s v="gsiudaq4@nytimes.com"/>
    <x v="0"/>
    <s v="Rob"/>
    <s v="L"/>
    <x v="1"/>
    <n v="7.169999999999999"/>
    <n v="14.339999999999998"/>
    <x v="0"/>
    <x v="1"/>
    <x v="0"/>
    <s v="Henderson Crowne"/>
  </r>
  <r>
    <s v="CZG-86544-655"/>
    <x v="664"/>
    <s v="69443-77665-QW"/>
    <s v="A-L-0.5"/>
    <n v="2"/>
    <x v="864"/>
    <s v="hcrowneq5@wufoo.com"/>
    <x v="1"/>
    <s v="Ara"/>
    <s v="L"/>
    <x v="1"/>
    <n v="7.77"/>
    <n v="15.54"/>
    <x v="2"/>
    <x v="1"/>
    <x v="0"/>
    <s v="Vernor Pawsey"/>
  </r>
  <r>
    <s v="WFV-88138-247"/>
    <x v="24"/>
    <s v="63411-51758-QC"/>
    <s v="R-L-1"/>
    <n v="3"/>
    <x v="865"/>
    <s v="vpawseyq6@tiny.cc"/>
    <x v="0"/>
    <s v="Rob"/>
    <s v="L"/>
    <x v="0"/>
    <n v="11.95"/>
    <n v="35.849999999999994"/>
    <x v="0"/>
    <x v="1"/>
    <x v="1"/>
    <s v="Augustin Waterhouse"/>
  </r>
  <r>
    <s v="RFG-28227-288"/>
    <x v="12"/>
    <s v="68605-21835-UF"/>
    <s v="A-L-0.5"/>
    <n v="6"/>
    <x v="866"/>
    <s v="awaterhouseq7@istockphoto.com"/>
    <x v="0"/>
    <s v="Ara"/>
    <s v="L"/>
    <x v="1"/>
    <n v="7.77"/>
    <n v="46.62"/>
    <x v="2"/>
    <x v="1"/>
    <x v="1"/>
    <s v="Fanchon Haughian"/>
  </r>
  <r>
    <s v="QAK-77286-758"/>
    <x v="105"/>
    <s v="34786-30419-XY"/>
    <s v="R-L-0.5"/>
    <n v="5"/>
    <x v="867"/>
    <s v="fhaughianq8@1688.com"/>
    <x v="0"/>
    <s v="Rob"/>
    <s v="L"/>
    <x v="1"/>
    <n v="7.169999999999999"/>
    <n v="35.849999999999994"/>
    <x v="0"/>
    <x v="1"/>
    <x v="1"/>
    <s v="Jaimie Hatz"/>
  </r>
  <r>
    <s v="CZD-56716-840"/>
    <x v="665"/>
    <s v="15456-29250-RU"/>
    <s v="L-D-2.5"/>
    <n v="4"/>
    <x v="868"/>
    <s v=""/>
    <x v="0"/>
    <s v="Lib"/>
    <s v="D"/>
    <x v="2"/>
    <n v="29.784999999999997"/>
    <n v="119.13999999999999"/>
    <x v="3"/>
    <x v="2"/>
    <x v="1"/>
    <s v="Edeline Edney"/>
  </r>
  <r>
    <s v="UBI-59229-277"/>
    <x v="44"/>
    <s v="00886-35803-FG"/>
    <s v="L-D-0.5"/>
    <n v="3"/>
    <x v="869"/>
    <s v=""/>
    <x v="0"/>
    <s v="Lib"/>
    <s v="D"/>
    <x v="1"/>
    <n v="7.77"/>
    <n v="23.31"/>
    <x v="3"/>
    <x v="2"/>
    <x v="1"/>
    <s v="Rickie Faltin"/>
  </r>
  <r>
    <s v="WJJ-37489-898"/>
    <x v="171"/>
    <s v="31599-82152-AD"/>
    <s v="A-M-1"/>
    <n v="1"/>
    <x v="870"/>
    <s v="rfaltinqb@topsy.com"/>
    <x v="1"/>
    <s v="Ara"/>
    <s v="M"/>
    <x v="0"/>
    <n v="11.25"/>
    <n v="11.25"/>
    <x v="2"/>
    <x v="0"/>
    <x v="1"/>
    <s v="Gnni Cheeke"/>
  </r>
  <r>
    <s v="ORX-57454-917"/>
    <x v="328"/>
    <s v="76209-39601-ZR"/>
    <s v="E-D-2.5"/>
    <n v="3"/>
    <x v="871"/>
    <s v="gcheekeqc@sitemeter.com"/>
    <x v="2"/>
    <s v="Exc"/>
    <s v="D"/>
    <x v="2"/>
    <n v="27.945"/>
    <n v="83.835000000000008"/>
    <x v="1"/>
    <x v="2"/>
    <x v="0"/>
    <s v="Gwenni Ratt"/>
  </r>
  <r>
    <s v="GRB-68838-629"/>
    <x v="648"/>
    <s v="15064-65241-HB"/>
    <s v="R-L-2.5"/>
    <n v="4"/>
    <x v="872"/>
    <s v="grattqd@phpbb.com"/>
    <x v="1"/>
    <s v="Rob"/>
    <s v="L"/>
    <x v="2"/>
    <n v="27.484999999999996"/>
    <n v="109.93999999999998"/>
    <x v="0"/>
    <x v="1"/>
    <x v="1"/>
    <s v="Johnath Fairebrother"/>
  </r>
  <r>
    <s v="SHT-04865-419"/>
    <x v="666"/>
    <s v="69215-90789-DL"/>
    <s v="R-L-0.2"/>
    <n v="4"/>
    <x v="873"/>
    <s v=""/>
    <x v="0"/>
    <s v="Rob"/>
    <s v="L"/>
    <x v="3"/>
    <n v="3.5849999999999995"/>
    <n v="14.339999999999998"/>
    <x v="0"/>
    <x v="1"/>
    <x v="0"/>
    <s v="Ingamar Eberlein"/>
  </r>
  <r>
    <s v="UQI-28177-865"/>
    <x v="577"/>
    <s v="04317-46176-TB"/>
    <s v="R-L-0.2"/>
    <n v="6"/>
    <x v="874"/>
    <s v="ieberleinqf@hc360.com"/>
    <x v="0"/>
    <s v="Rob"/>
    <s v="L"/>
    <x v="3"/>
    <n v="3.5849999999999995"/>
    <n v="21.509999999999998"/>
    <x v="0"/>
    <x v="1"/>
    <x v="1"/>
    <s v="Jilly Dreng"/>
  </r>
  <r>
    <s v="OIB-13664-879"/>
    <x v="114"/>
    <s v="04713-57765-KR"/>
    <s v="A-M-1"/>
    <n v="2"/>
    <x v="875"/>
    <s v="jdrengqg@uiuc.edu"/>
    <x v="1"/>
    <s v="Ara"/>
    <s v="M"/>
    <x v="0"/>
    <n v="11.25"/>
    <n v="22.5"/>
    <x v="2"/>
    <x v="0"/>
    <x v="0"/>
    <s v="Brenn Dundredge"/>
  </r>
  <r>
    <s v="PJS-30996-485"/>
    <x v="4"/>
    <s v="86579-92122-OC"/>
    <s v="A-L-0.2"/>
    <n v="1"/>
    <x v="857"/>
    <e v="#N/A"/>
    <x v="1"/>
    <s v="Ara"/>
    <s v="L"/>
    <x v="3"/>
    <n v="3.8849999999999998"/>
    <n v="3.8849999999999998"/>
    <x v="2"/>
    <x v="1"/>
    <x v="0"/>
    <s v="Brenn Dundredge"/>
  </r>
  <r>
    <s v="HEL-86709-449"/>
    <x v="667"/>
    <s v="86579-92122-OC"/>
    <s v="E-D-2.5"/>
    <n v="1"/>
    <x v="857"/>
    <e v="#N/A"/>
    <x v="1"/>
    <s v="Exc"/>
    <s v="D"/>
    <x v="2"/>
    <n v="27.945"/>
    <n v="27.945"/>
    <x v="1"/>
    <x v="2"/>
    <x v="0"/>
    <s v="Brenn Dundredge"/>
  </r>
  <r>
    <s v="NCH-55389-562"/>
    <x v="110"/>
    <s v="86579-92122-OC"/>
    <s v="E-L-2.5"/>
    <n v="5"/>
    <x v="857"/>
    <e v="#N/A"/>
    <x v="1"/>
    <s v="Exc"/>
    <s v="L"/>
    <x v="2"/>
    <n v="34.154999999999994"/>
    <n v="170.77499999999998"/>
    <x v="1"/>
    <x v="1"/>
    <x v="0"/>
    <s v="Brenn Dundredge"/>
  </r>
  <r>
    <s v="NCH-55389-562"/>
    <x v="110"/>
    <s v="86579-92122-OC"/>
    <s v="R-L-2.5"/>
    <n v="2"/>
    <x v="857"/>
    <e v="#N/A"/>
    <x v="1"/>
    <s v="Rob"/>
    <s v="L"/>
    <x v="2"/>
    <n v="27.484999999999996"/>
    <n v="54.969999999999992"/>
    <x v="0"/>
    <x v="1"/>
    <x v="0"/>
    <s v="Brenn Dundredge"/>
  </r>
  <r>
    <s v="NCH-55389-562"/>
    <x v="110"/>
    <s v="86579-92122-OC"/>
    <s v="E-L-1"/>
    <n v="1"/>
    <x v="857"/>
    <e v="#N/A"/>
    <x v="1"/>
    <s v="Exc"/>
    <s v="L"/>
    <x v="0"/>
    <n v="14.85"/>
    <n v="14.85"/>
    <x v="1"/>
    <x v="1"/>
    <x v="0"/>
    <s v="Brenn Dundredge"/>
  </r>
  <r>
    <s v="NCH-55389-562"/>
    <x v="110"/>
    <s v="86579-92122-OC"/>
    <s v="A-L-0.2"/>
    <n v="2"/>
    <x v="857"/>
    <e v="#N/A"/>
    <x v="1"/>
    <s v="Ara"/>
    <s v="L"/>
    <x v="3"/>
    <n v="3.8849999999999998"/>
    <n v="7.77"/>
    <x v="2"/>
    <x v="1"/>
    <x v="0"/>
    <s v="Rhodie Strathern"/>
  </r>
  <r>
    <s v="GUG-45603-775"/>
    <x v="668"/>
    <s v="40959-32642-DN"/>
    <s v="L-L-0.2"/>
    <n v="5"/>
    <x v="876"/>
    <s v="rstrathernqn@devhub.com"/>
    <x v="0"/>
    <s v="Lib"/>
    <s v="L"/>
    <x v="3"/>
    <n v="4.7549999999999999"/>
    <n v="23.774999999999999"/>
    <x v="3"/>
    <x v="1"/>
    <x v="0"/>
    <s v="Chad Miguel"/>
  </r>
  <r>
    <s v="KJB-98240-098"/>
    <x v="422"/>
    <s v="77746-08153-PM"/>
    <s v="L-L-1"/>
    <n v="5"/>
    <x v="877"/>
    <s v="cmiguelqo@exblog.jp"/>
    <x v="0"/>
    <s v="Lib"/>
    <s v="L"/>
    <x v="0"/>
    <n v="15.85"/>
    <n v="79.25"/>
    <x v="3"/>
    <x v="1"/>
    <x v="0"/>
    <s v="Florinda Matusovsky"/>
  </r>
  <r>
    <s v="JMS-48374-462"/>
    <x v="669"/>
    <s v="49667-96708-JL"/>
    <s v="A-D-2.5"/>
    <n v="2"/>
    <x v="878"/>
    <s v=""/>
    <x v="0"/>
    <s v="Ara"/>
    <s v="D"/>
    <x v="2"/>
    <n v="22.884999999999998"/>
    <n v="45.769999999999996"/>
    <x v="2"/>
    <x v="2"/>
    <x v="0"/>
    <s v="Morly Rocks"/>
  </r>
  <r>
    <s v="YIT-15877-117"/>
    <x v="670"/>
    <s v="24155-79322-EQ"/>
    <s v="R-D-1"/>
    <n v="1"/>
    <x v="879"/>
    <s v="mrocksqq@exblog.jp"/>
    <x v="1"/>
    <s v="Rob"/>
    <s v="D"/>
    <x v="0"/>
    <n v="8.9499999999999993"/>
    <n v="8.9499999999999993"/>
    <x v="0"/>
    <x v="2"/>
    <x v="0"/>
    <s v="Yuri Burrells"/>
  </r>
  <r>
    <s v="YVK-82679-655"/>
    <x v="341"/>
    <s v="95342-88311-SF"/>
    <s v="R-M-0.5"/>
    <n v="4"/>
    <x v="880"/>
    <s v="yburrellsqr@vinaora.com"/>
    <x v="0"/>
    <s v="Rob"/>
    <s v="M"/>
    <x v="1"/>
    <n v="5.97"/>
    <n v="23.88"/>
    <x v="0"/>
    <x v="0"/>
    <x v="0"/>
    <s v="Cleopatra Goodrum"/>
  </r>
  <r>
    <s v="TYH-81940-054"/>
    <x v="671"/>
    <s v="69374-08133-RI"/>
    <s v="E-L-0.2"/>
    <n v="5"/>
    <x v="881"/>
    <s v="cgoodrumqs@goodreads.com"/>
    <x v="0"/>
    <s v="Exc"/>
    <s v="L"/>
    <x v="3"/>
    <n v="4.4550000000000001"/>
    <n v="22.274999999999999"/>
    <x v="1"/>
    <x v="1"/>
    <x v="1"/>
    <s v="Joey Jefferys"/>
  </r>
  <r>
    <s v="HTY-30660-254"/>
    <x v="672"/>
    <s v="83844-95908-RX"/>
    <s v="R-M-1"/>
    <n v="3"/>
    <x v="882"/>
    <s v="jjefferysqt@blog.com"/>
    <x v="0"/>
    <s v="Rob"/>
    <s v="M"/>
    <x v="0"/>
    <n v="9.9499999999999993"/>
    <n v="29.849999999999998"/>
    <x v="0"/>
    <x v="0"/>
    <x v="0"/>
    <s v="Bearnard Wardell"/>
  </r>
  <r>
    <s v="GPW-43956-761"/>
    <x v="673"/>
    <s v="09667-09231-YM"/>
    <s v="E-L-0.5"/>
    <n v="6"/>
    <x v="883"/>
    <s v="bwardellqu@adobe.com"/>
    <x v="0"/>
    <s v="Exc"/>
    <s v="L"/>
    <x v="1"/>
    <n v="8.91"/>
    <n v="53.46"/>
    <x v="1"/>
    <x v="1"/>
    <x v="0"/>
    <s v="Zeke Walisiak"/>
  </r>
  <r>
    <s v="DWY-56352-412"/>
    <x v="674"/>
    <s v="55427-08059-DF"/>
    <s v="R-D-0.2"/>
    <n v="1"/>
    <x v="884"/>
    <s v="zwalisiakqv@ucsd.edu"/>
    <x v="1"/>
    <s v="Rob"/>
    <s v="D"/>
    <x v="3"/>
    <n v="2.6849999999999996"/>
    <n v="2.6849999999999996"/>
    <x v="0"/>
    <x v="2"/>
    <x v="0"/>
    <s v="Wiley Leopold"/>
  </r>
  <r>
    <s v="PUH-55647-976"/>
    <x v="675"/>
    <s v="06624-54037-BQ"/>
    <s v="R-M-0.2"/>
    <n v="2"/>
    <x v="885"/>
    <s v="wleopoldqw@blogspot.com"/>
    <x v="0"/>
    <s v="Rob"/>
    <s v="M"/>
    <x v="3"/>
    <n v="2.9849999999999999"/>
    <n v="5.97"/>
    <x v="0"/>
    <x v="0"/>
    <x v="1"/>
    <s v="Chiarra Shalders"/>
  </r>
  <r>
    <s v="DTB-71371-705"/>
    <x v="539"/>
    <s v="48544-90737-AZ"/>
    <s v="L-D-1"/>
    <n v="1"/>
    <x v="886"/>
    <s v="cshaldersqx@cisco.com"/>
    <x v="0"/>
    <s v="Lib"/>
    <s v="D"/>
    <x v="0"/>
    <n v="12.95"/>
    <n v="12.95"/>
    <x v="3"/>
    <x v="2"/>
    <x v="0"/>
    <s v="Sharl Southerill"/>
  </r>
  <r>
    <s v="ZDC-64769-740"/>
    <x v="676"/>
    <s v="79463-01597-FQ"/>
    <s v="E-M-0.5"/>
    <n v="1"/>
    <x v="887"/>
    <s v=""/>
    <x v="0"/>
    <s v="Exc"/>
    <s v="M"/>
    <x v="1"/>
    <n v="8.25"/>
    <n v="8.25"/>
    <x v="1"/>
    <x v="0"/>
    <x v="1"/>
    <s v="Noni Furber"/>
  </r>
  <r>
    <s v="TED-81959-419"/>
    <x v="677"/>
    <s v="27702-50024-XC"/>
    <s v="A-L-2.5"/>
    <n v="5"/>
    <x v="888"/>
    <s v="nfurberqz@jugem.jp"/>
    <x v="0"/>
    <s v="Ara"/>
    <s v="L"/>
    <x v="2"/>
    <n v="29.784999999999997"/>
    <n v="148.92499999999998"/>
    <x v="2"/>
    <x v="1"/>
    <x v="1"/>
    <s v="Dinah Crutcher"/>
  </r>
  <r>
    <s v="FDO-25756-141"/>
    <x v="629"/>
    <s v="57360-46846-NS"/>
    <s v="A-L-2.5"/>
    <n v="3"/>
    <x v="889"/>
    <s v=""/>
    <x v="1"/>
    <s v="Ara"/>
    <s v="L"/>
    <x v="2"/>
    <n v="29.784999999999997"/>
    <n v="89.35499999999999"/>
    <x v="2"/>
    <x v="1"/>
    <x v="0"/>
    <s v="Charlean Keave"/>
  </r>
  <r>
    <s v="HKN-31467-517"/>
    <x v="662"/>
    <s v="84045-66771-SL"/>
    <s v="L-M-1"/>
    <n v="6"/>
    <x v="890"/>
    <s v="ckeaver1@ucoz.com"/>
    <x v="0"/>
    <s v="Lib"/>
    <s v="M"/>
    <x v="0"/>
    <n v="14.55"/>
    <n v="87.300000000000011"/>
    <x v="3"/>
    <x v="0"/>
    <x v="1"/>
    <s v="Sada Roseborough"/>
  </r>
  <r>
    <s v="POF-29666-012"/>
    <x v="102"/>
    <s v="46885-00260-TL"/>
    <s v="R-D-0.5"/>
    <n v="1"/>
    <x v="891"/>
    <s v="sroseboroughr2@virginia.edu"/>
    <x v="0"/>
    <s v="Rob"/>
    <s v="D"/>
    <x v="1"/>
    <n v="5.3699999999999992"/>
    <n v="5.3699999999999992"/>
    <x v="0"/>
    <x v="2"/>
    <x v="0"/>
    <s v="Clayton Kingwell"/>
  </r>
  <r>
    <s v="IRX-59256-644"/>
    <x v="678"/>
    <s v="96446-62142-EN"/>
    <s v="A-D-0.2"/>
    <n v="3"/>
    <x v="892"/>
    <s v="ckingwellr3@squarespace.com"/>
    <x v="1"/>
    <s v="Ara"/>
    <s v="D"/>
    <x v="3"/>
    <n v="2.9849999999999999"/>
    <n v="8.9550000000000001"/>
    <x v="2"/>
    <x v="2"/>
    <x v="0"/>
    <s v="Kacy Canto"/>
  </r>
  <r>
    <s v="LTN-89139-350"/>
    <x v="679"/>
    <s v="07756-71018-GU"/>
    <s v="R-L-2.5"/>
    <n v="5"/>
    <x v="893"/>
    <s v="kcantor4@gmpg.org"/>
    <x v="0"/>
    <s v="Rob"/>
    <s v="L"/>
    <x v="2"/>
    <n v="27.484999999999996"/>
    <n v="137.42499999999998"/>
    <x v="0"/>
    <x v="1"/>
    <x v="0"/>
    <s v="Mab Blakemore"/>
  </r>
  <r>
    <s v="TXF-79780-017"/>
    <x v="112"/>
    <s v="92048-47813-QB"/>
    <s v="R-L-1"/>
    <n v="5"/>
    <x v="894"/>
    <s v="mblakemorer5@nsw.gov.au"/>
    <x v="0"/>
    <s v="Rob"/>
    <s v="L"/>
    <x v="0"/>
    <n v="11.95"/>
    <n v="59.75"/>
    <x v="0"/>
    <x v="1"/>
    <x v="1"/>
    <s v="Charlean Keave"/>
  </r>
  <r>
    <s v="ALM-80762-974"/>
    <x v="55"/>
    <s v="84045-66771-SL"/>
    <s v="A-L-0.5"/>
    <n v="3"/>
    <x v="890"/>
    <e v="#N/A"/>
    <x v="1"/>
    <s v="Ara"/>
    <s v="L"/>
    <x v="1"/>
    <n v="7.77"/>
    <n v="23.31"/>
    <x v="2"/>
    <x v="1"/>
    <x v="1"/>
    <s v="Javier Causnett"/>
  </r>
  <r>
    <s v="NXF-15738-707"/>
    <x v="680"/>
    <s v="28699-16256-XV"/>
    <s v="R-D-0.5"/>
    <n v="2"/>
    <x v="895"/>
    <s v=""/>
    <x v="0"/>
    <s v="Rob"/>
    <s v="D"/>
    <x v="1"/>
    <n v="5.3699999999999992"/>
    <n v="10.739999999999998"/>
    <x v="0"/>
    <x v="2"/>
    <x v="1"/>
    <s v="Demetris Micheli"/>
  </r>
  <r>
    <s v="MVV-19034-198"/>
    <x v="94"/>
    <s v="98476-63654-CG"/>
    <s v="E-D-2.5"/>
    <n v="6"/>
    <x v="896"/>
    <s v=""/>
    <x v="0"/>
    <s v="Exc"/>
    <s v="D"/>
    <x v="2"/>
    <n v="27.945"/>
    <n v="167.67000000000002"/>
    <x v="1"/>
    <x v="2"/>
    <x v="0"/>
    <s v="Chloette Bernardot"/>
  </r>
  <r>
    <s v="KUX-19632-830"/>
    <x v="160"/>
    <s v="55409-07759-YG"/>
    <s v="E-D-0.2"/>
    <n v="6"/>
    <x v="897"/>
    <s v="cbernardotr9@wix.com"/>
    <x v="0"/>
    <s v="Exc"/>
    <s v="D"/>
    <x v="3"/>
    <n v="3.645"/>
    <n v="21.87"/>
    <x v="1"/>
    <x v="2"/>
    <x v="0"/>
    <s v="Kim Kemery"/>
  </r>
  <r>
    <s v="SNZ-44595-152"/>
    <x v="681"/>
    <s v="06136-65250-PG"/>
    <s v="R-L-1"/>
    <n v="2"/>
    <x v="898"/>
    <s v="kkemeryra@t.co"/>
    <x v="0"/>
    <s v="Rob"/>
    <s v="L"/>
    <x v="0"/>
    <n v="11.95"/>
    <n v="23.9"/>
    <x v="0"/>
    <x v="1"/>
    <x v="0"/>
    <s v="Fanchette Parlot"/>
  </r>
  <r>
    <s v="GQA-37241-629"/>
    <x v="502"/>
    <s v="08405-33165-BS"/>
    <s v="A-M-0.2"/>
    <n v="2"/>
    <x v="899"/>
    <s v="fparlotrb@forbes.com"/>
    <x v="0"/>
    <s v="Ara"/>
    <s v="M"/>
    <x v="3"/>
    <n v="3.375"/>
    <n v="6.75"/>
    <x v="2"/>
    <x v="0"/>
    <x v="0"/>
    <s v="Ramon Cheak"/>
  </r>
  <r>
    <s v="WVV-79948-067"/>
    <x v="682"/>
    <s v="66070-30559-WI"/>
    <s v="E-M-2.5"/>
    <n v="1"/>
    <x v="900"/>
    <s v="rcheakrc@tripadvisor.com"/>
    <x v="1"/>
    <s v="Exc"/>
    <s v="M"/>
    <x v="2"/>
    <n v="31.624999999999996"/>
    <n v="31.624999999999996"/>
    <x v="1"/>
    <x v="0"/>
    <x v="0"/>
    <s v="Koressa O'Geneay"/>
  </r>
  <r>
    <s v="LHX-81117-166"/>
    <x v="683"/>
    <s v="01282-28364-RZ"/>
    <s v="R-L-1"/>
    <n v="4"/>
    <x v="901"/>
    <s v="kogeneayrd@utexas.edu"/>
    <x v="0"/>
    <s v="Rob"/>
    <s v="L"/>
    <x v="0"/>
    <n v="11.95"/>
    <n v="47.8"/>
    <x v="0"/>
    <x v="1"/>
    <x v="1"/>
    <s v="Claudell Ayre"/>
  </r>
  <r>
    <s v="GCD-75444-320"/>
    <x v="594"/>
    <s v="51277-93873-RP"/>
    <s v="L-M-2.5"/>
    <n v="1"/>
    <x v="902"/>
    <s v="cayrere@symantec.com"/>
    <x v="0"/>
    <s v="Lib"/>
    <s v="M"/>
    <x v="2"/>
    <n v="33.464999999999996"/>
    <n v="33.464999999999996"/>
    <x v="3"/>
    <x v="0"/>
    <x v="1"/>
    <s v="Lorianne Kyneton"/>
  </r>
  <r>
    <s v="SGA-30059-217"/>
    <x v="389"/>
    <s v="84405-83364-DG"/>
    <s v="A-D-0.5"/>
    <n v="5"/>
    <x v="903"/>
    <s v="lkynetonrf@macromedia.com"/>
    <x v="2"/>
    <s v="Ara"/>
    <s v="D"/>
    <x v="1"/>
    <n v="5.97"/>
    <n v="29.849999999999998"/>
    <x v="2"/>
    <x v="2"/>
    <x v="0"/>
    <s v="Adele McFayden"/>
  </r>
  <r>
    <s v="GNL-98714-885"/>
    <x v="583"/>
    <s v="83731-53280-YC"/>
    <s v="R-M-1"/>
    <n v="3"/>
    <x v="904"/>
    <s v=""/>
    <x v="2"/>
    <s v="Rob"/>
    <s v="M"/>
    <x v="0"/>
    <n v="9.9499999999999993"/>
    <n v="29.849999999999998"/>
    <x v="0"/>
    <x v="0"/>
    <x v="0"/>
    <s v="Herta Layne"/>
  </r>
  <r>
    <s v="OQA-93249-841"/>
    <x v="647"/>
    <s v="03917-13632-KC"/>
    <s v="A-M-2.5"/>
    <n v="6"/>
    <x v="905"/>
    <s v=""/>
    <x v="0"/>
    <s v="Ara"/>
    <s v="M"/>
    <x v="2"/>
    <n v="25.874999999999996"/>
    <n v="155.24999999999997"/>
    <x v="2"/>
    <x v="0"/>
    <x v="0"/>
    <s v="Marguerite Graves"/>
  </r>
  <r>
    <s v="DUV-12075-132"/>
    <x v="366"/>
    <s v="62494-09113-RP"/>
    <s v="E-D-0.2"/>
    <n v="5"/>
    <x v="906"/>
    <s v=""/>
    <x v="0"/>
    <s v="Exc"/>
    <s v="D"/>
    <x v="3"/>
    <n v="3.645"/>
    <n v="18.225000000000001"/>
    <x v="1"/>
    <x v="2"/>
    <x v="1"/>
    <s v="Marguerite Graves"/>
  </r>
  <r>
    <s v="DUV-12075-132"/>
    <x v="366"/>
    <s v="62494-09113-RP"/>
    <s v="L-D-0.5"/>
    <n v="2"/>
    <x v="906"/>
    <s v=""/>
    <x v="0"/>
    <s v="Lib"/>
    <s v="D"/>
    <x v="1"/>
    <n v="7.77"/>
    <n v="15.54"/>
    <x v="3"/>
    <x v="2"/>
    <x v="1"/>
    <s v="Desdemona Eye"/>
  </r>
  <r>
    <s v="KPO-24942-184"/>
    <x v="684"/>
    <s v="70567-65133-CN"/>
    <s v="L-L-2.5"/>
    <n v="3"/>
    <x v="907"/>
    <s v=""/>
    <x v="1"/>
    <s v="Lib"/>
    <s v="L"/>
    <x v="2"/>
    <n v="36.454999999999998"/>
    <n v="109.36499999999999"/>
    <x v="3"/>
    <x v="1"/>
    <x v="1"/>
    <s v="Margarette Sterland"/>
  </r>
  <r>
    <s v="SRJ-79353-838"/>
    <x v="506"/>
    <s v="77869-81373-AY"/>
    <s v="A-L-1"/>
    <n v="6"/>
    <x v="908"/>
    <s v=""/>
    <x v="0"/>
    <s v="Ara"/>
    <s v="L"/>
    <x v="0"/>
    <n v="12.95"/>
    <n v="77.699999999999989"/>
    <x v="2"/>
    <x v="1"/>
    <x v="1"/>
    <s v="Catharine Scoines"/>
  </r>
  <r>
    <s v="XBV-40336-071"/>
    <x v="685"/>
    <s v="38536-98293-JZ"/>
    <s v="A-D-0.2"/>
    <n v="3"/>
    <x v="909"/>
    <s v=""/>
    <x v="1"/>
    <s v="Ara"/>
    <s v="D"/>
    <x v="3"/>
    <n v="2.9849999999999999"/>
    <n v="8.9550000000000001"/>
    <x v="2"/>
    <x v="2"/>
    <x v="1"/>
    <s v="Jennica Tewelson"/>
  </r>
  <r>
    <s v="RLM-96511-467"/>
    <x v="191"/>
    <s v="43014-53743-XK"/>
    <s v="R-L-2.5"/>
    <n v="1"/>
    <x v="910"/>
    <s v="jtewelsonrn@samsung.com"/>
    <x v="0"/>
    <s v="Rob"/>
    <s v="L"/>
    <x v="2"/>
    <n v="27.484999999999996"/>
    <n v="27.484999999999996"/>
    <x v="0"/>
    <x v="1"/>
    <x v="1"/>
    <s v="Marguerite Graves"/>
  </r>
  <r>
    <s v="AEZ-13242-456"/>
    <x v="686"/>
    <s v="62494-09113-RP"/>
    <s v="R-M-0.5"/>
    <n v="5"/>
    <x v="906"/>
    <s v=""/>
    <x v="0"/>
    <s v="Rob"/>
    <s v="M"/>
    <x v="1"/>
    <n v="5.97"/>
    <n v="29.849999999999998"/>
    <x v="0"/>
    <x v="0"/>
    <x v="1"/>
    <s v="Marguerite Graves"/>
  </r>
  <r>
    <s v="UME-75640-698"/>
    <x v="687"/>
    <s v="62494-09113-RP"/>
    <s v="A-M-0.5"/>
    <n v="4"/>
    <x v="906"/>
    <s v=""/>
    <x v="0"/>
    <s v="Ara"/>
    <s v="M"/>
    <x v="1"/>
    <n v="6.75"/>
    <n v="27"/>
    <x v="2"/>
    <x v="0"/>
    <x v="1"/>
    <s v="Nicolina Jenny"/>
  </r>
  <r>
    <s v="GJC-66474-557"/>
    <x v="629"/>
    <s v="64965-78386-MY"/>
    <s v="A-D-1"/>
    <n v="1"/>
    <x v="911"/>
    <s v="njennyrq@bigcartel.com"/>
    <x v="0"/>
    <s v="Ara"/>
    <s v="D"/>
    <x v="0"/>
    <n v="9.9499999999999993"/>
    <n v="9.9499999999999993"/>
    <x v="2"/>
    <x v="2"/>
    <x v="1"/>
    <s v="Vidovic Antonelli"/>
  </r>
  <r>
    <s v="IRV-20769-219"/>
    <x v="688"/>
    <s v="77131-58092-GE"/>
    <s v="E-M-0.2"/>
    <n v="3"/>
    <x v="912"/>
    <s v=""/>
    <x v="2"/>
    <s v="Exc"/>
    <s v="M"/>
    <x v="3"/>
    <n v="4.125"/>
    <n v="12.375"/>
    <x v="1"/>
    <x v="0"/>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BFDE7B-B1E4-4B4A-9E12-ECB87B531C76}" name="Total Sales" cacheId="212" applyNumberFormats="0" applyBorderFormats="0" applyFontFormats="0" applyPatternFormats="0" applyAlignmentFormats="0" applyWidthHeightFormats="1" dataCaption="Values" updatedVersion="7" minRefreshableVersion="5" useAutoFormatting="1" itemPrintTitles="1" createdVersion="7" indent="0" compact="0" compactData="0" multipleFieldFilters="0" chartFormat="33">
  <location ref="A3:G49" firstHeaderRow="1" firstDataRow="2" firstDataCol="2"/>
  <pivotFields count="18">
    <pivotField compact="0" outline="0" showAll="0" defaultSubtotal="0"/>
    <pivotField axis="axisRow" compact="0" numFmtId="166"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7" outline="0" showAll="0" defaultSubtotal="0">
      <items count="4">
        <item x="3"/>
        <item x="1"/>
        <item h="1" x="0"/>
        <item x="2"/>
      </items>
    </pivotField>
    <pivotField compact="0" numFmtId="168" outline="0" showAll="0" defaultSubtotal="0"/>
    <pivotField dataField="1" compact="0" numFmtId="168"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3">
        <item x="1"/>
        <item x="0"/>
        <item m="1" x="2"/>
      </items>
    </pivotField>
    <pivotField compact="0" outline="0" subtotalTop="0" showAll="0" defaultSubtotal="0"/>
    <pivotField axis="axisRow" compact="0" outline="0" showAll="0" defaultSubtotal="0">
      <items count="6">
        <item x="0"/>
        <item x="1"/>
        <item x="2"/>
        <item x="3"/>
        <item x="4"/>
        <item x="5"/>
      </items>
    </pivotField>
  </pivotFields>
  <rowFields count="2">
    <field x="17"/>
    <field x="1"/>
  </rowFields>
  <rowItems count="45">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i t="grand">
      <x/>
    </i>
  </rowItems>
  <colFields count="1">
    <field x="13"/>
  </colFields>
  <colItems count="5">
    <i>
      <x/>
    </i>
    <i>
      <x v="1"/>
    </i>
    <i>
      <x v="2"/>
    </i>
    <i>
      <x v="3"/>
    </i>
    <i t="grand">
      <x/>
    </i>
  </colItems>
  <dataFields count="1">
    <dataField name="Sum of Sales" fld="12" baseField="1" baseItem="5" numFmtId="3"/>
  </dataFields>
  <chartFormats count="8">
    <chartFormat chart="26" format="5" series="1">
      <pivotArea type="data" outline="0" fieldPosition="0">
        <references count="2">
          <reference field="4294967294" count="1" selected="0">
            <x v="0"/>
          </reference>
          <reference field="13" count="1" selected="0">
            <x v="0"/>
          </reference>
        </references>
      </pivotArea>
    </chartFormat>
    <chartFormat chart="26" format="6" series="1">
      <pivotArea type="data" outline="0" fieldPosition="0">
        <references count="2">
          <reference field="4294967294" count="1" selected="0">
            <x v="0"/>
          </reference>
          <reference field="13" count="1" selected="0">
            <x v="1"/>
          </reference>
        </references>
      </pivotArea>
    </chartFormat>
    <chartFormat chart="26" format="7" series="1">
      <pivotArea type="data" outline="0" fieldPosition="0">
        <references count="2">
          <reference field="4294967294" count="1" selected="0">
            <x v="0"/>
          </reference>
          <reference field="13" count="1" selected="0">
            <x v="2"/>
          </reference>
        </references>
      </pivotArea>
    </chartFormat>
    <chartFormat chart="26" format="8" series="1">
      <pivotArea type="data" outline="0" fieldPosition="0">
        <references count="2">
          <reference field="4294967294" count="1" selected="0">
            <x v="0"/>
          </reference>
          <reference field="13" count="1" selected="0">
            <x v="3"/>
          </reference>
        </references>
      </pivotArea>
    </chartFormat>
    <chartFormat chart="31" format="14" series="1">
      <pivotArea type="data" outline="0" fieldPosition="0">
        <references count="2">
          <reference field="4294967294" count="1" selected="0">
            <x v="0"/>
          </reference>
          <reference field="13" count="1" selected="0">
            <x v="0"/>
          </reference>
        </references>
      </pivotArea>
    </chartFormat>
    <chartFormat chart="31" format="15" series="1">
      <pivotArea type="data" outline="0" fieldPosition="0">
        <references count="2">
          <reference field="4294967294" count="1" selected="0">
            <x v="0"/>
          </reference>
          <reference field="13" count="1" selected="0">
            <x v="1"/>
          </reference>
        </references>
      </pivotArea>
    </chartFormat>
    <chartFormat chart="31" format="16" series="1">
      <pivotArea type="data" outline="0" fieldPosition="0">
        <references count="2">
          <reference field="4294967294" count="1" selected="0">
            <x v="0"/>
          </reference>
          <reference field="13" count="1" selected="0">
            <x v="2"/>
          </reference>
        </references>
      </pivotArea>
    </chartFormat>
    <chartFormat chart="31" format="17"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971C47-7D2F-447A-B17E-44238B51076E}" name="Total Sales" cacheId="212" applyNumberFormats="0" applyBorderFormats="0" applyFontFormats="0" applyPatternFormats="0" applyAlignmentFormats="0" applyWidthHeightFormats="1" dataCaption="Values" updatedVersion="7" minRefreshableVersion="5" useAutoFormatting="1" itemPrintTitles="1" createdVersion="7" indent="0" compact="0" compactData="0" multipleFieldFilters="0" chartFormat="30">
  <location ref="A3:B7" firstHeaderRow="1" firstDataRow="1" firstDataCol="1"/>
  <pivotFields count="18">
    <pivotField compact="0" outline="0" showAll="0" defaultSubtotal="0"/>
    <pivotField compact="0" numFmtId="166"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4">
        <item m="1" x="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h="1" x="0"/>
        <item x="2"/>
      </items>
    </pivotField>
    <pivotField compact="0" numFmtId="168" outline="0" showAll="0" defaultSubtotal="0"/>
    <pivotField dataField="1" compact="0" numFmtId="168" outline="0" showAll="0" defaultSubtotal="0"/>
    <pivotField compact="0" outline="0" showAll="0" defaultSubtotal="0"/>
    <pivotField compact="0" outline="0" showAll="0" defaultSubtotal="0">
      <items count="3">
        <item x="2"/>
        <item x="1"/>
        <item x="0"/>
      </items>
    </pivotField>
    <pivotField compact="0" outline="0" subtotalTop="0" showAll="0" defaultSubtotal="0">
      <items count="3">
        <item x="1"/>
        <item x="0"/>
        <item m="1" x="2"/>
      </items>
    </pivotField>
    <pivotField compact="0" outline="0" subtotalTop="0" showAll="0" defaultSubtotal="0"/>
    <pivotField compact="0" outline="0" showAll="0" defaultSubtotal="0">
      <items count="6">
        <item x="0"/>
        <item x="1"/>
        <item x="2"/>
        <item x="3"/>
        <item x="4"/>
        <item x="5"/>
      </items>
    </pivotField>
  </pivotFields>
  <rowFields count="1">
    <field x="7"/>
  </rowFields>
  <rowItems count="4">
    <i>
      <x v="2"/>
    </i>
    <i>
      <x v="1"/>
    </i>
    <i>
      <x v="3"/>
    </i>
    <i t="grand">
      <x/>
    </i>
  </rowItems>
  <colItems count="1">
    <i/>
  </colItems>
  <dataFields count="1">
    <dataField name="Sum of Sales" fld="12" baseField="7" baseItem="1" numFmtId="169"/>
  </dataFields>
  <chartFormats count="7">
    <chartFormat chart="10" format="4"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7" count="1" selected="0">
            <x v="2"/>
          </reference>
        </references>
      </pivotArea>
    </chartFormat>
    <chartFormat chart="19" format="8">
      <pivotArea type="data" outline="0" fieldPosition="0">
        <references count="2">
          <reference field="4294967294" count="1" selected="0">
            <x v="0"/>
          </reference>
          <reference field="7" count="1" selected="0">
            <x v="1"/>
          </reference>
        </references>
      </pivotArea>
    </chartFormat>
    <chartFormat chart="29" format="9" series="1">
      <pivotArea type="data" outline="0" fieldPosition="0">
        <references count="1">
          <reference field="4294967294" count="1" selected="0">
            <x v="0"/>
          </reference>
        </references>
      </pivotArea>
    </chartFormat>
    <chartFormat chart="29" format="10">
      <pivotArea type="data" outline="0" fieldPosition="0">
        <references count="2">
          <reference field="4294967294" count="1" selected="0">
            <x v="0"/>
          </reference>
          <reference field="7" count="1" selected="0">
            <x v="2"/>
          </reference>
        </references>
      </pivotArea>
    </chartFormat>
    <chartFormat chart="29" format="11">
      <pivotArea type="data" outline="0" fieldPosition="0">
        <references count="2">
          <reference field="4294967294" count="1" selected="0">
            <x v="0"/>
          </reference>
          <reference field="7"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5E6D44-0138-4489-B6C9-E43838E51026}" name="Total Sales" cacheId="212" applyNumberFormats="0" applyBorderFormats="0" applyFontFormats="0" applyPatternFormats="0" applyAlignmentFormats="0" applyWidthHeightFormats="1" dataCaption="Values" updatedVersion="7" minRefreshableVersion="5" useAutoFormatting="1" itemPrintTitles="1" createdVersion="7" indent="0" compact="0" compactData="0" multipleFieldFilters="0" chartFormat="29">
  <location ref="A3:B9" firstHeaderRow="1" firstDataRow="1" firstDataCol="1"/>
  <pivotFields count="18">
    <pivotField compact="0" outline="0" showAll="0" defaultSubtotal="0"/>
    <pivotField compact="0" numFmtId="166"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6">
        <item m="1" x="915"/>
        <item m="1" x="913"/>
        <item x="0"/>
        <item m="1" x="914"/>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126"/>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h="1" x="0"/>
        <item x="2"/>
      </items>
    </pivotField>
    <pivotField compact="0" numFmtId="168" outline="0" showAll="0" defaultSubtotal="0"/>
    <pivotField dataField="1" compact="0" numFmtId="168" outline="0" showAll="0" defaultSubtotal="0"/>
    <pivotField compact="0" outline="0" showAll="0" defaultSubtotal="0"/>
    <pivotField compact="0" outline="0" showAll="0" defaultSubtotal="0">
      <items count="3">
        <item x="2"/>
        <item x="1"/>
        <item x="0"/>
      </items>
    </pivotField>
    <pivotField compact="0" outline="0" subtotalTop="0" showAll="0" defaultSubtotal="0">
      <items count="3">
        <item x="1"/>
        <item x="0"/>
        <item m="1" x="2"/>
      </items>
    </pivotField>
    <pivotField compact="0" outline="0" subtotalTop="0" showAll="0" defaultSubtotal="0"/>
    <pivotField compact="0" outline="0" showAll="0" defaultSubtotal="0">
      <items count="6">
        <item x="0"/>
        <item x="1"/>
        <item x="2"/>
        <item x="3"/>
        <item x="4"/>
        <item x="5"/>
      </items>
    </pivotField>
  </pivotFields>
  <rowFields count="1">
    <field x="5"/>
  </rowFields>
  <rowItems count="6">
    <i>
      <x v="349"/>
    </i>
    <i>
      <x v="151"/>
    </i>
    <i>
      <x v="747"/>
    </i>
    <i>
      <x v="187"/>
    </i>
    <i>
      <x v="859"/>
    </i>
    <i t="grand">
      <x/>
    </i>
  </rowItems>
  <colItems count="1">
    <i/>
  </colItems>
  <dataFields count="1">
    <dataField name="Sum of Sales" fld="12" baseField="7" baseItem="1" numFmtId="169"/>
  </dataFields>
  <chartFormats count="5">
    <chartFormat chart="10" format="4"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7" format="21" series="1">
      <pivotArea type="data" outline="0" fieldPosition="0">
        <references count="1">
          <reference field="4294967294" count="1" selected="0">
            <x v="0"/>
          </reference>
        </references>
      </pivotArea>
    </chartFormat>
    <chartFormat chart="27" format="22">
      <pivotArea type="data" outline="0" fieldPosition="0">
        <references count="2">
          <reference field="4294967294" count="1" selected="0">
            <x v="0"/>
          </reference>
          <reference field="5" count="1" selected="0">
            <x v="522"/>
          </reference>
        </references>
      </pivotArea>
    </chartFormat>
    <chartFormat chart="27" format="23">
      <pivotArea type="data" outline="0" fieldPosition="0">
        <references count="2">
          <reference field="4294967294" count="1" selected="0">
            <x v="0"/>
          </reference>
          <reference field="5" count="1" selected="0">
            <x v="187"/>
          </reference>
        </references>
      </pivotArea>
    </chartFormat>
  </chartFormats>
  <pivotTableStyleInfo name="PivotStyleMedium9" showRowHeaders="1" showColHeaders="1" showRowStripes="0" showColStripes="0" showLastColumn="1"/>
  <filters count="1">
    <filter fld="5" type="count" evalOrder="-1" id="2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47EB3D95-C15A-4743-8A1B-5EB31809431B}" sourceName="Size">
  <pivotTables>
    <pivotTable tabId="18" name="Total Sales"/>
    <pivotTable tabId="20" name="Total Sales"/>
    <pivotTable tabId="22" name="Total Sales"/>
  </pivotTables>
  <data>
    <tabular pivotCacheId="1525731976">
      <items count="4">
        <i x="3" s="1"/>
        <i x="1" s="1"/>
        <i x="0"/>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8D8AA141-FD3E-4E2E-8498-D77BCD3BE13B}" sourceName="Loyalty Card">
  <pivotTables>
    <pivotTable tabId="18" name="Total Sales"/>
    <pivotTable tabId="20" name="Total Sales"/>
    <pivotTable tabId="22" name="Total Sales"/>
  </pivotTables>
  <data>
    <tabular pivotCacheId="1525731976">
      <items count="3">
        <i x="1" s="1"/>
        <i x="0"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be_Name" xr10:uid="{47134C2A-A81D-44D6-86A2-58A076214E92}" sourceName="Roast Tybe Name">
  <pivotTables>
    <pivotTable tabId="18" name="Total Sales"/>
    <pivotTable tabId="20" name="Total Sales"/>
    <pivotTable tabId="22" name="Total Sales"/>
  </pivotTables>
  <data>
    <tabular pivotCacheId="1525731976">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AC959968-B06C-4C40-8A16-50B597472BCB}" cache="Slicer_Size" caption="Size" columnCount="2" rowHeight="241300"/>
  <slicer name="Loyalty Card" xr10:uid="{AC21A5A8-40C9-4B53-B6F2-55B1E52353F2}" cache="Slicer_Loyalty_Card" caption="Loyalty Card" rowHeight="241300"/>
  <slicer name="Roast Tybe Name" xr10:uid="{62A7B5AD-9178-480D-AB2A-795BD21D7A55}" cache="Slicer_Roast_Tybe_Name" caption="Roast Tybe Name" columnCoun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86FE2D-4782-40A2-B56E-0161DF1787CC}" name="Orders" displayName="Orders" ref="A1:Q1001" totalsRowShown="0" headerRowDxfId="8">
  <autoFilter ref="A1:Q1001" xr:uid="{B086FE2D-4782-40A2-B56E-0161DF1787CC}"/>
  <tableColumns count="17">
    <tableColumn id="1" xr3:uid="{CFB4C0E7-D56D-4DE8-AC80-B04997D4F4FA}" name="Order ID" dataDxfId="16"/>
    <tableColumn id="2" xr3:uid="{AC971A8A-3E91-47DB-9E31-90B6F87BB6FD}" name="Order Date" dataDxfId="15"/>
    <tableColumn id="3" xr3:uid="{F3CC93C6-3AD3-46CA-8091-4939D5CD3C94}" name="Customer ID" dataDxfId="14"/>
    <tableColumn id="4" xr3:uid="{1AC9425A-05B4-45FE-83D0-B2B7C5FC5FA7}" name="Product ID"/>
    <tableColumn id="5" xr3:uid="{6BB872E9-24EB-4DF0-A932-74EF5B09287F}" name="Quantity" dataDxfId="13"/>
    <tableColumn id="6" xr3:uid="{7CA5F995-510E-4E89-A223-1452063D68DD}" name="Customer Name" dataDxfId="1">
      <calculatedColumnFormula>_xlfn.XLOOKUP(Orders[[#This Row],[Customer ID]],customers!A:A,customers!B:B)</calculatedColumnFormula>
    </tableColumn>
    <tableColumn id="7" xr3:uid="{6C7B721D-AB0A-44AC-AC19-9412667F366E}" name="Email" dataDxfId="12">
      <calculatedColumnFormula array="1">IF(_xlfn.XLOOKUP(C2,customers!A1:$A$1001,customers!C1:$C$1001,,0)=0,"",_xlfn.XLOOKUP(C2,customers!A1:$A$1001,customers!C1:$C$1001,,0))</calculatedColumnFormula>
    </tableColumn>
    <tableColumn id="8" xr3:uid="{17C2FC31-D94A-4A11-964D-92E462D3C3BB}" name="Country" dataDxfId="3">
      <calculatedColumnFormula array="1">_xlfn.XLOOKUP(C2,customers!A1:$A$1001,customers!G1:$G$1001,"Ireland",0)</calculatedColumnFormula>
    </tableColumn>
    <tableColumn id="9" xr3:uid="{AA1957BF-B5B7-4FA2-9AE1-83A54E8A7B4D}" name="Coffee Type">
      <calculatedColumnFormula>INDEX(products!$A$1:$G$49,MATCH(orders!$D2,products!$A$1:$A$49,0),MATCH(orders!I$1,products!$A$1:$G$1,0))</calculatedColumnFormula>
    </tableColumn>
    <tableColumn id="10" xr3:uid="{0EE89747-8E65-49FC-AF75-EC20E9CF4146}" name="Roast Type">
      <calculatedColumnFormula>INDEX(products!$A$1:$G$49,MATCH(orders!$D2,products!$A$1:$A$49,0),MATCH(orders!J$1,products!$A$1:$G$1,0))</calculatedColumnFormula>
    </tableColumn>
    <tableColumn id="11" xr3:uid="{5798844E-484B-4521-B8EE-5629B0FAD62A}" name="Size" dataDxfId="11">
      <calculatedColumnFormula>INDEX(products!$A$1:$G$49,MATCH(orders!$D2,products!$A$1:$A$49,0),MATCH(orders!K$1,products!$A$1:$G$1,0))</calculatedColumnFormula>
    </tableColumn>
    <tableColumn id="12" xr3:uid="{FBF3E197-3FD6-4642-89E0-1A0BC4AF5192}" name="Unit Price" dataDxfId="10">
      <calculatedColumnFormula>INDEX(products!$A$1:$G$49,MATCH(orders!$D2,products!$A$1:$A$49,0),MATCH(orders!L$1,products!$A$1:$G$1,0))</calculatedColumnFormula>
    </tableColumn>
    <tableColumn id="13" xr3:uid="{84F1C08F-1E9A-4758-8A2A-5672C2AF9BAD}" name="Sales" dataDxfId="9">
      <calculatedColumnFormula>L2*E2</calculatedColumnFormula>
    </tableColumn>
    <tableColumn id="14" xr3:uid="{A9CE7D2A-674C-4D79-9727-6CB909D3483E}" name="Coffee Type Name">
      <calculatedColumnFormula array="1">_xlfn.IFS(I2="Rob","Robusta",I2="Exc","Excelsa",I2="Ara","Arabica",I2="Lib","Liberica")</calculatedColumnFormula>
    </tableColumn>
    <tableColumn id="15" xr3:uid="{3C332301-9B10-43DB-85C4-56DEA4FD7696}" name="Roast Tybe Name">
      <calculatedColumnFormula array="1">_xlfn.IFS(J2="M","Midium",J2="L","Light",J2="D","Dark")</calculatedColumnFormula>
    </tableColumn>
    <tableColumn id="16" xr3:uid="{AFB3E197-4625-41E5-A6BA-E10123D52A75}" name="Loyalty Card" dataDxfId="0">
      <calculatedColumnFormula>_xlfn.XLOOKUP(Orders[[#This Row],[Customer ID]],customers!A:A,customers!I:I,,0)</calculatedColumnFormula>
    </tableColumn>
    <tableColumn id="17" xr3:uid="{F7431088-B891-4862-B3CD-5F10078968A0}" name="Column1" dataDxfId="2">
      <calculatedColumnFormula>_xlfn.XLOOKUP(C3,customers!A:A,customers!B:B,"مش موجود")</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4A0871E-99A7-40A5-885B-609DDAA87CF1}" sourceName="Order Date">
  <pivotTables>
    <pivotTable tabId="18" name="Total Sales"/>
    <pivotTable tabId="20" name="Total Sales"/>
    <pivotTable tabId="22" name="Total Sales"/>
  </pivotTables>
  <state minimalRefreshVersion="6" lastRefreshVersion="6" pivotCacheId="1525731976"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31AD0968-8152-41AF-95BB-5154022C3114}" cache="NativeTimeline_Order_Date" caption="Order Date" level="2" selectionLevel="2" scrollPosition="2020-09-28T00:00:00" style="Purple Time 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2883F-F508-4699-81D0-342435D1FF18}">
  <dimension ref="A1"/>
  <sheetViews>
    <sheetView showGridLines="0" tabSelected="1" zoomScale="80" zoomScaleNormal="80" workbookViewId="0">
      <selection activeCell="AB7" sqref="AB7"/>
    </sheetView>
  </sheetViews>
  <sheetFormatPr defaultRowHeight="15" x14ac:dyDescent="0.25"/>
  <cols>
    <col min="1" max="1" width="1.7109375" customWidth="1"/>
  </cols>
  <sheetData>
    <row r="1"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FE5AA-185D-4394-8733-46E5E2765615}">
  <dimension ref="A3:G49"/>
  <sheetViews>
    <sheetView zoomScale="70" zoomScaleNormal="70" workbookViewId="0">
      <selection activeCell="W12" sqref="W12"/>
    </sheetView>
  </sheetViews>
  <sheetFormatPr defaultRowHeight="15" x14ac:dyDescent="0.25"/>
  <cols>
    <col min="1" max="1" width="13.140625" bestFit="1" customWidth="1"/>
    <col min="2" max="2" width="14" bestFit="1" customWidth="1"/>
    <col min="3" max="6" width="20.140625" bestFit="1" customWidth="1"/>
    <col min="7" max="7" width="11.28515625" bestFit="1" customWidth="1"/>
  </cols>
  <sheetData>
    <row r="3" spans="1:7" x14ac:dyDescent="0.25">
      <c r="A3" s="6" t="s">
        <v>6220</v>
      </c>
      <c r="C3" s="6" t="s">
        <v>6196</v>
      </c>
    </row>
    <row r="4" spans="1:7" x14ac:dyDescent="0.25">
      <c r="A4" s="6" t="s">
        <v>6215</v>
      </c>
      <c r="B4" s="6" t="s">
        <v>1</v>
      </c>
      <c r="C4" t="s">
        <v>6216</v>
      </c>
      <c r="D4" t="s">
        <v>6217</v>
      </c>
      <c r="E4" t="s">
        <v>6218</v>
      </c>
      <c r="F4" t="s">
        <v>6219</v>
      </c>
      <c r="G4" t="s">
        <v>6198</v>
      </c>
    </row>
    <row r="5" spans="1:7" x14ac:dyDescent="0.25">
      <c r="A5" t="s">
        <v>6199</v>
      </c>
      <c r="B5" s="7" t="s">
        <v>6200</v>
      </c>
      <c r="C5" s="8">
        <v>109.155</v>
      </c>
      <c r="D5" s="8">
        <v>305.96999999999997</v>
      </c>
      <c r="E5" s="8">
        <v>66.259999999999991</v>
      </c>
      <c r="F5" s="8">
        <v>63.3</v>
      </c>
      <c r="G5" s="8">
        <v>544.68499999999995</v>
      </c>
    </row>
    <row r="6" spans="1:7" x14ac:dyDescent="0.25">
      <c r="B6" s="7" t="s">
        <v>6201</v>
      </c>
      <c r="C6" s="8">
        <v>189.66499999999999</v>
      </c>
      <c r="D6" s="8">
        <v>50.16</v>
      </c>
      <c r="E6" s="8">
        <v>330.44</v>
      </c>
      <c r="F6" s="8">
        <v>73.389999999999986</v>
      </c>
      <c r="G6" s="8">
        <v>643.65499999999997</v>
      </c>
    </row>
    <row r="7" spans="1:7" x14ac:dyDescent="0.25">
      <c r="B7" s="7" t="s">
        <v>6202</v>
      </c>
      <c r="C7" s="8">
        <v>157.44499999999999</v>
      </c>
      <c r="D7" s="8">
        <v>336.97</v>
      </c>
      <c r="E7" s="8">
        <v>247.58999999999997</v>
      </c>
      <c r="F7" s="8">
        <v>66.284999999999997</v>
      </c>
      <c r="G7" s="8">
        <v>808.29</v>
      </c>
    </row>
    <row r="8" spans="1:7" x14ac:dyDescent="0.25">
      <c r="B8" s="7" t="s">
        <v>6203</v>
      </c>
      <c r="C8" s="8">
        <v>242.36999999999998</v>
      </c>
      <c r="D8" s="8">
        <v>556.87499999999989</v>
      </c>
      <c r="E8" s="8">
        <v>455.755</v>
      </c>
      <c r="F8" s="8">
        <v>114.1</v>
      </c>
      <c r="G8" s="8">
        <v>1369.1</v>
      </c>
    </row>
    <row r="9" spans="1:7" x14ac:dyDescent="0.25">
      <c r="B9" s="7" t="s">
        <v>6204</v>
      </c>
      <c r="C9" s="8">
        <v>53.664999999999992</v>
      </c>
      <c r="D9" s="8">
        <v>83.025000000000006</v>
      </c>
      <c r="E9" s="8">
        <v>193.83499999999998</v>
      </c>
      <c r="F9" s="8">
        <v>68.039999999999992</v>
      </c>
      <c r="G9" s="8">
        <v>398.56499999999994</v>
      </c>
    </row>
    <row r="10" spans="1:7" x14ac:dyDescent="0.25">
      <c r="B10" s="7" t="s">
        <v>6205</v>
      </c>
      <c r="C10" s="8">
        <v>163.01999999999998</v>
      </c>
      <c r="D10" s="8">
        <v>678.3599999999999</v>
      </c>
      <c r="E10" s="8">
        <v>171.04499999999999</v>
      </c>
      <c r="F10" s="8">
        <v>318.55500000000001</v>
      </c>
      <c r="G10" s="8">
        <v>1330.9799999999998</v>
      </c>
    </row>
    <row r="11" spans="1:7" x14ac:dyDescent="0.25">
      <c r="B11" s="7" t="s">
        <v>6206</v>
      </c>
      <c r="C11" s="8">
        <v>345.02000000000004</v>
      </c>
      <c r="D11" s="8">
        <v>220.46999999999994</v>
      </c>
      <c r="E11" s="8">
        <v>76.08</v>
      </c>
      <c r="F11" s="8">
        <v>132.465</v>
      </c>
      <c r="G11" s="8">
        <v>774.03500000000008</v>
      </c>
    </row>
    <row r="12" spans="1:7" x14ac:dyDescent="0.25">
      <c r="B12" s="7" t="s">
        <v>6207</v>
      </c>
      <c r="C12" s="8">
        <v>270.14</v>
      </c>
      <c r="D12" s="8"/>
      <c r="E12" s="8">
        <v>31.08</v>
      </c>
      <c r="F12" s="8">
        <v>166.27499999999998</v>
      </c>
      <c r="G12" s="8">
        <v>467.49499999999995</v>
      </c>
    </row>
    <row r="13" spans="1:7" x14ac:dyDescent="0.25">
      <c r="B13" s="7" t="s">
        <v>6208</v>
      </c>
      <c r="C13" s="8">
        <v>178.70999999999998</v>
      </c>
      <c r="D13" s="8">
        <v>49.5</v>
      </c>
      <c r="E13" s="8">
        <v>347.10999999999996</v>
      </c>
      <c r="F13" s="8">
        <v>433.19999999999993</v>
      </c>
      <c r="G13" s="8">
        <v>1008.5199999999999</v>
      </c>
    </row>
    <row r="14" spans="1:7" x14ac:dyDescent="0.25">
      <c r="B14" s="7" t="s">
        <v>6209</v>
      </c>
      <c r="C14" s="8">
        <v>164.63499999999999</v>
      </c>
      <c r="D14" s="8">
        <v>153.76499999999999</v>
      </c>
      <c r="E14" s="8">
        <v>163.75499999999997</v>
      </c>
      <c r="F14" s="8">
        <v>30.464999999999996</v>
      </c>
      <c r="G14" s="8">
        <v>512.62</v>
      </c>
    </row>
    <row r="15" spans="1:7" x14ac:dyDescent="0.25">
      <c r="B15" s="7" t="s">
        <v>6210</v>
      </c>
      <c r="C15" s="8">
        <v>195.58499999999998</v>
      </c>
      <c r="D15" s="8">
        <v>63.249999999999993</v>
      </c>
      <c r="E15" s="8">
        <v>319.19499999999994</v>
      </c>
      <c r="F15" s="8">
        <v>36.704999999999998</v>
      </c>
      <c r="G15" s="8">
        <v>614.73500000000001</v>
      </c>
    </row>
    <row r="16" spans="1:7" x14ac:dyDescent="0.25">
      <c r="B16" s="7" t="s">
        <v>6211</v>
      </c>
      <c r="C16" s="8">
        <v>175.61999999999998</v>
      </c>
      <c r="D16" s="8">
        <v>452.26499999999987</v>
      </c>
      <c r="E16" s="8">
        <v>39.81</v>
      </c>
      <c r="F16" s="8">
        <v>162.78999999999996</v>
      </c>
      <c r="G16" s="8">
        <v>830.4849999999999</v>
      </c>
    </row>
    <row r="17" spans="1:7" x14ac:dyDescent="0.25">
      <c r="A17" t="s">
        <v>6212</v>
      </c>
      <c r="B17" s="7" t="s">
        <v>6200</v>
      </c>
      <c r="C17" s="8">
        <v>47.25</v>
      </c>
      <c r="D17" s="8">
        <v>65.805000000000007</v>
      </c>
      <c r="E17" s="8">
        <v>258.82499999999999</v>
      </c>
      <c r="F17" s="8">
        <v>59.72</v>
      </c>
      <c r="G17" s="8">
        <v>431.6</v>
      </c>
    </row>
    <row r="18" spans="1:7" x14ac:dyDescent="0.25">
      <c r="B18" s="7" t="s">
        <v>6201</v>
      </c>
      <c r="C18" s="8">
        <v>745.44999999999982</v>
      </c>
      <c r="D18" s="8">
        <v>328.23500000000001</v>
      </c>
      <c r="E18" s="8">
        <v>194.17499999999998</v>
      </c>
      <c r="F18" s="8">
        <v>429.82999999999993</v>
      </c>
      <c r="G18" s="8">
        <v>1697.6899999999998</v>
      </c>
    </row>
    <row r="19" spans="1:7" x14ac:dyDescent="0.25">
      <c r="B19" s="7" t="s">
        <v>6202</v>
      </c>
      <c r="C19" s="8">
        <v>130.47</v>
      </c>
      <c r="D19" s="8">
        <v>162.13499999999996</v>
      </c>
      <c r="E19" s="8">
        <v>217.80500000000001</v>
      </c>
      <c r="F19" s="8">
        <v>201.78</v>
      </c>
      <c r="G19" s="8">
        <v>712.18999999999994</v>
      </c>
    </row>
    <row r="20" spans="1:7" x14ac:dyDescent="0.25">
      <c r="B20" s="7" t="s">
        <v>6203</v>
      </c>
      <c r="C20" s="8">
        <v>27</v>
      </c>
      <c r="D20" s="8">
        <v>322.95999999999998</v>
      </c>
      <c r="E20" s="8">
        <v>103.85999999999999</v>
      </c>
      <c r="F20" s="8">
        <v>240.04</v>
      </c>
      <c r="G20" s="8">
        <v>693.8599999999999</v>
      </c>
    </row>
    <row r="21" spans="1:7" x14ac:dyDescent="0.25">
      <c r="B21" s="7" t="s">
        <v>6204</v>
      </c>
      <c r="C21" s="8">
        <v>163.51499999999999</v>
      </c>
      <c r="D21" s="8">
        <v>472.88</v>
      </c>
      <c r="E21" s="8">
        <v>83.43</v>
      </c>
      <c r="F21" s="8">
        <v>59.079999999999991</v>
      </c>
      <c r="G21" s="8">
        <v>778.90500000000009</v>
      </c>
    </row>
    <row r="22" spans="1:7" x14ac:dyDescent="0.25">
      <c r="B22" s="7" t="s">
        <v>6205</v>
      </c>
      <c r="C22" s="8">
        <v>507.08999999999992</v>
      </c>
      <c r="D22" s="8">
        <v>215.52999999999997</v>
      </c>
      <c r="E22" s="8">
        <v>277.64</v>
      </c>
      <c r="F22" s="8">
        <v>140.88</v>
      </c>
      <c r="G22" s="8">
        <v>1141.1399999999999</v>
      </c>
    </row>
    <row r="23" spans="1:7" x14ac:dyDescent="0.25">
      <c r="B23" s="7" t="s">
        <v>6206</v>
      </c>
      <c r="C23" s="8">
        <v>409.41999999999996</v>
      </c>
      <c r="D23" s="8">
        <v>31.624999999999996</v>
      </c>
      <c r="E23" s="8">
        <v>97.564999999999998</v>
      </c>
      <c r="F23" s="8">
        <v>307.03500000000003</v>
      </c>
      <c r="G23" s="8">
        <v>845.64499999999998</v>
      </c>
    </row>
    <row r="24" spans="1:7" x14ac:dyDescent="0.25">
      <c r="B24" s="7" t="s">
        <v>6207</v>
      </c>
      <c r="C24" s="8"/>
      <c r="D24" s="8">
        <v>50.22</v>
      </c>
      <c r="E24" s="8">
        <v>47.55</v>
      </c>
      <c r="F24" s="8">
        <v>94.929999999999978</v>
      </c>
      <c r="G24" s="8">
        <v>192.7</v>
      </c>
    </row>
    <row r="25" spans="1:7" x14ac:dyDescent="0.25">
      <c r="B25" s="7" t="s">
        <v>6208</v>
      </c>
      <c r="C25" s="8">
        <v>116.19999999999999</v>
      </c>
      <c r="D25" s="8">
        <v>53.46</v>
      </c>
      <c r="E25" s="8">
        <v>89.13</v>
      </c>
      <c r="F25" s="8">
        <v>254.85999999999996</v>
      </c>
      <c r="G25" s="8">
        <v>513.64999999999986</v>
      </c>
    </row>
    <row r="26" spans="1:7" x14ac:dyDescent="0.25">
      <c r="B26" s="7" t="s">
        <v>6209</v>
      </c>
      <c r="C26" s="8">
        <v>225.02999999999997</v>
      </c>
      <c r="D26" s="8">
        <v>326.33999999999997</v>
      </c>
      <c r="E26" s="8">
        <v>303.51499999999999</v>
      </c>
      <c r="F26" s="8">
        <v>174.46999999999997</v>
      </c>
      <c r="G26" s="8">
        <v>1029.3549999999998</v>
      </c>
    </row>
    <row r="27" spans="1:7" x14ac:dyDescent="0.25">
      <c r="B27" s="7" t="s">
        <v>6210</v>
      </c>
      <c r="C27" s="8">
        <v>515.17999999999995</v>
      </c>
      <c r="D27" s="8">
        <v>142.56</v>
      </c>
      <c r="E27" s="8">
        <v>267.78999999999996</v>
      </c>
      <c r="F27" s="8">
        <v>54.334999999999994</v>
      </c>
      <c r="G27" s="8">
        <v>979.86500000000001</v>
      </c>
    </row>
    <row r="28" spans="1:7" x14ac:dyDescent="0.25">
      <c r="B28" s="7" t="s">
        <v>6211</v>
      </c>
      <c r="C28" s="8">
        <v>69.959999999999994</v>
      </c>
      <c r="D28" s="8">
        <v>395.66</v>
      </c>
      <c r="E28" s="8">
        <v>46.62</v>
      </c>
      <c r="F28" s="8">
        <v>77.10499999999999</v>
      </c>
      <c r="G28" s="8">
        <v>589.34500000000003</v>
      </c>
    </row>
    <row r="29" spans="1:7" x14ac:dyDescent="0.25">
      <c r="A29" t="s">
        <v>6213</v>
      </c>
      <c r="B29" s="7" t="s">
        <v>6200</v>
      </c>
      <c r="C29" s="8">
        <v>179.59499999999997</v>
      </c>
      <c r="D29" s="8">
        <v>68.075000000000003</v>
      </c>
      <c r="E29" s="8">
        <v>231.96999999999997</v>
      </c>
      <c r="F29" s="8">
        <v>160.19499999999999</v>
      </c>
      <c r="G29" s="8">
        <v>639.83499999999992</v>
      </c>
    </row>
    <row r="30" spans="1:7" x14ac:dyDescent="0.25">
      <c r="B30" s="7" t="s">
        <v>6201</v>
      </c>
      <c r="C30" s="8">
        <v>342.2</v>
      </c>
      <c r="D30" s="8">
        <v>235.64999999999998</v>
      </c>
      <c r="E30" s="8">
        <v>251.83</v>
      </c>
      <c r="F30" s="8">
        <v>26.849999999999998</v>
      </c>
      <c r="G30" s="8">
        <v>856.53</v>
      </c>
    </row>
    <row r="31" spans="1:7" x14ac:dyDescent="0.25">
      <c r="B31" s="7" t="s">
        <v>6202</v>
      </c>
      <c r="C31" s="8">
        <v>358.60500000000002</v>
      </c>
      <c r="D31" s="8">
        <v>361.32499999999993</v>
      </c>
      <c r="E31" s="8">
        <v>245.005</v>
      </c>
      <c r="F31" s="8">
        <v>157.60499999999999</v>
      </c>
      <c r="G31" s="8">
        <v>1122.54</v>
      </c>
    </row>
    <row r="32" spans="1:7" x14ac:dyDescent="0.25">
      <c r="B32" s="7" t="s">
        <v>6203</v>
      </c>
      <c r="C32" s="8">
        <v>57.33</v>
      </c>
      <c r="D32" s="8">
        <v>159.64000000000001</v>
      </c>
      <c r="E32" s="8">
        <v>511.22499999999991</v>
      </c>
      <c r="F32" s="8">
        <v>82.339999999999989</v>
      </c>
      <c r="G32" s="8">
        <v>810.53499999999997</v>
      </c>
    </row>
    <row r="33" spans="1:7" x14ac:dyDescent="0.25">
      <c r="B33" s="7" t="s">
        <v>6204</v>
      </c>
      <c r="C33" s="8">
        <v>178.46999999999997</v>
      </c>
      <c r="D33" s="8">
        <v>91.83</v>
      </c>
      <c r="E33" s="8">
        <v>190.84999999999997</v>
      </c>
      <c r="F33" s="8">
        <v>272.69</v>
      </c>
      <c r="G33" s="8">
        <v>733.83999999999992</v>
      </c>
    </row>
    <row r="34" spans="1:7" x14ac:dyDescent="0.25">
      <c r="B34" s="7" t="s">
        <v>6205</v>
      </c>
      <c r="C34" s="8">
        <v>299.93999999999994</v>
      </c>
      <c r="D34" s="8">
        <v>67.454999999999998</v>
      </c>
      <c r="E34" s="8">
        <v>170.75</v>
      </c>
      <c r="F34" s="8">
        <v>88.334999999999994</v>
      </c>
      <c r="G34" s="8">
        <v>626.48</v>
      </c>
    </row>
    <row r="35" spans="1:7" x14ac:dyDescent="0.25">
      <c r="B35" s="7" t="s">
        <v>6206</v>
      </c>
      <c r="C35" s="8">
        <v>52.754999999999995</v>
      </c>
      <c r="D35" s="8">
        <v>305.32499999999999</v>
      </c>
      <c r="E35" s="8">
        <v>61.034999999999997</v>
      </c>
      <c r="F35" s="8">
        <v>145.79</v>
      </c>
      <c r="G35" s="8">
        <v>564.90499999999997</v>
      </c>
    </row>
    <row r="36" spans="1:7" x14ac:dyDescent="0.25">
      <c r="B36" s="7" t="s">
        <v>6207</v>
      </c>
      <c r="C36" s="8">
        <v>153.82499999999999</v>
      </c>
      <c r="D36" s="8">
        <v>192.42</v>
      </c>
      <c r="E36" s="8">
        <v>28.53</v>
      </c>
      <c r="F36" s="8">
        <v>239.78499999999997</v>
      </c>
      <c r="G36" s="8">
        <v>614.55999999999995</v>
      </c>
    </row>
    <row r="37" spans="1:7" x14ac:dyDescent="0.25">
      <c r="B37" s="7" t="s">
        <v>6208</v>
      </c>
      <c r="C37" s="8">
        <v>713.7299999999999</v>
      </c>
      <c r="D37" s="8">
        <v>91.125000000000014</v>
      </c>
      <c r="E37" s="8">
        <v>132.47999999999999</v>
      </c>
      <c r="F37" s="8">
        <v>109.93999999999998</v>
      </c>
      <c r="G37" s="8">
        <v>1047.2749999999999</v>
      </c>
    </row>
    <row r="38" spans="1:7" x14ac:dyDescent="0.25">
      <c r="B38" s="7" t="s">
        <v>6209</v>
      </c>
      <c r="C38" s="8">
        <v>238.06999999999996</v>
      </c>
      <c r="D38" s="8">
        <v>191.57499999999999</v>
      </c>
      <c r="E38" s="8">
        <v>348.48999999999995</v>
      </c>
      <c r="F38" s="8">
        <v>166.76499999999999</v>
      </c>
      <c r="G38" s="8">
        <v>944.9</v>
      </c>
    </row>
    <row r="39" spans="1:7" x14ac:dyDescent="0.25">
      <c r="B39" s="7" t="s">
        <v>6210</v>
      </c>
      <c r="C39" s="8">
        <v>200.625</v>
      </c>
      <c r="D39" s="8">
        <v>402.21999999999997</v>
      </c>
      <c r="E39" s="8">
        <v>210.16</v>
      </c>
      <c r="F39" s="8">
        <v>109.875</v>
      </c>
      <c r="G39" s="8">
        <v>922.88</v>
      </c>
    </row>
    <row r="40" spans="1:7" x14ac:dyDescent="0.25">
      <c r="B40" s="7" t="s">
        <v>6211</v>
      </c>
      <c r="C40" s="8">
        <v>234.13499999999999</v>
      </c>
      <c r="D40" s="8">
        <v>75.3</v>
      </c>
      <c r="E40" s="8">
        <v>349.36999999999995</v>
      </c>
      <c r="F40" s="8">
        <v>137.42499999999998</v>
      </c>
      <c r="G40" s="8">
        <v>796.2299999999999</v>
      </c>
    </row>
    <row r="41" spans="1:7" x14ac:dyDescent="0.25">
      <c r="A41" t="s">
        <v>6214</v>
      </c>
      <c r="B41" s="7" t="s">
        <v>6200</v>
      </c>
      <c r="C41" s="8">
        <v>112.69499999999999</v>
      </c>
      <c r="D41" s="8">
        <v>115.02</v>
      </c>
      <c r="E41" s="8">
        <v>673.26499999999987</v>
      </c>
      <c r="F41" s="8">
        <v>78.034999999999997</v>
      </c>
      <c r="G41" s="8">
        <v>979.01499999999976</v>
      </c>
    </row>
    <row r="42" spans="1:7" x14ac:dyDescent="0.25">
      <c r="B42" s="7" t="s">
        <v>6201</v>
      </c>
      <c r="C42" s="8">
        <v>59.129999999999995</v>
      </c>
      <c r="D42" s="8">
        <v>109.515</v>
      </c>
      <c r="E42" s="8">
        <v>91.174999999999997</v>
      </c>
      <c r="F42" s="8">
        <v>17.91</v>
      </c>
      <c r="G42" s="8">
        <v>277.73</v>
      </c>
    </row>
    <row r="43" spans="1:7" x14ac:dyDescent="0.25">
      <c r="B43" s="7" t="s">
        <v>6202</v>
      </c>
      <c r="C43" s="8">
        <v>193.91</v>
      </c>
      <c r="D43" s="8">
        <v>130.85999999999996</v>
      </c>
      <c r="E43" s="8">
        <v>410.70999999999992</v>
      </c>
      <c r="F43" s="8">
        <v>333.82499999999999</v>
      </c>
      <c r="G43" s="8">
        <v>1069.3049999999998</v>
      </c>
    </row>
    <row r="44" spans="1:7" x14ac:dyDescent="0.25">
      <c r="B44" s="7" t="s">
        <v>6203</v>
      </c>
      <c r="C44" s="8">
        <v>91.544999999999987</v>
      </c>
      <c r="D44" s="8">
        <v>245.20499999999996</v>
      </c>
      <c r="E44" s="8">
        <v>88.545000000000002</v>
      </c>
      <c r="F44" s="8">
        <v>131.60499999999999</v>
      </c>
      <c r="G44" s="8">
        <v>556.9</v>
      </c>
    </row>
    <row r="45" spans="1:7" x14ac:dyDescent="0.25">
      <c r="B45" s="7" t="s">
        <v>6204</v>
      </c>
      <c r="C45" s="8">
        <v>148.11499999999998</v>
      </c>
      <c r="D45" s="8">
        <v>138.245</v>
      </c>
      <c r="E45" s="8">
        <v>183.93999999999997</v>
      </c>
      <c r="F45" s="8">
        <v>244.71999999999997</v>
      </c>
      <c r="G45" s="8">
        <v>715.02</v>
      </c>
    </row>
    <row r="46" spans="1:7" x14ac:dyDescent="0.25">
      <c r="B46" s="7" t="s">
        <v>6205</v>
      </c>
      <c r="C46" s="8">
        <v>146.04</v>
      </c>
      <c r="D46" s="8">
        <v>426.2</v>
      </c>
      <c r="E46" s="8">
        <v>170.08999999999997</v>
      </c>
      <c r="F46" s="8">
        <v>343.51</v>
      </c>
      <c r="G46" s="8">
        <v>1085.8399999999999</v>
      </c>
    </row>
    <row r="47" spans="1:7" x14ac:dyDescent="0.25">
      <c r="B47" s="7" t="s">
        <v>6206</v>
      </c>
      <c r="C47" s="8">
        <v>247.28999999999996</v>
      </c>
      <c r="D47" s="8">
        <v>187.285</v>
      </c>
      <c r="E47" s="8">
        <v>191.80499999999998</v>
      </c>
      <c r="F47" s="8">
        <v>72.05</v>
      </c>
      <c r="G47" s="8">
        <v>698.42999999999984</v>
      </c>
    </row>
    <row r="48" spans="1:7" x14ac:dyDescent="0.25">
      <c r="B48" s="7" t="s">
        <v>6207</v>
      </c>
      <c r="C48" s="8">
        <v>47.694999999999993</v>
      </c>
      <c r="D48" s="8">
        <v>41.25</v>
      </c>
      <c r="E48" s="8">
        <v>15.54</v>
      </c>
      <c r="F48" s="8">
        <v>47.16</v>
      </c>
      <c r="G48" s="8">
        <v>151.64499999999998</v>
      </c>
    </row>
    <row r="49" spans="1:7" x14ac:dyDescent="0.25">
      <c r="A49" t="s">
        <v>6198</v>
      </c>
      <c r="C49" s="8">
        <v>9257.2949999999983</v>
      </c>
      <c r="D49" s="8">
        <v>9153.5400000000009</v>
      </c>
      <c r="E49" s="8">
        <v>8986.625</v>
      </c>
      <c r="F49" s="8">
        <v>6726.0449999999992</v>
      </c>
      <c r="G49" s="8">
        <v>34123.505000000005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4AF88-B72D-47C5-B33B-11169FE333E9}">
  <dimension ref="A3:B7"/>
  <sheetViews>
    <sheetView zoomScaleNormal="100" workbookViewId="0">
      <selection activeCell="I12" sqref="I12"/>
    </sheetView>
  </sheetViews>
  <sheetFormatPr defaultRowHeight="15" x14ac:dyDescent="0.25"/>
  <cols>
    <col min="1" max="1" width="15.42578125" bestFit="1" customWidth="1"/>
    <col min="2" max="2" width="12.140625" bestFit="1" customWidth="1"/>
    <col min="3" max="5" width="20" bestFit="1" customWidth="1"/>
    <col min="6" max="7" width="11.28515625" bestFit="1" customWidth="1"/>
  </cols>
  <sheetData>
    <row r="3" spans="1:2" x14ac:dyDescent="0.25">
      <c r="A3" s="6" t="s">
        <v>7</v>
      </c>
      <c r="B3" t="s">
        <v>6220</v>
      </c>
    </row>
    <row r="4" spans="1:2" x14ac:dyDescent="0.25">
      <c r="A4" t="s">
        <v>28</v>
      </c>
      <c r="B4" s="9">
        <v>1951.4749999999999</v>
      </c>
    </row>
    <row r="5" spans="1:2" x14ac:dyDescent="0.25">
      <c r="A5" t="s">
        <v>318</v>
      </c>
      <c r="B5" s="9">
        <v>6239.13</v>
      </c>
    </row>
    <row r="6" spans="1:2" x14ac:dyDescent="0.25">
      <c r="A6" t="s">
        <v>19</v>
      </c>
      <c r="B6" s="9">
        <v>25932.899999999983</v>
      </c>
    </row>
    <row r="7" spans="1:2" x14ac:dyDescent="0.25">
      <c r="A7" t="s">
        <v>6198</v>
      </c>
      <c r="B7" s="9">
        <v>34123.504999999983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B046C-CA86-4DB5-807E-6749E896FB71}">
  <dimension ref="A3:B9"/>
  <sheetViews>
    <sheetView zoomScaleNormal="100" workbookViewId="0">
      <selection activeCell="C13" sqref="C13"/>
    </sheetView>
  </sheetViews>
  <sheetFormatPr defaultRowHeight="15" x14ac:dyDescent="0.25"/>
  <cols>
    <col min="1" max="1" width="17.7109375" bestFit="1" customWidth="1"/>
    <col min="2" max="2" width="12.140625" bestFit="1" customWidth="1"/>
    <col min="3" max="5" width="20" bestFit="1" customWidth="1"/>
    <col min="6" max="7" width="11.28515625" bestFit="1" customWidth="1"/>
  </cols>
  <sheetData>
    <row r="3" spans="1:2" x14ac:dyDescent="0.25">
      <c r="A3" s="6" t="s">
        <v>4</v>
      </c>
      <c r="B3" t="s">
        <v>6220</v>
      </c>
    </row>
    <row r="4" spans="1:2" x14ac:dyDescent="0.25">
      <c r="A4" t="s">
        <v>2587</v>
      </c>
      <c r="B4" s="9">
        <v>211.41</v>
      </c>
    </row>
    <row r="5" spans="1:2" x14ac:dyDescent="0.25">
      <c r="A5" t="s">
        <v>1386</v>
      </c>
      <c r="B5" s="9">
        <v>218.73</v>
      </c>
    </row>
    <row r="6" spans="1:2" x14ac:dyDescent="0.25">
      <c r="A6" t="s">
        <v>5114</v>
      </c>
      <c r="B6" s="9">
        <v>237.81999999999996</v>
      </c>
    </row>
    <row r="7" spans="1:2" x14ac:dyDescent="0.25">
      <c r="A7" t="s">
        <v>1598</v>
      </c>
      <c r="B7" s="9">
        <v>240.42499999999998</v>
      </c>
    </row>
    <row r="8" spans="1:2" x14ac:dyDescent="0.25">
      <c r="A8" t="s">
        <v>5765</v>
      </c>
      <c r="B8" s="9">
        <v>265.34499999999997</v>
      </c>
    </row>
    <row r="9" spans="1:2" x14ac:dyDescent="0.25">
      <c r="A9" t="s">
        <v>6198</v>
      </c>
      <c r="B9" s="9">
        <v>1173.7299999999998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Q1001"/>
  <sheetViews>
    <sheetView topLeftCell="B1" zoomScale="70" zoomScaleNormal="70" workbookViewId="0">
      <selection activeCell="P2" sqref="P2"/>
    </sheetView>
  </sheetViews>
  <sheetFormatPr defaultRowHeight="15" x14ac:dyDescent="0.25"/>
  <cols>
    <col min="1" max="1" width="16.5703125" bestFit="1" customWidth="1"/>
    <col min="2" max="2" width="16.85546875" bestFit="1" customWidth="1"/>
    <col min="3" max="3" width="17.42578125" bestFit="1" customWidth="1"/>
    <col min="4" max="4" width="11.85546875" customWidth="1"/>
    <col min="5" max="5" width="10.42578125" customWidth="1"/>
    <col min="6" max="6" width="17.7109375" bestFit="1" customWidth="1"/>
    <col min="7" max="7" width="39.42578125" bestFit="1" customWidth="1"/>
    <col min="8" max="8" width="15.42578125" bestFit="1" customWidth="1"/>
    <col min="9" max="9" width="13" customWidth="1"/>
    <col min="10" max="10" width="12.42578125" customWidth="1"/>
    <col min="11" max="11" width="6.5703125" customWidth="1"/>
    <col min="12" max="12" width="11.28515625" customWidth="1"/>
    <col min="13" max="13" width="9.28515625" bestFit="1" customWidth="1"/>
    <col min="14" max="14" width="18.5703125" customWidth="1"/>
    <col min="15" max="15" width="18" customWidth="1"/>
    <col min="16" max="16" width="14" bestFit="1" customWidth="1"/>
    <col min="17" max="17" width="23.7109375" bestFit="1" customWidth="1"/>
  </cols>
  <sheetData>
    <row r="1" spans="1:17"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c r="Q1" s="2" t="s">
        <v>6221</v>
      </c>
    </row>
    <row r="2" spans="1:17" x14ac:dyDescent="0.25">
      <c r="A2" s="2" t="s">
        <v>490</v>
      </c>
      <c r="B2" s="3">
        <v>43713</v>
      </c>
      <c r="C2" s="2" t="s">
        <v>491</v>
      </c>
      <c r="D2" t="s">
        <v>6138</v>
      </c>
      <c r="E2" s="2">
        <v>2</v>
      </c>
      <c r="F2" s="2" t="str">
        <f>_xlfn.XLOOKUP(Orders[[#This Row],[Customer ID]],customers!A:A,customers!B:B)</f>
        <v>Aloisia Allner</v>
      </c>
      <c r="G2" s="2" t="str" cm="1">
        <f t="array" ref="G2">IF(_xlfn.XLOOKUP(C2,customers!A1:$A$1001,customers!C1:$C$1001,,0)=0,"",_xlfn.XLOOKUP(C2,customers!A1:$A$1001,customers!C1:$C$1001,,0))</f>
        <v>aallner0@lulu.com</v>
      </c>
      <c r="H2" s="2" t="str" cm="1">
        <f t="array" ref="H2">_xlfn.XLOOKUP(C2,customers!A1:$A$1001,customers!G1:$G$1001,"Ireland",0)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cm="1">
        <f t="array" ref="N2">_xlfn.IFS(I2="Rob","Robusta",I2="Exc","Excelsa",I2="Ara","Arabica",I2="Lib","Liberica")</f>
        <v>Robusta</v>
      </c>
      <c r="O2" t="str" cm="1">
        <f t="array" ref="O2">_xlfn.IFS(J2="M","Midium",J2="L","Light",J2="D","Dark")</f>
        <v>Midium</v>
      </c>
      <c r="P2" t="str">
        <f>_xlfn.XLOOKUP(Orders[[#This Row],[Customer ID]],customers!A:A,customers!I:I,,0)</f>
        <v>Yes</v>
      </c>
      <c r="Q2" t="str">
        <f>_xlfn.XLOOKUP(C3,customers!A:A,customers!B:B,"مش موجود")</f>
        <v>Aloisia Allner</v>
      </c>
    </row>
    <row r="3" spans="1:17" x14ac:dyDescent="0.25">
      <c r="A3" s="2" t="s">
        <v>490</v>
      </c>
      <c r="B3" s="3">
        <v>43713</v>
      </c>
      <c r="C3" s="2" t="s">
        <v>491</v>
      </c>
      <c r="D3" t="s">
        <v>6139</v>
      </c>
      <c r="E3" s="2">
        <v>5</v>
      </c>
      <c r="F3" s="2" t="str">
        <f>_xlfn.XLOOKUP(Orders[[#This Row],[Customer ID]],customers!A:A,customers!B:B)</f>
        <v>Aloisia Allner</v>
      </c>
      <c r="G3" s="2" t="str" cm="1">
        <f t="array" ref="G3">IF(_xlfn.XLOOKUP(C3,customers!A2:$A$1001,customers!C2:$C$1001,,0)=0,"",_xlfn.XLOOKUP(C3,customers!A2:$A$1001,customers!C2:$C$1001,,0))</f>
        <v>aallner0@lulu.com</v>
      </c>
      <c r="H3" s="2" t="str" cm="1">
        <f t="array" ref="H3">_xlfn.XLOOKUP(C3,customers!A2:$A$1001,customers!G2:$G$1001,"Ireland",0)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cm="1">
        <f t="array" ref="N3">_xlfn.IFS(I3="Rob","Robusta",I3="Exc","Excelsa",I3="Ara","Arabica",I3="Lib","Liberica")</f>
        <v>Excelsa</v>
      </c>
      <c r="O3" t="str" cm="1">
        <f t="array" ref="O3">_xlfn.IFS(J3="M","Midium",J3="L","Light",J3="D","Dark")</f>
        <v>Midium</v>
      </c>
      <c r="P3" t="str">
        <f>_xlfn.XLOOKUP(Orders[[#This Row],[Customer ID]],customers!A:A,customers!I:I,,0)</f>
        <v>Yes</v>
      </c>
      <c r="Q3" t="str">
        <f>_xlfn.XLOOKUP(C4,customers!A:A,customers!B:B,"مش موجود")</f>
        <v>Jami Redholes</v>
      </c>
    </row>
    <row r="4" spans="1:17" x14ac:dyDescent="0.25">
      <c r="A4" s="2" t="s">
        <v>501</v>
      </c>
      <c r="B4" s="3">
        <v>44364</v>
      </c>
      <c r="C4" s="2" t="s">
        <v>502</v>
      </c>
      <c r="D4" t="s">
        <v>6140</v>
      </c>
      <c r="E4" s="2">
        <v>1</v>
      </c>
      <c r="F4" s="2" t="str">
        <f>_xlfn.XLOOKUP(Orders[[#This Row],[Customer ID]],customers!A:A,customers!B:B)</f>
        <v>Jami Redholes</v>
      </c>
      <c r="G4" s="2" t="str" cm="1">
        <f t="array" ref="G4">IF(_xlfn.XLOOKUP(C4,customers!A3:$A$1001,customers!C3:$C$1001,,0)=0,"",_xlfn.XLOOKUP(C4,customers!A3:$A$1001,customers!C3:$C$1001,,0))</f>
        <v>jredholes2@tmall.com</v>
      </c>
      <c r="H4" s="2" t="str" cm="1">
        <f t="array" ref="H4">_xlfn.XLOOKUP(C4,customers!A3:$A$1001,customers!G3:$G$1001,"Ireland",0)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cm="1">
        <f t="array" ref="N4">_xlfn.IFS(I4="Rob","Robusta",I4="Exc","Excelsa",I4="Ara","Arabica",I4="Lib","Liberica")</f>
        <v>Arabica</v>
      </c>
      <c r="O4" t="str" cm="1">
        <f t="array" ref="O4">_xlfn.IFS(J4="M","Midium",J4="L","Light",J4="D","Dark")</f>
        <v>Light</v>
      </c>
      <c r="P4" t="str">
        <f>_xlfn.XLOOKUP(Orders[[#This Row],[Customer ID]],customers!A:A,customers!I:I,,0)</f>
        <v>Yes</v>
      </c>
      <c r="Q4" t="str">
        <f>_xlfn.XLOOKUP(C5,customers!A:A,customers!B:B,"مش موجود")</f>
        <v>Christoffer O' Shea</v>
      </c>
    </row>
    <row r="5" spans="1:17" x14ac:dyDescent="0.25">
      <c r="A5" s="2" t="s">
        <v>512</v>
      </c>
      <c r="B5" s="3">
        <v>44392</v>
      </c>
      <c r="C5" s="2" t="s">
        <v>513</v>
      </c>
      <c r="D5" t="s">
        <v>6141</v>
      </c>
      <c r="E5" s="2">
        <v>2</v>
      </c>
      <c r="F5" s="2" t="str">
        <f>_xlfn.XLOOKUP(Orders[[#This Row],[Customer ID]],customers!A:A,customers!B:B)</f>
        <v>Christoffer O' Shea</v>
      </c>
      <c r="G5" s="2" t="str" cm="1">
        <f t="array" ref="G5">IF(_xlfn.XLOOKUP(C5,customers!A4:$A$1001,customers!C4:$C$1001,,0)=0,"",_xlfn.XLOOKUP(C5,customers!A4:$A$1001,customers!C4:$C$1001,,0))</f>
        <v/>
      </c>
      <c r="H5" s="2" t="str" cm="1">
        <f t="array" ref="H5">_xlfn.XLOOKUP(C5,customers!A4:$A$1001,customers!G4:$G$1001,"Ireland",0)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cm="1">
        <f t="array" ref="N5">_xlfn.IFS(I5="Rob","Robusta",I5="Exc","Excelsa",I5="Ara","Arabica",I5="Lib","Liberica")</f>
        <v>Excelsa</v>
      </c>
      <c r="O5" t="str" cm="1">
        <f t="array" ref="O5">_xlfn.IFS(J5="M","Midium",J5="L","Light",J5="D","Dark")</f>
        <v>Midium</v>
      </c>
      <c r="P5" t="str">
        <f>_xlfn.XLOOKUP(Orders[[#This Row],[Customer ID]],customers!A:A,customers!I:I,,0)</f>
        <v>No</v>
      </c>
      <c r="Q5" t="str">
        <f>_xlfn.XLOOKUP(C6,customers!A:A,customers!B:B,"مش موجود")</f>
        <v>Christoffer O' Shea</v>
      </c>
    </row>
    <row r="6" spans="1:17" x14ac:dyDescent="0.25">
      <c r="A6" s="2" t="s">
        <v>512</v>
      </c>
      <c r="B6" s="3">
        <v>44392</v>
      </c>
      <c r="C6" s="2" t="s">
        <v>513</v>
      </c>
      <c r="D6" t="s">
        <v>6142</v>
      </c>
      <c r="E6" s="2">
        <v>2</v>
      </c>
      <c r="F6" s="2" t="str">
        <f>_xlfn.XLOOKUP(Orders[[#This Row],[Customer ID]],customers!A:A,customers!B:B)</f>
        <v>Christoffer O' Shea</v>
      </c>
      <c r="G6" s="2" t="str" cm="1">
        <f t="array" ref="G6">IF(_xlfn.XLOOKUP(C6,customers!A5:$A$1001,customers!C5:$C$1001,,0)=0,"",_xlfn.XLOOKUP(C6,customers!A5:$A$1001,customers!C5:$C$1001,,0))</f>
        <v/>
      </c>
      <c r="H6" s="2" t="str" cm="1">
        <f t="array" ref="H6">_xlfn.XLOOKUP(C6,customers!A5:$A$1001,customers!G5:$G$1001,"Ireland",0)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cm="1">
        <f t="array" ref="N6">_xlfn.IFS(I6="Rob","Robusta",I6="Exc","Excelsa",I6="Ara","Arabica",I6="Lib","Liberica")</f>
        <v>Robusta</v>
      </c>
      <c r="O6" t="str" cm="1">
        <f t="array" ref="O6">_xlfn.IFS(J6="M","Midium",J6="L","Light",J6="D","Dark")</f>
        <v>Light</v>
      </c>
      <c r="P6" t="str">
        <f>_xlfn.XLOOKUP(Orders[[#This Row],[Customer ID]],customers!A:A,customers!I:I,,0)</f>
        <v>No</v>
      </c>
      <c r="Q6" t="str">
        <f>_xlfn.XLOOKUP(C7,customers!A:A,customers!B:B,"مش موجود")</f>
        <v>Beryle Cottier</v>
      </c>
    </row>
    <row r="7" spans="1:17" x14ac:dyDescent="0.25">
      <c r="A7" s="2" t="s">
        <v>519</v>
      </c>
      <c r="B7" s="3">
        <v>44412</v>
      </c>
      <c r="C7" s="2" t="s">
        <v>520</v>
      </c>
      <c r="D7" t="s">
        <v>6143</v>
      </c>
      <c r="E7" s="2">
        <v>3</v>
      </c>
      <c r="F7" s="2" t="str">
        <f>_xlfn.XLOOKUP(Orders[[#This Row],[Customer ID]],customers!A:A,customers!B:B)</f>
        <v>Beryle Cottier</v>
      </c>
      <c r="G7" s="2" t="str" cm="1">
        <f t="array" ref="G7">IF(_xlfn.XLOOKUP(C7,customers!A6:$A$1001,customers!C6:$C$1001,,0)=0,"",_xlfn.XLOOKUP(C7,customers!A6:$A$1001,customers!C6:$C$1001,,0))</f>
        <v/>
      </c>
      <c r="H7" s="2" t="str" cm="1">
        <f t="array" ref="H7">_xlfn.XLOOKUP(C7,customers!A6:$A$1001,customers!G6:$G$1001,"Ireland",0)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cm="1">
        <f t="array" ref="N7">_xlfn.IFS(I7="Rob","Robusta",I7="Exc","Excelsa",I7="Ara","Arabica",I7="Lib","Liberica")</f>
        <v>Liberica</v>
      </c>
      <c r="O7" t="str" cm="1">
        <f t="array" ref="O7">_xlfn.IFS(J7="M","Midium",J7="L","Light",J7="D","Dark")</f>
        <v>Dark</v>
      </c>
      <c r="P7" t="str">
        <f>_xlfn.XLOOKUP(Orders[[#This Row],[Customer ID]],customers!A:A,customers!I:I,,0)</f>
        <v>No</v>
      </c>
      <c r="Q7" t="str">
        <f>_xlfn.XLOOKUP(C8,customers!A:A,customers!B:B,"مش موجود")</f>
        <v>Shaylynn Lobe</v>
      </c>
    </row>
    <row r="8" spans="1:17" x14ac:dyDescent="0.25">
      <c r="A8" s="2" t="s">
        <v>524</v>
      </c>
      <c r="B8" s="3">
        <v>44582</v>
      </c>
      <c r="C8" s="2" t="s">
        <v>525</v>
      </c>
      <c r="D8" t="s">
        <v>6144</v>
      </c>
      <c r="E8" s="2">
        <v>3</v>
      </c>
      <c r="F8" s="2" t="str">
        <f>_xlfn.XLOOKUP(Orders[[#This Row],[Customer ID]],customers!A:A,customers!B:B)</f>
        <v>Shaylynn Lobe</v>
      </c>
      <c r="G8" s="2" t="str" cm="1">
        <f t="array" ref="G8">IF(_xlfn.XLOOKUP(C8,customers!A7:$A$1001,customers!C7:$C$1001,,0)=0,"",_xlfn.XLOOKUP(C8,customers!A7:$A$1001,customers!C7:$C$1001,,0))</f>
        <v>slobe6@nifty.com</v>
      </c>
      <c r="H8" s="2" t="str" cm="1">
        <f t="array" ref="H8">_xlfn.XLOOKUP(C8,customers!A7:$A$1001,customers!G7:$G$1001,"Ireland",0)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cm="1">
        <f t="array" ref="N8">_xlfn.IFS(I8="Rob","Robusta",I8="Exc","Excelsa",I8="Ara","Arabica",I8="Lib","Liberica")</f>
        <v>Excelsa</v>
      </c>
      <c r="O8" t="str" cm="1">
        <f t="array" ref="O8">_xlfn.IFS(J8="M","Midium",J8="L","Light",J8="D","Dark")</f>
        <v>Dark</v>
      </c>
      <c r="P8" t="str">
        <f>_xlfn.XLOOKUP(Orders[[#This Row],[Customer ID]],customers!A:A,customers!I:I,,0)</f>
        <v>Yes</v>
      </c>
      <c r="Q8" t="str">
        <f>_xlfn.XLOOKUP(C9,customers!A:A,customers!B:B,"مش موجود")</f>
        <v>Melvin Wharfe</v>
      </c>
    </row>
    <row r="9" spans="1:17" x14ac:dyDescent="0.25">
      <c r="A9" s="2" t="s">
        <v>530</v>
      </c>
      <c r="B9" s="3">
        <v>44701</v>
      </c>
      <c r="C9" s="2" t="s">
        <v>531</v>
      </c>
      <c r="D9" t="s">
        <v>6145</v>
      </c>
      <c r="E9" s="2">
        <v>1</v>
      </c>
      <c r="F9" s="2" t="str">
        <f>_xlfn.XLOOKUP(Orders[[#This Row],[Customer ID]],customers!A:A,customers!B:B)</f>
        <v>Melvin Wharfe</v>
      </c>
      <c r="G9" s="2" t="str" cm="1">
        <f t="array" ref="G9">IF(_xlfn.XLOOKUP(C9,customers!A8:$A$1001,customers!C8:$C$1001,,0)=0,"",_xlfn.XLOOKUP(C9,customers!A8:$A$1001,customers!C8:$C$1001,,0))</f>
        <v/>
      </c>
      <c r="H9" s="2" t="str" cm="1">
        <f t="array" ref="H9">_xlfn.XLOOKUP(C9,customers!A8:$A$1001,customers!G8:$G$1001,"Ireland",0)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cm="1">
        <f t="array" ref="N9">_xlfn.IFS(I9="Rob","Robusta",I9="Exc","Excelsa",I9="Ara","Arabica",I9="Lib","Liberica")</f>
        <v>Liberica</v>
      </c>
      <c r="O9" t="str" cm="1">
        <f t="array" ref="O9">_xlfn.IFS(J9="M","Midium",J9="L","Light",J9="D","Dark")</f>
        <v>Light</v>
      </c>
      <c r="P9" t="str">
        <f>_xlfn.XLOOKUP(Orders[[#This Row],[Customer ID]],customers!A:A,customers!I:I,,0)</f>
        <v>Yes</v>
      </c>
      <c r="Q9" t="str">
        <f>_xlfn.XLOOKUP(C10,customers!A:A,customers!B:B,"مش موجود")</f>
        <v>Guthrey Petracci</v>
      </c>
    </row>
    <row r="10" spans="1:17" x14ac:dyDescent="0.25">
      <c r="A10" s="2" t="s">
        <v>535</v>
      </c>
      <c r="B10" s="3">
        <v>43467</v>
      </c>
      <c r="C10" s="2" t="s">
        <v>536</v>
      </c>
      <c r="D10" t="s">
        <v>6146</v>
      </c>
      <c r="E10" s="2">
        <v>3</v>
      </c>
      <c r="F10" s="2" t="str">
        <f>_xlfn.XLOOKUP(Orders[[#This Row],[Customer ID]],customers!A:A,customers!B:B)</f>
        <v>Guthrey Petracci</v>
      </c>
      <c r="G10" s="2" t="str" cm="1">
        <f t="array" ref="G10">IF(_xlfn.XLOOKUP(C10,customers!A9:$A$1001,customers!C9:$C$1001,,0)=0,"",_xlfn.XLOOKUP(C10,customers!A9:$A$1001,customers!C9:$C$1001,,0))</f>
        <v>gpetracci8@livejournal.com</v>
      </c>
      <c r="H10" s="2" t="str" cm="1">
        <f t="array" ref="H10">_xlfn.XLOOKUP(C10,customers!A9:$A$1001,customers!G9:$G$1001,"Ireland",0)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cm="1">
        <f t="array" ref="N10">_xlfn.IFS(I10="Rob","Robusta",I10="Exc","Excelsa",I10="Ara","Arabica",I10="Lib","Liberica")</f>
        <v>Robusta</v>
      </c>
      <c r="O10" t="str" cm="1">
        <f t="array" ref="O10">_xlfn.IFS(J10="M","Midium",J10="L","Light",J10="D","Dark")</f>
        <v>Midium</v>
      </c>
      <c r="P10" t="str">
        <f>_xlfn.XLOOKUP(Orders[[#This Row],[Customer ID]],customers!A:A,customers!I:I,,0)</f>
        <v>No</v>
      </c>
      <c r="Q10" t="str">
        <f>_xlfn.XLOOKUP(C11,customers!A:A,customers!B:B,"مش موجود")</f>
        <v>Rodger Raven</v>
      </c>
    </row>
    <row r="11" spans="1:17" x14ac:dyDescent="0.25">
      <c r="A11" s="2" t="s">
        <v>541</v>
      </c>
      <c r="B11" s="3">
        <v>43713</v>
      </c>
      <c r="C11" s="2" t="s">
        <v>542</v>
      </c>
      <c r="D11" t="s">
        <v>6146</v>
      </c>
      <c r="E11" s="2">
        <v>1</v>
      </c>
      <c r="F11" s="2" t="str">
        <f>_xlfn.XLOOKUP(Orders[[#This Row],[Customer ID]],customers!A:A,customers!B:B)</f>
        <v>Rodger Raven</v>
      </c>
      <c r="G11" s="2" t="str" cm="1">
        <f t="array" ref="G11">IF(_xlfn.XLOOKUP(C11,customers!A10:$A$1001,customers!C10:$C$1001,,0)=0,"",_xlfn.XLOOKUP(C11,customers!A10:$A$1001,customers!C10:$C$1001,,0))</f>
        <v>rraven9@ed.gov</v>
      </c>
      <c r="H11" s="2" t="str" cm="1">
        <f t="array" ref="H11">_xlfn.XLOOKUP(C11,customers!A10:$A$1001,customers!G10:$G$1001,"Ireland",0)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cm="1">
        <f t="array" ref="N11">_xlfn.IFS(I11="Rob","Robusta",I11="Exc","Excelsa",I11="Ara","Arabica",I11="Lib","Liberica")</f>
        <v>Robusta</v>
      </c>
      <c r="O11" t="str" cm="1">
        <f t="array" ref="O11">_xlfn.IFS(J11="M","Midium",J11="L","Light",J11="D","Dark")</f>
        <v>Midium</v>
      </c>
      <c r="P11" t="str">
        <f>_xlfn.XLOOKUP(Orders[[#This Row],[Customer ID]],customers!A:A,customers!I:I,,0)</f>
        <v>No</v>
      </c>
      <c r="Q11" t="str">
        <f>_xlfn.XLOOKUP(C12,customers!A:A,customers!B:B,"مش موجود")</f>
        <v>Ferrell Ferber</v>
      </c>
    </row>
    <row r="12" spans="1:17" x14ac:dyDescent="0.25">
      <c r="A12" s="2" t="s">
        <v>547</v>
      </c>
      <c r="B12" s="3">
        <v>44263</v>
      </c>
      <c r="C12" s="2" t="s">
        <v>548</v>
      </c>
      <c r="D12" t="s">
        <v>6147</v>
      </c>
      <c r="E12" s="2">
        <v>4</v>
      </c>
      <c r="F12" s="2" t="str">
        <f>_xlfn.XLOOKUP(Orders[[#This Row],[Customer ID]],customers!A:A,customers!B:B)</f>
        <v>Ferrell Ferber</v>
      </c>
      <c r="G12" s="2" t="str" cm="1">
        <f t="array" ref="G12">IF(_xlfn.XLOOKUP(C12,customers!A11:$A$1001,customers!C11:$C$1001,,0)=0,"",_xlfn.XLOOKUP(C12,customers!A11:$A$1001,customers!C11:$C$1001,,0))</f>
        <v>fferbera@businesswire.com</v>
      </c>
      <c r="H12" s="2" t="str" cm="1">
        <f t="array" ref="H12">_xlfn.XLOOKUP(C12,customers!A11:$A$1001,customers!G11:$G$1001,"Ireland",0)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cm="1">
        <f t="array" ref="N12">_xlfn.IFS(I12="Rob","Robusta",I12="Exc","Excelsa",I12="Ara","Arabica",I12="Lib","Liberica")</f>
        <v>Arabica</v>
      </c>
      <c r="O12" t="str" cm="1">
        <f t="array" ref="O12">_xlfn.IFS(J12="M","Midium",J12="L","Light",J12="D","Dark")</f>
        <v>Dark</v>
      </c>
      <c r="P12" t="str">
        <f>_xlfn.XLOOKUP(Orders[[#This Row],[Customer ID]],customers!A:A,customers!I:I,,0)</f>
        <v>No</v>
      </c>
      <c r="Q12" t="str">
        <f>_xlfn.XLOOKUP(C13,customers!A:A,customers!B:B,"مش موجود")</f>
        <v>Duky Phizackerly</v>
      </c>
    </row>
    <row r="13" spans="1:17" x14ac:dyDescent="0.25">
      <c r="A13" s="2" t="s">
        <v>553</v>
      </c>
      <c r="B13" s="3">
        <v>44132</v>
      </c>
      <c r="C13" s="2" t="s">
        <v>554</v>
      </c>
      <c r="D13" t="s">
        <v>6148</v>
      </c>
      <c r="E13" s="2">
        <v>5</v>
      </c>
      <c r="F13" s="2" t="str">
        <f>_xlfn.XLOOKUP(Orders[[#This Row],[Customer ID]],customers!A:A,customers!B:B)</f>
        <v>Duky Phizackerly</v>
      </c>
      <c r="G13" s="2" t="str" cm="1">
        <f t="array" ref="G13">IF(_xlfn.XLOOKUP(C13,customers!A12:$A$1001,customers!C12:$C$1001,,0)=0,"",_xlfn.XLOOKUP(C13,customers!A12:$A$1001,customers!C12:$C$1001,,0))</f>
        <v>dphizackerlyb@utexas.edu</v>
      </c>
      <c r="H13" s="2" t="str" cm="1">
        <f t="array" ref="H13">_xlfn.XLOOKUP(C13,customers!A12:$A$1001,customers!G12:$G$1001,"Ireland",0)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cm="1">
        <f t="array" ref="N13">_xlfn.IFS(I13="Rob","Robusta",I13="Exc","Excelsa",I13="Ara","Arabica",I13="Lib","Liberica")</f>
        <v>Excelsa</v>
      </c>
      <c r="O13" t="str" cm="1">
        <f t="array" ref="O13">_xlfn.IFS(J13="M","Midium",J13="L","Light",J13="D","Dark")</f>
        <v>Light</v>
      </c>
      <c r="P13" t="str">
        <f>_xlfn.XLOOKUP(Orders[[#This Row],[Customer ID]],customers!A:A,customers!I:I,,0)</f>
        <v>Yes</v>
      </c>
      <c r="Q13" t="str">
        <f>_xlfn.XLOOKUP(C14,customers!A:A,customers!B:B,"مش موجود")</f>
        <v>Rosaleen Scholar</v>
      </c>
    </row>
    <row r="14" spans="1:17" x14ac:dyDescent="0.25">
      <c r="A14" s="2" t="s">
        <v>559</v>
      </c>
      <c r="B14" s="3">
        <v>44744</v>
      </c>
      <c r="C14" s="2" t="s">
        <v>560</v>
      </c>
      <c r="D14" t="s">
        <v>6138</v>
      </c>
      <c r="E14" s="2">
        <v>5</v>
      </c>
      <c r="F14" s="2" t="str">
        <f>_xlfn.XLOOKUP(Orders[[#This Row],[Customer ID]],customers!A:A,customers!B:B)</f>
        <v>Rosaleen Scholar</v>
      </c>
      <c r="G14" s="2" t="str" cm="1">
        <f t="array" ref="G14">IF(_xlfn.XLOOKUP(C14,customers!A13:$A$1001,customers!C13:$C$1001,,0)=0,"",_xlfn.XLOOKUP(C14,customers!A13:$A$1001,customers!C13:$C$1001,,0))</f>
        <v>rscholarc@nyu.edu</v>
      </c>
      <c r="H14" s="2" t="str" cm="1">
        <f t="array" ref="H14">_xlfn.XLOOKUP(C14,customers!A13:$A$1001,customers!G13:$G$1001,"Ireland",0)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cm="1">
        <f t="array" ref="N14">_xlfn.IFS(I14="Rob","Robusta",I14="Exc","Excelsa",I14="Ara","Arabica",I14="Lib","Liberica")</f>
        <v>Robusta</v>
      </c>
      <c r="O14" t="str" cm="1">
        <f t="array" ref="O14">_xlfn.IFS(J14="M","Midium",J14="L","Light",J14="D","Dark")</f>
        <v>Midium</v>
      </c>
      <c r="P14" t="str">
        <f>_xlfn.XLOOKUP(Orders[[#This Row],[Customer ID]],customers!A:A,customers!I:I,,0)</f>
        <v>No</v>
      </c>
      <c r="Q14" t="str">
        <f>_xlfn.XLOOKUP(C15,customers!A:A,customers!B:B,"مش موجود")</f>
        <v>Terence Vanyutin</v>
      </c>
    </row>
    <row r="15" spans="1:17" x14ac:dyDescent="0.25">
      <c r="A15" s="2" t="s">
        <v>565</v>
      </c>
      <c r="B15" s="3">
        <v>43973</v>
      </c>
      <c r="C15" s="2" t="s">
        <v>566</v>
      </c>
      <c r="D15" t="s">
        <v>6149</v>
      </c>
      <c r="E15" s="2">
        <v>2</v>
      </c>
      <c r="F15" s="2" t="str">
        <f>_xlfn.XLOOKUP(Orders[[#This Row],[Customer ID]],customers!A:A,customers!B:B)</f>
        <v>Terence Vanyutin</v>
      </c>
      <c r="G15" s="2" t="str" cm="1">
        <f t="array" ref="G15">IF(_xlfn.XLOOKUP(C15,customers!A14:$A$1001,customers!C14:$C$1001,,0)=0,"",_xlfn.XLOOKUP(C15,customers!A14:$A$1001,customers!C14:$C$1001,,0))</f>
        <v>tvanyutind@wix.com</v>
      </c>
      <c r="H15" s="2" t="str" cm="1">
        <f t="array" ref="H15">_xlfn.XLOOKUP(C15,customers!A14:$A$1001,customers!G14:$G$1001,"Ireland",0)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cm="1">
        <f t="array" ref="N15">_xlfn.IFS(I15="Rob","Robusta",I15="Exc","Excelsa",I15="Ara","Arabica",I15="Lib","Liberica")</f>
        <v>Robusta</v>
      </c>
      <c r="O15" t="str" cm="1">
        <f t="array" ref="O15">_xlfn.IFS(J15="M","Midium",J15="L","Light",J15="D","Dark")</f>
        <v>Dark</v>
      </c>
      <c r="P15" t="str">
        <f>_xlfn.XLOOKUP(Orders[[#This Row],[Customer ID]],customers!A:A,customers!I:I,,0)</f>
        <v>No</v>
      </c>
      <c r="Q15" t="str">
        <f>_xlfn.XLOOKUP(C16,customers!A:A,customers!B:B,"مش موجود")</f>
        <v>Patrice Trobe</v>
      </c>
    </row>
    <row r="16" spans="1:17" x14ac:dyDescent="0.25">
      <c r="A16" s="2" t="s">
        <v>570</v>
      </c>
      <c r="B16" s="3">
        <v>44656</v>
      </c>
      <c r="C16" s="2" t="s">
        <v>571</v>
      </c>
      <c r="D16" t="s">
        <v>6150</v>
      </c>
      <c r="E16" s="2">
        <v>3</v>
      </c>
      <c r="F16" s="2" t="str">
        <f>_xlfn.XLOOKUP(Orders[[#This Row],[Customer ID]],customers!A:A,customers!B:B)</f>
        <v>Patrice Trobe</v>
      </c>
      <c r="G16" s="2" t="str" cm="1">
        <f t="array" ref="G16">IF(_xlfn.XLOOKUP(C16,customers!A15:$A$1001,customers!C15:$C$1001,,0)=0,"",_xlfn.XLOOKUP(C16,customers!A15:$A$1001,customers!C15:$C$1001,,0))</f>
        <v>ptrobee@wunderground.com</v>
      </c>
      <c r="H16" s="2" t="str" cm="1">
        <f t="array" ref="H16">_xlfn.XLOOKUP(C16,customers!A15:$A$1001,customers!G15:$G$1001,"Ireland",0)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cm="1">
        <f t="array" ref="N16">_xlfn.IFS(I16="Rob","Robusta",I16="Exc","Excelsa",I16="Ara","Arabica",I16="Lib","Liberica")</f>
        <v>Liberica</v>
      </c>
      <c r="O16" t="str" cm="1">
        <f t="array" ref="O16">_xlfn.IFS(J16="M","Midium",J16="L","Light",J16="D","Dark")</f>
        <v>Dark</v>
      </c>
      <c r="P16" t="str">
        <f>_xlfn.XLOOKUP(Orders[[#This Row],[Customer ID]],customers!A:A,customers!I:I,,0)</f>
        <v>Yes</v>
      </c>
      <c r="Q16" t="str">
        <f>_xlfn.XLOOKUP(C17,customers!A:A,customers!B:B,"مش موجود")</f>
        <v>Llywellyn Oscroft</v>
      </c>
    </row>
    <row r="17" spans="1:17" x14ac:dyDescent="0.25">
      <c r="A17" s="2" t="s">
        <v>576</v>
      </c>
      <c r="B17" s="3">
        <v>44719</v>
      </c>
      <c r="C17" s="2" t="s">
        <v>577</v>
      </c>
      <c r="D17" t="s">
        <v>6151</v>
      </c>
      <c r="E17" s="2">
        <v>5</v>
      </c>
      <c r="F17" s="2" t="str">
        <f>_xlfn.XLOOKUP(Orders[[#This Row],[Customer ID]],customers!A:A,customers!B:B)</f>
        <v>Llywellyn Oscroft</v>
      </c>
      <c r="G17" s="2" t="str" cm="1">
        <f t="array" ref="G17">IF(_xlfn.XLOOKUP(C17,customers!A16:$A$1001,customers!C16:$C$1001,,0)=0,"",_xlfn.XLOOKUP(C17,customers!A16:$A$1001,customers!C16:$C$1001,,0))</f>
        <v>loscroftf@ebay.co.uk</v>
      </c>
      <c r="H17" s="2" t="str" cm="1">
        <f t="array" ref="H17">_xlfn.XLOOKUP(C17,customers!A16:$A$1001,customers!G16:$G$1001,"Ireland",0)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cm="1">
        <f t="array" ref="N17">_xlfn.IFS(I17="Rob","Robusta",I17="Exc","Excelsa",I17="Ara","Arabica",I17="Lib","Liberica")</f>
        <v>Robusta</v>
      </c>
      <c r="O17" t="str" cm="1">
        <f t="array" ref="O17">_xlfn.IFS(J17="M","Midium",J17="L","Light",J17="D","Dark")</f>
        <v>Midium</v>
      </c>
      <c r="P17" t="str">
        <f>_xlfn.XLOOKUP(Orders[[#This Row],[Customer ID]],customers!A:A,customers!I:I,,0)</f>
        <v>No</v>
      </c>
      <c r="Q17" t="str">
        <f>_xlfn.XLOOKUP(C18,customers!A:A,customers!B:B,"مش موجود")</f>
        <v>Minni Alabaster</v>
      </c>
    </row>
    <row r="18" spans="1:17" x14ac:dyDescent="0.25">
      <c r="A18" s="2" t="s">
        <v>581</v>
      </c>
      <c r="B18" s="3">
        <v>43544</v>
      </c>
      <c r="C18" s="2" t="s">
        <v>582</v>
      </c>
      <c r="D18" t="s">
        <v>6152</v>
      </c>
      <c r="E18" s="2">
        <v>6</v>
      </c>
      <c r="F18" s="2" t="str">
        <f>_xlfn.XLOOKUP(Orders[[#This Row],[Customer ID]],customers!A:A,customers!B:B)</f>
        <v>Minni Alabaster</v>
      </c>
      <c r="G18" s="2" t="str" cm="1">
        <f t="array" ref="G18">IF(_xlfn.XLOOKUP(C18,customers!A17:$A$1001,customers!C17:$C$1001,,0)=0,"",_xlfn.XLOOKUP(C18,customers!A17:$A$1001,customers!C17:$C$1001,,0))</f>
        <v>malabasterg@hexun.com</v>
      </c>
      <c r="H18" s="2" t="str" cm="1">
        <f t="array" ref="H18">_xlfn.XLOOKUP(C18,customers!A17:$A$1001,customers!G17:$G$1001,"Ireland",0)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cm="1">
        <f t="array" ref="N18">_xlfn.IFS(I18="Rob","Robusta",I18="Exc","Excelsa",I18="Ara","Arabica",I18="Lib","Liberica")</f>
        <v>Arabica</v>
      </c>
      <c r="O18" t="str" cm="1">
        <f t="array" ref="O18">_xlfn.IFS(J18="M","Midium",J18="L","Light",J18="D","Dark")</f>
        <v>Midium</v>
      </c>
      <c r="P18" t="str">
        <f>_xlfn.XLOOKUP(Orders[[#This Row],[Customer ID]],customers!A:A,customers!I:I,,0)</f>
        <v>No</v>
      </c>
      <c r="Q18" t="str">
        <f>_xlfn.XLOOKUP(C19,customers!A:A,customers!B:B,"مش موجود")</f>
        <v>Rhianon Broxup</v>
      </c>
    </row>
    <row r="19" spans="1:17" x14ac:dyDescent="0.25">
      <c r="A19" s="2" t="s">
        <v>587</v>
      </c>
      <c r="B19" s="3">
        <v>43757</v>
      </c>
      <c r="C19" s="2" t="s">
        <v>588</v>
      </c>
      <c r="D19" t="s">
        <v>6140</v>
      </c>
      <c r="E19" s="2">
        <v>6</v>
      </c>
      <c r="F19" s="2" t="str">
        <f>_xlfn.XLOOKUP(Orders[[#This Row],[Customer ID]],customers!A:A,customers!B:B)</f>
        <v>Rhianon Broxup</v>
      </c>
      <c r="G19" s="2" t="str" cm="1">
        <f t="array" ref="G19">IF(_xlfn.XLOOKUP(C19,customers!A18:$A$1001,customers!C18:$C$1001,,0)=0,"",_xlfn.XLOOKUP(C19,customers!A18:$A$1001,customers!C18:$C$1001,,0))</f>
        <v>rbroxuph@jimdo.com</v>
      </c>
      <c r="H19" s="2" t="str" cm="1">
        <f t="array" ref="H19">_xlfn.XLOOKUP(C19,customers!A18:$A$1001,customers!G18:$G$1001,"Ireland",0)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cm="1">
        <f t="array" ref="N19">_xlfn.IFS(I19="Rob","Robusta",I19="Exc","Excelsa",I19="Ara","Arabica",I19="Lib","Liberica")</f>
        <v>Arabica</v>
      </c>
      <c r="O19" t="str" cm="1">
        <f t="array" ref="O19">_xlfn.IFS(J19="M","Midium",J19="L","Light",J19="D","Dark")</f>
        <v>Light</v>
      </c>
      <c r="P19" t="str">
        <f>_xlfn.XLOOKUP(Orders[[#This Row],[Customer ID]],customers!A:A,customers!I:I,,0)</f>
        <v>No</v>
      </c>
      <c r="Q19" t="str">
        <f>_xlfn.XLOOKUP(C20,customers!A:A,customers!B:B,"مش موجود")</f>
        <v>Pall Redford</v>
      </c>
    </row>
    <row r="20" spans="1:17" x14ac:dyDescent="0.25">
      <c r="A20" s="2" t="s">
        <v>593</v>
      </c>
      <c r="B20" s="3">
        <v>43629</v>
      </c>
      <c r="C20" s="2" t="s">
        <v>594</v>
      </c>
      <c r="D20" t="s">
        <v>6149</v>
      </c>
      <c r="E20" s="2">
        <v>4</v>
      </c>
      <c r="F20" s="2" t="str">
        <f>_xlfn.XLOOKUP(Orders[[#This Row],[Customer ID]],customers!A:A,customers!B:B)</f>
        <v>Pall Redford</v>
      </c>
      <c r="G20" s="2" t="str" cm="1">
        <f t="array" ref="G20">IF(_xlfn.XLOOKUP(C20,customers!A19:$A$1001,customers!C19:$C$1001,,0)=0,"",_xlfn.XLOOKUP(C20,customers!A19:$A$1001,customers!C19:$C$1001,,0))</f>
        <v>predfordi@ow.ly</v>
      </c>
      <c r="H20" s="2" t="str" cm="1">
        <f t="array" ref="H20">_xlfn.XLOOKUP(C20,customers!A19:$A$1001,customers!G19:$G$1001,"Ireland",0)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cm="1">
        <f t="array" ref="N20">_xlfn.IFS(I20="Rob","Robusta",I20="Exc","Excelsa",I20="Ara","Arabica",I20="Lib","Liberica")</f>
        <v>Robusta</v>
      </c>
      <c r="O20" t="str" cm="1">
        <f t="array" ref="O20">_xlfn.IFS(J20="M","Midium",J20="L","Light",J20="D","Dark")</f>
        <v>Dark</v>
      </c>
      <c r="P20" t="str">
        <f>_xlfn.XLOOKUP(Orders[[#This Row],[Customer ID]],customers!A:A,customers!I:I,,0)</f>
        <v>Yes</v>
      </c>
      <c r="Q20" t="str">
        <f>_xlfn.XLOOKUP(C21,customers!A:A,customers!B:B,"مش موجود")</f>
        <v>Aurea Corradino</v>
      </c>
    </row>
    <row r="21" spans="1:17" x14ac:dyDescent="0.25">
      <c r="A21" s="2" t="s">
        <v>598</v>
      </c>
      <c r="B21" s="3">
        <v>44169</v>
      </c>
      <c r="C21" s="2" t="s">
        <v>599</v>
      </c>
      <c r="D21" t="s">
        <v>6152</v>
      </c>
      <c r="E21" s="2">
        <v>5</v>
      </c>
      <c r="F21" s="2" t="str">
        <f>_xlfn.XLOOKUP(Orders[[#This Row],[Customer ID]],customers!A:A,customers!B:B)</f>
        <v>Aurea Corradino</v>
      </c>
      <c r="G21" s="2" t="str" cm="1">
        <f t="array" ref="G21">IF(_xlfn.XLOOKUP(C21,customers!A20:$A$1001,customers!C20:$C$1001,,0)=0,"",_xlfn.XLOOKUP(C21,customers!A20:$A$1001,customers!C20:$C$1001,,0))</f>
        <v>acorradinoj@harvard.edu</v>
      </c>
      <c r="H21" s="2" t="str" cm="1">
        <f t="array" ref="H21">_xlfn.XLOOKUP(C21,customers!A20:$A$1001,customers!G20:$G$1001,"Ireland",0)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cm="1">
        <f t="array" ref="N21">_xlfn.IFS(I21="Rob","Robusta",I21="Exc","Excelsa",I21="Ara","Arabica",I21="Lib","Liberica")</f>
        <v>Arabica</v>
      </c>
      <c r="O21" t="str" cm="1">
        <f t="array" ref="O21">_xlfn.IFS(J21="M","Midium",J21="L","Light",J21="D","Dark")</f>
        <v>Midium</v>
      </c>
      <c r="P21" t="str">
        <f>_xlfn.XLOOKUP(Orders[[#This Row],[Customer ID]],customers!A:A,customers!I:I,,0)</f>
        <v>Yes</v>
      </c>
      <c r="Q21" t="str">
        <f>_xlfn.XLOOKUP(C22,customers!A:A,customers!B:B,"مش موجود")</f>
        <v>Aurea Corradino</v>
      </c>
    </row>
    <row r="22" spans="1:17" x14ac:dyDescent="0.25">
      <c r="A22" s="2" t="s">
        <v>598</v>
      </c>
      <c r="B22" s="3">
        <v>44169</v>
      </c>
      <c r="C22" s="2" t="s">
        <v>599</v>
      </c>
      <c r="D22" t="s">
        <v>6153</v>
      </c>
      <c r="E22" s="2">
        <v>4</v>
      </c>
      <c r="F22" s="2" t="str">
        <f>_xlfn.XLOOKUP(Orders[[#This Row],[Customer ID]],customers!A:A,customers!B:B)</f>
        <v>Aurea Corradino</v>
      </c>
      <c r="G22" s="2" t="str" cm="1">
        <f t="array" ref="G22">IF(_xlfn.XLOOKUP(C22,customers!A21:$A$1001,customers!C21:$C$1001,,0)=0,"",_xlfn.XLOOKUP(C22,customers!A21:$A$1001,customers!C21:$C$1001,,0))</f>
        <v>acorradinoj@harvard.edu</v>
      </c>
      <c r="H22" s="2" t="str" cm="1">
        <f t="array" ref="H22">_xlfn.XLOOKUP(C22,customers!A21:$A$1001,customers!G21:$G$1001,"Ireland",0)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cm="1">
        <f t="array" ref="N22">_xlfn.IFS(I22="Rob","Robusta",I22="Exc","Excelsa",I22="Ara","Arabica",I22="Lib","Liberica")</f>
        <v>Excelsa</v>
      </c>
      <c r="O22" t="str" cm="1">
        <f t="array" ref="O22">_xlfn.IFS(J22="M","Midium",J22="L","Light",J22="D","Dark")</f>
        <v>Dark</v>
      </c>
      <c r="P22" t="str">
        <f>_xlfn.XLOOKUP(Orders[[#This Row],[Customer ID]],customers!A:A,customers!I:I,,0)</f>
        <v>Yes</v>
      </c>
      <c r="Q22" t="str">
        <f>_xlfn.XLOOKUP(C23,customers!A:A,customers!B:B,"مش موجود")</f>
        <v>Avrit Davidowsky</v>
      </c>
    </row>
    <row r="23" spans="1:17" x14ac:dyDescent="0.25">
      <c r="A23" s="2" t="s">
        <v>608</v>
      </c>
      <c r="B23" s="3">
        <v>44169</v>
      </c>
      <c r="C23" s="2" t="s">
        <v>609</v>
      </c>
      <c r="D23" t="s">
        <v>6154</v>
      </c>
      <c r="E23" s="2">
        <v>6</v>
      </c>
      <c r="F23" s="2" t="str">
        <f>_xlfn.XLOOKUP(Orders[[#This Row],[Customer ID]],customers!A:A,customers!B:B)</f>
        <v>Avrit Davidowsky</v>
      </c>
      <c r="G23" s="2" t="str" cm="1">
        <f t="array" ref="G23">IF(_xlfn.XLOOKUP(C23,customers!A22:$A$1001,customers!C22:$C$1001,,0)=0,"",_xlfn.XLOOKUP(C23,customers!A22:$A$1001,customers!C22:$C$1001,,0))</f>
        <v>adavidowskyl@netvibes.com</v>
      </c>
      <c r="H23" s="2" t="str" cm="1">
        <f t="array" ref="H23">_xlfn.XLOOKUP(C23,customers!A22:$A$1001,customers!G22:$G$1001,"Ireland",0)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cm="1">
        <f t="array" ref="N23">_xlfn.IFS(I23="Rob","Robusta",I23="Exc","Excelsa",I23="Ara","Arabica",I23="Lib","Liberica")</f>
        <v>Arabica</v>
      </c>
      <c r="O23" t="str" cm="1">
        <f t="array" ref="O23">_xlfn.IFS(J23="M","Midium",J23="L","Light",J23="D","Dark")</f>
        <v>Dark</v>
      </c>
      <c r="P23" t="str">
        <f>_xlfn.XLOOKUP(Orders[[#This Row],[Customer ID]],customers!A:A,customers!I:I,,0)</f>
        <v>No</v>
      </c>
      <c r="Q23" t="str">
        <f>_xlfn.XLOOKUP(C24,customers!A:A,customers!B:B,"مش موجود")</f>
        <v>Annabel Antuk</v>
      </c>
    </row>
    <row r="24" spans="1:17" x14ac:dyDescent="0.25">
      <c r="A24" s="2" t="s">
        <v>614</v>
      </c>
      <c r="B24" s="3">
        <v>44218</v>
      </c>
      <c r="C24" s="2" t="s">
        <v>615</v>
      </c>
      <c r="D24" t="s">
        <v>6151</v>
      </c>
      <c r="E24" s="2">
        <v>4</v>
      </c>
      <c r="F24" s="2" t="str">
        <f>_xlfn.XLOOKUP(Orders[[#This Row],[Customer ID]],customers!A:A,customers!B:B)</f>
        <v>Annabel Antuk</v>
      </c>
      <c r="G24" s="2" t="str" cm="1">
        <f t="array" ref="G24">IF(_xlfn.XLOOKUP(C24,customers!A23:$A$1001,customers!C23:$C$1001,,0)=0,"",_xlfn.XLOOKUP(C24,customers!A23:$A$1001,customers!C23:$C$1001,,0))</f>
        <v>aantukm@kickstarter.com</v>
      </c>
      <c r="H24" s="2" t="str" cm="1">
        <f t="array" ref="H24">_xlfn.XLOOKUP(C24,customers!A23:$A$1001,customers!G23:$G$1001,"Ireland",0)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cm="1">
        <f t="array" ref="N24">_xlfn.IFS(I24="Rob","Robusta",I24="Exc","Excelsa",I24="Ara","Arabica",I24="Lib","Liberica")</f>
        <v>Robusta</v>
      </c>
      <c r="O24" t="str" cm="1">
        <f t="array" ref="O24">_xlfn.IFS(J24="M","Midium",J24="L","Light",J24="D","Dark")</f>
        <v>Midium</v>
      </c>
      <c r="P24" t="str">
        <f>_xlfn.XLOOKUP(Orders[[#This Row],[Customer ID]],customers!A:A,customers!I:I,,0)</f>
        <v>Yes</v>
      </c>
      <c r="Q24" t="str">
        <f>_xlfn.XLOOKUP(C25,customers!A:A,customers!B:B,"مش موجود")</f>
        <v>Iorgo Kleinert</v>
      </c>
    </row>
    <row r="25" spans="1:17" x14ac:dyDescent="0.25">
      <c r="A25" s="2" t="s">
        <v>620</v>
      </c>
      <c r="B25" s="3">
        <v>44603</v>
      </c>
      <c r="C25" s="2" t="s">
        <v>621</v>
      </c>
      <c r="D25" t="s">
        <v>6154</v>
      </c>
      <c r="E25" s="2">
        <v>4</v>
      </c>
      <c r="F25" s="2" t="str">
        <f>_xlfn.XLOOKUP(Orders[[#This Row],[Customer ID]],customers!A:A,customers!B:B)</f>
        <v>Iorgo Kleinert</v>
      </c>
      <c r="G25" s="2" t="str" cm="1">
        <f t="array" ref="G25">IF(_xlfn.XLOOKUP(C25,customers!A24:$A$1001,customers!C24:$C$1001,,0)=0,"",_xlfn.XLOOKUP(C25,customers!A24:$A$1001,customers!C24:$C$1001,,0))</f>
        <v>ikleinertn@timesonline.co.uk</v>
      </c>
      <c r="H25" s="2" t="str" cm="1">
        <f t="array" ref="H25">_xlfn.XLOOKUP(C25,customers!A24:$A$1001,customers!G24:$G$1001,"Ireland",0)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cm="1">
        <f t="array" ref="N25">_xlfn.IFS(I25="Rob","Robusta",I25="Exc","Excelsa",I25="Ara","Arabica",I25="Lib","Liberica")</f>
        <v>Arabica</v>
      </c>
      <c r="O25" t="str" cm="1">
        <f t="array" ref="O25">_xlfn.IFS(J25="M","Midium",J25="L","Light",J25="D","Dark")</f>
        <v>Dark</v>
      </c>
      <c r="P25" t="str">
        <f>_xlfn.XLOOKUP(Orders[[#This Row],[Customer ID]],customers!A:A,customers!I:I,,0)</f>
        <v>Yes</v>
      </c>
      <c r="Q25" t="str">
        <f>_xlfn.XLOOKUP(C26,customers!A:A,customers!B:B,"مش موجود")</f>
        <v>Chrisy Blofeld</v>
      </c>
    </row>
    <row r="26" spans="1:17" x14ac:dyDescent="0.25">
      <c r="A26" s="2" t="s">
        <v>626</v>
      </c>
      <c r="B26" s="3">
        <v>44454</v>
      </c>
      <c r="C26" s="2" t="s">
        <v>627</v>
      </c>
      <c r="D26" t="s">
        <v>6155</v>
      </c>
      <c r="E26" s="2">
        <v>1</v>
      </c>
      <c r="F26" s="2" t="str">
        <f>_xlfn.XLOOKUP(Orders[[#This Row],[Customer ID]],customers!A:A,customers!B:B)</f>
        <v>Chrisy Blofeld</v>
      </c>
      <c r="G26" s="2" t="str" cm="1">
        <f t="array" ref="G26">IF(_xlfn.XLOOKUP(C26,customers!A25:$A$1001,customers!C25:$C$1001,,0)=0,"",_xlfn.XLOOKUP(C26,customers!A25:$A$1001,customers!C25:$C$1001,,0))</f>
        <v>cblofeldo@amazon.co.uk</v>
      </c>
      <c r="H26" s="2" t="str" cm="1">
        <f t="array" ref="H26">_xlfn.XLOOKUP(C26,customers!A25:$A$1001,customers!G25:$G$1001,"Ireland",0)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cm="1">
        <f t="array" ref="N26">_xlfn.IFS(I26="Rob","Robusta",I26="Exc","Excelsa",I26="Ara","Arabica",I26="Lib","Liberica")</f>
        <v>Arabica</v>
      </c>
      <c r="O26" t="str" cm="1">
        <f t="array" ref="O26">_xlfn.IFS(J26="M","Midium",J26="L","Light",J26="D","Dark")</f>
        <v>Midium</v>
      </c>
      <c r="P26" t="str">
        <f>_xlfn.XLOOKUP(Orders[[#This Row],[Customer ID]],customers!A:A,customers!I:I,,0)</f>
        <v>No</v>
      </c>
      <c r="Q26" t="str">
        <f>_xlfn.XLOOKUP(C27,customers!A:A,customers!B:B,"مش موجود")</f>
        <v>Culley Farris</v>
      </c>
    </row>
    <row r="27" spans="1:17" x14ac:dyDescent="0.25">
      <c r="A27" s="2" t="s">
        <v>632</v>
      </c>
      <c r="B27" s="3">
        <v>44128</v>
      </c>
      <c r="C27" s="2" t="s">
        <v>633</v>
      </c>
      <c r="D27" t="s">
        <v>6156</v>
      </c>
      <c r="E27" s="2">
        <v>3</v>
      </c>
      <c r="F27" s="2" t="str">
        <f>_xlfn.XLOOKUP(Orders[[#This Row],[Customer ID]],customers!A:A,customers!B:B)</f>
        <v>Culley Farris</v>
      </c>
      <c r="G27" s="2" t="str" cm="1">
        <f t="array" ref="G27">IF(_xlfn.XLOOKUP(C27,customers!A26:$A$1001,customers!C26:$C$1001,,0)=0,"",_xlfn.XLOOKUP(C27,customers!A26:$A$1001,customers!C26:$C$1001,,0))</f>
        <v/>
      </c>
      <c r="H27" s="2" t="str" cm="1">
        <f t="array" ref="H27">_xlfn.XLOOKUP(C27,customers!A26:$A$1001,customers!G26:$G$1001,"Ireland",0)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cm="1">
        <f t="array" ref="N27">_xlfn.IFS(I27="Rob","Robusta",I27="Exc","Excelsa",I27="Ara","Arabica",I27="Lib","Liberica")</f>
        <v>Excelsa</v>
      </c>
      <c r="O27" t="str" cm="1">
        <f t="array" ref="O27">_xlfn.IFS(J27="M","Midium",J27="L","Light",J27="D","Dark")</f>
        <v>Midium</v>
      </c>
      <c r="P27" t="str">
        <f>_xlfn.XLOOKUP(Orders[[#This Row],[Customer ID]],customers!A:A,customers!I:I,,0)</f>
        <v>Yes</v>
      </c>
      <c r="Q27" t="str">
        <f>_xlfn.XLOOKUP(C28,customers!A:A,customers!B:B,"مش موجود")</f>
        <v>Selene Shales</v>
      </c>
    </row>
    <row r="28" spans="1:17" x14ac:dyDescent="0.25">
      <c r="A28" s="2" t="s">
        <v>637</v>
      </c>
      <c r="B28" s="3">
        <v>43516</v>
      </c>
      <c r="C28" s="2" t="s">
        <v>638</v>
      </c>
      <c r="D28" t="s">
        <v>6157</v>
      </c>
      <c r="E28" s="2">
        <v>4</v>
      </c>
      <c r="F28" s="2" t="str">
        <f>_xlfn.XLOOKUP(Orders[[#This Row],[Customer ID]],customers!A:A,customers!B:B)</f>
        <v>Selene Shales</v>
      </c>
      <c r="G28" s="2" t="str" cm="1">
        <f t="array" ref="G28">IF(_xlfn.XLOOKUP(C28,customers!A27:$A$1001,customers!C27:$C$1001,,0)=0,"",_xlfn.XLOOKUP(C28,customers!A27:$A$1001,customers!C27:$C$1001,,0))</f>
        <v>sshalesq@umich.edu</v>
      </c>
      <c r="H28" s="2" t="str" cm="1">
        <f t="array" ref="H28">_xlfn.XLOOKUP(C28,customers!A27:$A$1001,customers!G27:$G$1001,"Ireland",0)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cm="1">
        <f t="array" ref="N28">_xlfn.IFS(I28="Rob","Robusta",I28="Exc","Excelsa",I28="Ara","Arabica",I28="Lib","Liberica")</f>
        <v>Arabica</v>
      </c>
      <c r="O28" t="str" cm="1">
        <f t="array" ref="O28">_xlfn.IFS(J28="M","Midium",J28="L","Light",J28="D","Dark")</f>
        <v>Midium</v>
      </c>
      <c r="P28" t="str">
        <f>_xlfn.XLOOKUP(Orders[[#This Row],[Customer ID]],customers!A:A,customers!I:I,,0)</f>
        <v>Yes</v>
      </c>
      <c r="Q28" t="str">
        <f>_xlfn.XLOOKUP(C29,customers!A:A,customers!B:B,"مش موجود")</f>
        <v>Vivie Danneil</v>
      </c>
    </row>
    <row r="29" spans="1:17" x14ac:dyDescent="0.25">
      <c r="A29" s="2" t="s">
        <v>643</v>
      </c>
      <c r="B29" s="3">
        <v>43746</v>
      </c>
      <c r="C29" s="2" t="s">
        <v>644</v>
      </c>
      <c r="D29" t="s">
        <v>6152</v>
      </c>
      <c r="E29" s="2">
        <v>5</v>
      </c>
      <c r="F29" s="2" t="str">
        <f>_xlfn.XLOOKUP(Orders[[#This Row],[Customer ID]],customers!A:A,customers!B:B)</f>
        <v>Vivie Danneil</v>
      </c>
      <c r="G29" s="2" t="str" cm="1">
        <f t="array" ref="G29">IF(_xlfn.XLOOKUP(C29,customers!A28:$A$1001,customers!C28:$C$1001,,0)=0,"",_xlfn.XLOOKUP(C29,customers!A28:$A$1001,customers!C28:$C$1001,,0))</f>
        <v>vdanneilr@mtv.com</v>
      </c>
      <c r="H29" s="2" t="str" cm="1">
        <f t="array" ref="H29">_xlfn.XLOOKUP(C29,customers!A28:$A$1001,customers!G28:$G$1001,"Ireland",0)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cm="1">
        <f t="array" ref="N29">_xlfn.IFS(I29="Rob","Robusta",I29="Exc","Excelsa",I29="Ara","Arabica",I29="Lib","Liberica")</f>
        <v>Arabica</v>
      </c>
      <c r="O29" t="str" cm="1">
        <f t="array" ref="O29">_xlfn.IFS(J29="M","Midium",J29="L","Light",J29="D","Dark")</f>
        <v>Midium</v>
      </c>
      <c r="P29" t="str">
        <f>_xlfn.XLOOKUP(Orders[[#This Row],[Customer ID]],customers!A:A,customers!I:I,,0)</f>
        <v>No</v>
      </c>
      <c r="Q29" t="str">
        <f>_xlfn.XLOOKUP(C30,customers!A:A,customers!B:B,"مش موجود")</f>
        <v>Theresita Newbury</v>
      </c>
    </row>
    <row r="30" spans="1:17" x14ac:dyDescent="0.25">
      <c r="A30" s="2" t="s">
        <v>649</v>
      </c>
      <c r="B30" s="3">
        <v>44775</v>
      </c>
      <c r="C30" s="2" t="s">
        <v>650</v>
      </c>
      <c r="D30" t="s">
        <v>6158</v>
      </c>
      <c r="E30" s="2">
        <v>3</v>
      </c>
      <c r="F30" s="2" t="str">
        <f>_xlfn.XLOOKUP(Orders[[#This Row],[Customer ID]],customers!A:A,customers!B:B)</f>
        <v>Theresita Newbury</v>
      </c>
      <c r="G30" s="2" t="str" cm="1">
        <f t="array" ref="G30">IF(_xlfn.XLOOKUP(C30,customers!A29:$A$1001,customers!C29:$C$1001,,0)=0,"",_xlfn.XLOOKUP(C30,customers!A29:$A$1001,customers!C29:$C$1001,,0))</f>
        <v>tnewburys@usda.gov</v>
      </c>
      <c r="H30" s="2" t="str" cm="1">
        <f t="array" ref="H30">_xlfn.XLOOKUP(C30,customers!A29:$A$1001,customers!G29:$G$1001,"Ireland",0)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cm="1">
        <f t="array" ref="N30">_xlfn.IFS(I30="Rob","Robusta",I30="Exc","Excelsa",I30="Ara","Arabica",I30="Lib","Liberica")</f>
        <v>Arabica</v>
      </c>
      <c r="O30" t="str" cm="1">
        <f t="array" ref="O30">_xlfn.IFS(J30="M","Midium",J30="L","Light",J30="D","Dark")</f>
        <v>Dark</v>
      </c>
      <c r="P30" t="str">
        <f>_xlfn.XLOOKUP(Orders[[#This Row],[Customer ID]],customers!A:A,customers!I:I,,0)</f>
        <v>No</v>
      </c>
      <c r="Q30" t="str">
        <f>_xlfn.XLOOKUP(C31,customers!A:A,customers!B:B,"مش موجود")</f>
        <v>Mozelle Calcutt</v>
      </c>
    </row>
    <row r="31" spans="1:17" x14ac:dyDescent="0.25">
      <c r="A31" s="2" t="s">
        <v>655</v>
      </c>
      <c r="B31" s="3">
        <v>43516</v>
      </c>
      <c r="C31" s="2" t="s">
        <v>656</v>
      </c>
      <c r="D31" t="s">
        <v>6147</v>
      </c>
      <c r="E31" s="2">
        <v>4</v>
      </c>
      <c r="F31" s="2" t="str">
        <f>_xlfn.XLOOKUP(Orders[[#This Row],[Customer ID]],customers!A:A,customers!B:B)</f>
        <v>Mozelle Calcutt</v>
      </c>
      <c r="G31" s="2" t="str" cm="1">
        <f t="array" ref="G31">IF(_xlfn.XLOOKUP(C31,customers!A30:$A$1001,customers!C30:$C$1001,,0)=0,"",_xlfn.XLOOKUP(C31,customers!A30:$A$1001,customers!C30:$C$1001,,0))</f>
        <v>mcalcuttt@baidu.com</v>
      </c>
      <c r="H31" s="2" t="str" cm="1">
        <f t="array" ref="H31">_xlfn.XLOOKUP(C31,customers!A30:$A$1001,customers!G30:$G$1001,"Ireland",0)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cm="1">
        <f t="array" ref="N31">_xlfn.IFS(I31="Rob","Robusta",I31="Exc","Excelsa",I31="Ara","Arabica",I31="Lib","Liberica")</f>
        <v>Arabica</v>
      </c>
      <c r="O31" t="str" cm="1">
        <f t="array" ref="O31">_xlfn.IFS(J31="M","Midium",J31="L","Light",J31="D","Dark")</f>
        <v>Dark</v>
      </c>
      <c r="P31" t="str">
        <f>_xlfn.XLOOKUP(Orders[[#This Row],[Customer ID]],customers!A:A,customers!I:I,,0)</f>
        <v>Yes</v>
      </c>
      <c r="Q31" t="str">
        <f>_xlfn.XLOOKUP(C32,customers!A:A,customers!B:B,"مش موجود")</f>
        <v>Adrian Swaine</v>
      </c>
    </row>
    <row r="32" spans="1:17" x14ac:dyDescent="0.25">
      <c r="A32" s="2" t="s">
        <v>661</v>
      </c>
      <c r="B32" s="3">
        <v>44464</v>
      </c>
      <c r="C32" s="2" t="s">
        <v>662</v>
      </c>
      <c r="D32" t="s">
        <v>6159</v>
      </c>
      <c r="E32" s="2">
        <v>5</v>
      </c>
      <c r="F32" s="2" t="str">
        <f>_xlfn.XLOOKUP(Orders[[#This Row],[Customer ID]],customers!A:A,customers!B:B)</f>
        <v>Adrian Swaine</v>
      </c>
      <c r="G32" s="2" t="str" cm="1">
        <f t="array" ref="G32">IF(_xlfn.XLOOKUP(C32,customers!A31:$A$1001,customers!C31:$C$1001,,0)=0,"",_xlfn.XLOOKUP(C32,customers!A31:$A$1001,customers!C31:$C$1001,,0))</f>
        <v/>
      </c>
      <c r="H32" s="2" t="str" cm="1">
        <f t="array" ref="H32">_xlfn.XLOOKUP(C32,customers!A31:$A$1001,customers!G31:$G$1001,"Ireland",0)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cm="1">
        <f t="array" ref="N32">_xlfn.IFS(I32="Rob","Robusta",I32="Exc","Excelsa",I32="Ara","Arabica",I32="Lib","Liberica")</f>
        <v>Liberica</v>
      </c>
      <c r="O32" t="str" cm="1">
        <f t="array" ref="O32">_xlfn.IFS(J32="M","Midium",J32="L","Light",J32="D","Dark")</f>
        <v>Midium</v>
      </c>
      <c r="P32" t="str">
        <f>_xlfn.XLOOKUP(Orders[[#This Row],[Customer ID]],customers!A:A,customers!I:I,,0)</f>
        <v>No</v>
      </c>
      <c r="Q32" t="str">
        <f>_xlfn.XLOOKUP(C33,customers!A:A,customers!B:B,"مش موجود")</f>
        <v>Adrian Swaine</v>
      </c>
    </row>
    <row r="33" spans="1:17" x14ac:dyDescent="0.25">
      <c r="A33" s="2" t="s">
        <v>661</v>
      </c>
      <c r="B33" s="3">
        <v>44464</v>
      </c>
      <c r="C33" s="2" t="s">
        <v>662</v>
      </c>
      <c r="D33" t="s">
        <v>6158</v>
      </c>
      <c r="E33" s="2">
        <v>6</v>
      </c>
      <c r="F33" s="2" t="str">
        <f>_xlfn.XLOOKUP(Orders[[#This Row],[Customer ID]],customers!A:A,customers!B:B)</f>
        <v>Adrian Swaine</v>
      </c>
      <c r="G33" s="2" t="str" cm="1">
        <f t="array" ref="G33">IF(_xlfn.XLOOKUP(C33,customers!A32:$A$1001,customers!C32:$C$1001,,0)=0,"",_xlfn.XLOOKUP(C33,customers!A32:$A$1001,customers!C32:$C$1001,,0))</f>
        <v/>
      </c>
      <c r="H33" s="2" t="str" cm="1">
        <f t="array" ref="H33">_xlfn.XLOOKUP(C33,customers!A32:$A$1001,customers!G32:$G$1001,"Ireland",0)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cm="1">
        <f t="array" ref="N33">_xlfn.IFS(I33="Rob","Robusta",I33="Exc","Excelsa",I33="Ara","Arabica",I33="Lib","Liberica")</f>
        <v>Arabica</v>
      </c>
      <c r="O33" t="str" cm="1">
        <f t="array" ref="O33">_xlfn.IFS(J33="M","Midium",J33="L","Light",J33="D","Dark")</f>
        <v>Dark</v>
      </c>
      <c r="P33" t="str">
        <f>_xlfn.XLOOKUP(Orders[[#This Row],[Customer ID]],customers!A:A,customers!I:I,,0)</f>
        <v>No</v>
      </c>
      <c r="Q33" t="str">
        <f>_xlfn.XLOOKUP(C34,customers!A:A,customers!B:B,"مش موجود")</f>
        <v>Adrian Swaine</v>
      </c>
    </row>
    <row r="34" spans="1:17" x14ac:dyDescent="0.25">
      <c r="A34" s="2" t="s">
        <v>661</v>
      </c>
      <c r="B34" s="3">
        <v>44464</v>
      </c>
      <c r="C34" s="2" t="s">
        <v>662</v>
      </c>
      <c r="D34" t="s">
        <v>6160</v>
      </c>
      <c r="E34" s="2">
        <v>6</v>
      </c>
      <c r="F34" s="2" t="str">
        <f>_xlfn.XLOOKUP(Orders[[#This Row],[Customer ID]],customers!A:A,customers!B:B)</f>
        <v>Adrian Swaine</v>
      </c>
      <c r="G34" s="2" t="e" cm="1">
        <f t="array" ref="G34">IF(_xlfn.XLOOKUP(C34,customers!A33:$A$1001,customers!C33:$C$1001,,0)=0,"",_xlfn.XLOOKUP(C34,customers!A33:$A$1001,customers!C33:$C$1001,,0))</f>
        <v>#N/A</v>
      </c>
      <c r="H34" s="2" t="str" cm="1">
        <f t="array" ref="H34">_xlfn.XLOOKUP(C34,customers!A33:$A$1001,customers!G33:$G$1001,"Ireland",0)</f>
        <v>Ireland</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cm="1">
        <f t="array" ref="N34">_xlfn.IFS(I34="Rob","Robusta",I34="Exc","Excelsa",I34="Ara","Arabica",I34="Lib","Liberica")</f>
        <v>Liberica</v>
      </c>
      <c r="O34" t="str" cm="1">
        <f t="array" ref="O34">_xlfn.IFS(J34="M","Midium",J34="L","Light",J34="D","Dark")</f>
        <v>Midium</v>
      </c>
      <c r="P34" t="str">
        <f>_xlfn.XLOOKUP(Orders[[#This Row],[Customer ID]],customers!A:A,customers!I:I,,0)</f>
        <v>No</v>
      </c>
      <c r="Q34" t="str">
        <f>_xlfn.XLOOKUP(C35,customers!A:A,customers!B:B,"مش موجود")</f>
        <v>Gallard Gatheral</v>
      </c>
    </row>
    <row r="35" spans="1:17" x14ac:dyDescent="0.25">
      <c r="A35" s="2" t="s">
        <v>676</v>
      </c>
      <c r="B35" s="3">
        <v>44394</v>
      </c>
      <c r="C35" s="2" t="s">
        <v>677</v>
      </c>
      <c r="D35" t="s">
        <v>6145</v>
      </c>
      <c r="E35" s="2">
        <v>5</v>
      </c>
      <c r="F35" s="2" t="str">
        <f>_xlfn.XLOOKUP(Orders[[#This Row],[Customer ID]],customers!A:A,customers!B:B)</f>
        <v>Gallard Gatheral</v>
      </c>
      <c r="G35" s="2" t="str" cm="1">
        <f t="array" ref="G35">IF(_xlfn.XLOOKUP(C35,customers!A34:$A$1001,customers!C34:$C$1001,,0)=0,"",_xlfn.XLOOKUP(C35,customers!A34:$A$1001,customers!C34:$C$1001,,0))</f>
        <v>ggatheralx@123-reg.co.uk</v>
      </c>
      <c r="H35" s="2" t="str" cm="1">
        <f t="array" ref="H35">_xlfn.XLOOKUP(C35,customers!A34:$A$1001,customers!G34:$G$1001,"Ireland",0)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cm="1">
        <f t="array" ref="N35">_xlfn.IFS(I35="Rob","Robusta",I35="Exc","Excelsa",I35="Ara","Arabica",I35="Lib","Liberica")</f>
        <v>Liberica</v>
      </c>
      <c r="O35" t="str" cm="1">
        <f t="array" ref="O35">_xlfn.IFS(J35="M","Midium",J35="L","Light",J35="D","Dark")</f>
        <v>Light</v>
      </c>
      <c r="P35" t="str">
        <f>_xlfn.XLOOKUP(Orders[[#This Row],[Customer ID]],customers!A:A,customers!I:I,,0)</f>
        <v>No</v>
      </c>
      <c r="Q35" t="str">
        <f>_xlfn.XLOOKUP(C36,customers!A:A,customers!B:B,"مش موجود")</f>
        <v>Una Welberry</v>
      </c>
    </row>
    <row r="36" spans="1:17" x14ac:dyDescent="0.25">
      <c r="A36" s="2" t="s">
        <v>681</v>
      </c>
      <c r="B36" s="3">
        <v>44011</v>
      </c>
      <c r="C36" s="2" t="s">
        <v>682</v>
      </c>
      <c r="D36" t="s">
        <v>6161</v>
      </c>
      <c r="E36" s="2">
        <v>6</v>
      </c>
      <c r="F36" s="2" t="str">
        <f>_xlfn.XLOOKUP(Orders[[#This Row],[Customer ID]],customers!A:A,customers!B:B)</f>
        <v>Una Welberry</v>
      </c>
      <c r="G36" s="2" t="str" cm="1">
        <f t="array" ref="G36">IF(_xlfn.XLOOKUP(C36,customers!A35:$A$1001,customers!C35:$C$1001,,0)=0,"",_xlfn.XLOOKUP(C36,customers!A35:$A$1001,customers!C35:$C$1001,,0))</f>
        <v>uwelberryy@ebay.co.uk</v>
      </c>
      <c r="H36" s="2" t="str" cm="1">
        <f t="array" ref="H36">_xlfn.XLOOKUP(C36,customers!A35:$A$1001,customers!G35:$G$1001,"Ireland",0)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cm="1">
        <f t="array" ref="N36">_xlfn.IFS(I36="Rob","Robusta",I36="Exc","Excelsa",I36="Ara","Arabica",I36="Lib","Liberica")</f>
        <v>Liberica</v>
      </c>
      <c r="O36" t="str" cm="1">
        <f t="array" ref="O36">_xlfn.IFS(J36="M","Midium",J36="L","Light",J36="D","Dark")</f>
        <v>Light</v>
      </c>
      <c r="P36" t="str">
        <f>_xlfn.XLOOKUP(Orders[[#This Row],[Customer ID]],customers!A:A,customers!I:I,,0)</f>
        <v>Yes</v>
      </c>
      <c r="Q36" t="str">
        <f>_xlfn.XLOOKUP(C37,customers!A:A,customers!B:B,"مش موجود")</f>
        <v>Faber Eilhart</v>
      </c>
    </row>
    <row r="37" spans="1:17" x14ac:dyDescent="0.25">
      <c r="A37" s="2" t="s">
        <v>687</v>
      </c>
      <c r="B37" s="3">
        <v>44348</v>
      </c>
      <c r="C37" s="2" t="s">
        <v>688</v>
      </c>
      <c r="D37" t="s">
        <v>6158</v>
      </c>
      <c r="E37" s="2">
        <v>6</v>
      </c>
      <c r="F37" s="2" t="str">
        <f>_xlfn.XLOOKUP(Orders[[#This Row],[Customer ID]],customers!A:A,customers!B:B)</f>
        <v>Faber Eilhart</v>
      </c>
      <c r="G37" s="2" t="str" cm="1">
        <f t="array" ref="G37">IF(_xlfn.XLOOKUP(C37,customers!A36:$A$1001,customers!C36:$C$1001,,0)=0,"",_xlfn.XLOOKUP(C37,customers!A36:$A$1001,customers!C36:$C$1001,,0))</f>
        <v>feilhartz@who.int</v>
      </c>
      <c r="H37" s="2" t="str" cm="1">
        <f t="array" ref="H37">_xlfn.XLOOKUP(C37,customers!A36:$A$1001,customers!G36:$G$1001,"Ireland",0)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cm="1">
        <f t="array" ref="N37">_xlfn.IFS(I37="Rob","Robusta",I37="Exc","Excelsa",I37="Ara","Arabica",I37="Lib","Liberica")</f>
        <v>Arabica</v>
      </c>
      <c r="O37" t="str" cm="1">
        <f t="array" ref="O37">_xlfn.IFS(J37="M","Midium",J37="L","Light",J37="D","Dark")</f>
        <v>Dark</v>
      </c>
      <c r="P37" t="str">
        <f>_xlfn.XLOOKUP(Orders[[#This Row],[Customer ID]],customers!A:A,customers!I:I,,0)</f>
        <v>No</v>
      </c>
      <c r="Q37" t="str">
        <f>_xlfn.XLOOKUP(C38,customers!A:A,customers!B:B,"مش موجود")</f>
        <v>Zorina Ponting</v>
      </c>
    </row>
    <row r="38" spans="1:17" x14ac:dyDescent="0.25">
      <c r="A38" s="2" t="s">
        <v>693</v>
      </c>
      <c r="B38" s="3">
        <v>44233</v>
      </c>
      <c r="C38" s="2" t="s">
        <v>694</v>
      </c>
      <c r="D38" t="s">
        <v>6159</v>
      </c>
      <c r="E38" s="2">
        <v>2</v>
      </c>
      <c r="F38" s="2" t="str">
        <f>_xlfn.XLOOKUP(Orders[[#This Row],[Customer ID]],customers!A:A,customers!B:B)</f>
        <v>Zorina Ponting</v>
      </c>
      <c r="G38" s="2" t="str" cm="1">
        <f t="array" ref="G38">IF(_xlfn.XLOOKUP(C38,customers!A37:$A$1001,customers!C37:$C$1001,,0)=0,"",_xlfn.XLOOKUP(C38,customers!A37:$A$1001,customers!C37:$C$1001,,0))</f>
        <v>zponting10@altervista.org</v>
      </c>
      <c r="H38" s="2" t="str" cm="1">
        <f t="array" ref="H38">_xlfn.XLOOKUP(C38,customers!A37:$A$1001,customers!G37:$G$1001,"Ireland",0)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cm="1">
        <f t="array" ref="N38">_xlfn.IFS(I38="Rob","Robusta",I38="Exc","Excelsa",I38="Ara","Arabica",I38="Lib","Liberica")</f>
        <v>Liberica</v>
      </c>
      <c r="O38" t="str" cm="1">
        <f t="array" ref="O38">_xlfn.IFS(J38="M","Midium",J38="L","Light",J38="D","Dark")</f>
        <v>Midium</v>
      </c>
      <c r="P38" t="str">
        <f>_xlfn.XLOOKUP(Orders[[#This Row],[Customer ID]],customers!A:A,customers!I:I,,0)</f>
        <v>No</v>
      </c>
      <c r="Q38" t="str">
        <f>_xlfn.XLOOKUP(C39,customers!A:A,customers!B:B,"مش موجود")</f>
        <v>Silvio Strase</v>
      </c>
    </row>
    <row r="39" spans="1:17" x14ac:dyDescent="0.25">
      <c r="A39" s="2" t="s">
        <v>699</v>
      </c>
      <c r="B39" s="3">
        <v>43580</v>
      </c>
      <c r="C39" s="2" t="s">
        <v>700</v>
      </c>
      <c r="D39" t="s">
        <v>6161</v>
      </c>
      <c r="E39" s="2">
        <v>3</v>
      </c>
      <c r="F39" s="2" t="str">
        <f>_xlfn.XLOOKUP(Orders[[#This Row],[Customer ID]],customers!A:A,customers!B:B)</f>
        <v>Silvio Strase</v>
      </c>
      <c r="G39" s="2" t="str" cm="1">
        <f t="array" ref="G39">IF(_xlfn.XLOOKUP(C39,customers!A38:$A$1001,customers!C38:$C$1001,,0)=0,"",_xlfn.XLOOKUP(C39,customers!A38:$A$1001,customers!C38:$C$1001,,0))</f>
        <v>sstrase11@booking.com</v>
      </c>
      <c r="H39" s="2" t="str" cm="1">
        <f t="array" ref="H39">_xlfn.XLOOKUP(C39,customers!A38:$A$1001,customers!G38:$G$1001,"Ireland",0)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cm="1">
        <f t="array" ref="N39">_xlfn.IFS(I39="Rob","Robusta",I39="Exc","Excelsa",I39="Ara","Arabica",I39="Lib","Liberica")</f>
        <v>Liberica</v>
      </c>
      <c r="O39" t="str" cm="1">
        <f t="array" ref="O39">_xlfn.IFS(J39="M","Midium",J39="L","Light",J39="D","Dark")</f>
        <v>Light</v>
      </c>
      <c r="P39" t="str">
        <f>_xlfn.XLOOKUP(Orders[[#This Row],[Customer ID]],customers!A:A,customers!I:I,,0)</f>
        <v>No</v>
      </c>
      <c r="Q39" t="str">
        <f>_xlfn.XLOOKUP(C40,customers!A:A,customers!B:B,"مش موجود")</f>
        <v>Dorie de la Tremoille</v>
      </c>
    </row>
    <row r="40" spans="1:17" x14ac:dyDescent="0.25">
      <c r="A40" s="2" t="s">
        <v>705</v>
      </c>
      <c r="B40" s="3">
        <v>43946</v>
      </c>
      <c r="C40" s="2" t="s">
        <v>706</v>
      </c>
      <c r="D40" t="s">
        <v>6151</v>
      </c>
      <c r="E40" s="2">
        <v>5</v>
      </c>
      <c r="F40" s="2" t="str">
        <f>_xlfn.XLOOKUP(Orders[[#This Row],[Customer ID]],customers!A:A,customers!B:B)</f>
        <v>Dorie de la Tremoille</v>
      </c>
      <c r="G40" s="2" t="str" cm="1">
        <f t="array" ref="G40">IF(_xlfn.XLOOKUP(C40,customers!A39:$A$1001,customers!C39:$C$1001,,0)=0,"",_xlfn.XLOOKUP(C40,customers!A39:$A$1001,customers!C39:$C$1001,,0))</f>
        <v>dde12@unesco.org</v>
      </c>
      <c r="H40" s="2" t="str" cm="1">
        <f t="array" ref="H40">_xlfn.XLOOKUP(C40,customers!A39:$A$1001,customers!G39:$G$1001,"Ireland",0)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cm="1">
        <f t="array" ref="N40">_xlfn.IFS(I40="Rob","Robusta",I40="Exc","Excelsa",I40="Ara","Arabica",I40="Lib","Liberica")</f>
        <v>Robusta</v>
      </c>
      <c r="O40" t="str" cm="1">
        <f t="array" ref="O40">_xlfn.IFS(J40="M","Midium",J40="L","Light",J40="D","Dark")</f>
        <v>Midium</v>
      </c>
      <c r="P40" t="str">
        <f>_xlfn.XLOOKUP(Orders[[#This Row],[Customer ID]],customers!A:A,customers!I:I,,0)</f>
        <v>No</v>
      </c>
      <c r="Q40" t="str">
        <f>_xlfn.XLOOKUP(C41,customers!A:A,customers!B:B,"مش موجود")</f>
        <v>Hy Zanetto</v>
      </c>
    </row>
    <row r="41" spans="1:17" x14ac:dyDescent="0.25">
      <c r="A41" s="2" t="s">
        <v>711</v>
      </c>
      <c r="B41" s="3">
        <v>44524</v>
      </c>
      <c r="C41" s="2" t="s">
        <v>712</v>
      </c>
      <c r="D41" t="s">
        <v>6138</v>
      </c>
      <c r="E41" s="2">
        <v>6</v>
      </c>
      <c r="F41" s="2" t="str">
        <f>_xlfn.XLOOKUP(Orders[[#This Row],[Customer ID]],customers!A:A,customers!B:B)</f>
        <v>Hy Zanetto</v>
      </c>
      <c r="G41" s="2" t="str" cm="1">
        <f t="array" ref="G41">IF(_xlfn.XLOOKUP(C41,customers!A40:$A$1001,customers!C40:$C$1001,,0)=0,"",_xlfn.XLOOKUP(C41,customers!A40:$A$1001,customers!C40:$C$1001,,0))</f>
        <v/>
      </c>
      <c r="H41" s="2" t="str" cm="1">
        <f t="array" ref="H41">_xlfn.XLOOKUP(C41,customers!A40:$A$1001,customers!G40:$G$1001,"Ireland",0)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cm="1">
        <f t="array" ref="N41">_xlfn.IFS(I41="Rob","Robusta",I41="Exc","Excelsa",I41="Ara","Arabica",I41="Lib","Liberica")</f>
        <v>Robusta</v>
      </c>
      <c r="O41" t="str" cm="1">
        <f t="array" ref="O41">_xlfn.IFS(J41="M","Midium",J41="L","Light",J41="D","Dark")</f>
        <v>Midium</v>
      </c>
      <c r="P41" t="str">
        <f>_xlfn.XLOOKUP(Orders[[#This Row],[Customer ID]],customers!A:A,customers!I:I,,0)</f>
        <v>Yes</v>
      </c>
      <c r="Q41" t="str">
        <f>_xlfn.XLOOKUP(C42,customers!A:A,customers!B:B,"مش موجود")</f>
        <v>Jessica McNess</v>
      </c>
    </row>
    <row r="42" spans="1:17" x14ac:dyDescent="0.25">
      <c r="A42" s="2" t="s">
        <v>715</v>
      </c>
      <c r="B42" s="3">
        <v>44305</v>
      </c>
      <c r="C42" s="2" t="s">
        <v>716</v>
      </c>
      <c r="D42" t="s">
        <v>6162</v>
      </c>
      <c r="E42" s="2">
        <v>3</v>
      </c>
      <c r="F42" s="2" t="str">
        <f>_xlfn.XLOOKUP(Orders[[#This Row],[Customer ID]],customers!A:A,customers!B:B)</f>
        <v>Jessica McNess</v>
      </c>
      <c r="G42" s="2" t="str" cm="1">
        <f t="array" ref="G42">IF(_xlfn.XLOOKUP(C42,customers!A41:$A$1001,customers!C41:$C$1001,,0)=0,"",_xlfn.XLOOKUP(C42,customers!A41:$A$1001,customers!C41:$C$1001,,0))</f>
        <v/>
      </c>
      <c r="H42" s="2" t="str" cm="1">
        <f t="array" ref="H42">_xlfn.XLOOKUP(C42,customers!A41:$A$1001,customers!G41:$G$1001,"Ireland",0)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cm="1">
        <f t="array" ref="N42">_xlfn.IFS(I42="Rob","Robusta",I42="Exc","Excelsa",I42="Ara","Arabica",I42="Lib","Liberica")</f>
        <v>Liberica</v>
      </c>
      <c r="O42" t="str" cm="1">
        <f t="array" ref="O42">_xlfn.IFS(J42="M","Midium",J42="L","Light",J42="D","Dark")</f>
        <v>Midium</v>
      </c>
      <c r="P42" t="str">
        <f>_xlfn.XLOOKUP(Orders[[#This Row],[Customer ID]],customers!A:A,customers!I:I,,0)</f>
        <v>No</v>
      </c>
      <c r="Q42" t="str">
        <f>_xlfn.XLOOKUP(C43,customers!A:A,customers!B:B,"مش موجود")</f>
        <v>Lorenzo Yeoland</v>
      </c>
    </row>
    <row r="43" spans="1:17" x14ac:dyDescent="0.25">
      <c r="A43" s="2" t="s">
        <v>720</v>
      </c>
      <c r="B43" s="3">
        <v>44749</v>
      </c>
      <c r="C43" s="2" t="s">
        <v>721</v>
      </c>
      <c r="D43" t="s">
        <v>6153</v>
      </c>
      <c r="E43" s="2">
        <v>2</v>
      </c>
      <c r="F43" s="2" t="str">
        <f>_xlfn.XLOOKUP(Orders[[#This Row],[Customer ID]],customers!A:A,customers!B:B)</f>
        <v>Lorenzo Yeoland</v>
      </c>
      <c r="G43" s="2" t="str" cm="1">
        <f t="array" ref="G43">IF(_xlfn.XLOOKUP(C43,customers!A42:$A$1001,customers!C42:$C$1001,,0)=0,"",_xlfn.XLOOKUP(C43,customers!A42:$A$1001,customers!C42:$C$1001,,0))</f>
        <v>lyeoland15@pbs.org</v>
      </c>
      <c r="H43" s="2" t="str" cm="1">
        <f t="array" ref="H43">_xlfn.XLOOKUP(C43,customers!A42:$A$1001,customers!G42:$G$1001,"Ireland",0)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cm="1">
        <f t="array" ref="N43">_xlfn.IFS(I43="Rob","Robusta",I43="Exc","Excelsa",I43="Ara","Arabica",I43="Lib","Liberica")</f>
        <v>Excelsa</v>
      </c>
      <c r="O43" t="str" cm="1">
        <f t="array" ref="O43">_xlfn.IFS(J43="M","Midium",J43="L","Light",J43="D","Dark")</f>
        <v>Dark</v>
      </c>
      <c r="P43" t="str">
        <f>_xlfn.XLOOKUP(Orders[[#This Row],[Customer ID]],customers!A:A,customers!I:I,,0)</f>
        <v>Yes</v>
      </c>
      <c r="Q43" t="str">
        <f>_xlfn.XLOOKUP(C44,customers!A:A,customers!B:B,"مش موجود")</f>
        <v>Abigail Tolworthy</v>
      </c>
    </row>
    <row r="44" spans="1:17" x14ac:dyDescent="0.25">
      <c r="A44" s="2" t="s">
        <v>726</v>
      </c>
      <c r="B44" s="3">
        <v>43607</v>
      </c>
      <c r="C44" s="2" t="s">
        <v>727</v>
      </c>
      <c r="D44" t="s">
        <v>6163</v>
      </c>
      <c r="E44" s="2">
        <v>3</v>
      </c>
      <c r="F44" s="2" t="str">
        <f>_xlfn.XLOOKUP(Orders[[#This Row],[Customer ID]],customers!A:A,customers!B:B)</f>
        <v>Abigail Tolworthy</v>
      </c>
      <c r="G44" s="2" t="str" cm="1">
        <f t="array" ref="G44">IF(_xlfn.XLOOKUP(C44,customers!A43:$A$1001,customers!C43:$C$1001,,0)=0,"",_xlfn.XLOOKUP(C44,customers!A43:$A$1001,customers!C43:$C$1001,,0))</f>
        <v>atolworthy16@toplist.cz</v>
      </c>
      <c r="H44" s="2" t="str" cm="1">
        <f t="array" ref="H44">_xlfn.XLOOKUP(C44,customers!A43:$A$1001,customers!G43:$G$1001,"Ireland",0)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cm="1">
        <f t="array" ref="N44">_xlfn.IFS(I44="Rob","Robusta",I44="Exc","Excelsa",I44="Ara","Arabica",I44="Lib","Liberica")</f>
        <v>Robusta</v>
      </c>
      <c r="O44" t="str" cm="1">
        <f t="array" ref="O44">_xlfn.IFS(J44="M","Midium",J44="L","Light",J44="D","Dark")</f>
        <v>Dark</v>
      </c>
      <c r="P44" t="str">
        <f>_xlfn.XLOOKUP(Orders[[#This Row],[Customer ID]],customers!A:A,customers!I:I,,0)</f>
        <v>Yes</v>
      </c>
      <c r="Q44" t="str">
        <f>_xlfn.XLOOKUP(C45,customers!A:A,customers!B:B,"مش موجود")</f>
        <v>Maurie Bartol</v>
      </c>
    </row>
    <row r="45" spans="1:17" x14ac:dyDescent="0.25">
      <c r="A45" s="2" t="s">
        <v>733</v>
      </c>
      <c r="B45" s="3">
        <v>44473</v>
      </c>
      <c r="C45" s="2" t="s">
        <v>734</v>
      </c>
      <c r="D45" t="s">
        <v>6164</v>
      </c>
      <c r="E45" s="2">
        <v>2</v>
      </c>
      <c r="F45" s="2" t="str">
        <f>_xlfn.XLOOKUP(Orders[[#This Row],[Customer ID]],customers!A:A,customers!B:B)</f>
        <v>Maurie Bartol</v>
      </c>
      <c r="G45" s="2" t="str" cm="1">
        <f t="array" ref="G45">IF(_xlfn.XLOOKUP(C45,customers!A44:$A$1001,customers!C44:$C$1001,,0)=0,"",_xlfn.XLOOKUP(C45,customers!A44:$A$1001,customers!C44:$C$1001,,0))</f>
        <v/>
      </c>
      <c r="H45" s="2" t="str" cm="1">
        <f t="array" ref="H45">_xlfn.XLOOKUP(C45,customers!A44:$A$1001,customers!G44:$G$1001,"Ireland",0)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cm="1">
        <f t="array" ref="N45">_xlfn.IFS(I45="Rob","Robusta",I45="Exc","Excelsa",I45="Ara","Arabica",I45="Lib","Liberica")</f>
        <v>Liberica</v>
      </c>
      <c r="O45" t="str" cm="1">
        <f t="array" ref="O45">_xlfn.IFS(J45="M","Midium",J45="L","Light",J45="D","Dark")</f>
        <v>Light</v>
      </c>
      <c r="P45" t="str">
        <f>_xlfn.XLOOKUP(Orders[[#This Row],[Customer ID]],customers!A:A,customers!I:I,,0)</f>
        <v>No</v>
      </c>
      <c r="Q45" t="str">
        <f>_xlfn.XLOOKUP(C46,customers!A:A,customers!B:B,"مش موجود")</f>
        <v>Olag Baudassi</v>
      </c>
    </row>
    <row r="46" spans="1:17" x14ac:dyDescent="0.25">
      <c r="A46" s="2" t="s">
        <v>738</v>
      </c>
      <c r="B46" s="3">
        <v>43932</v>
      </c>
      <c r="C46" s="2" t="s">
        <v>739</v>
      </c>
      <c r="D46" t="s">
        <v>6139</v>
      </c>
      <c r="E46" s="2">
        <v>2</v>
      </c>
      <c r="F46" s="2" t="str">
        <f>_xlfn.XLOOKUP(Orders[[#This Row],[Customer ID]],customers!A:A,customers!B:B)</f>
        <v>Olag Baudassi</v>
      </c>
      <c r="G46" s="2" t="str" cm="1">
        <f t="array" ref="G46">IF(_xlfn.XLOOKUP(C46,customers!A45:$A$1001,customers!C45:$C$1001,,0)=0,"",_xlfn.XLOOKUP(C46,customers!A45:$A$1001,customers!C45:$C$1001,,0))</f>
        <v>obaudassi18@seesaa.net</v>
      </c>
      <c r="H46" s="2" t="str" cm="1">
        <f t="array" ref="H46">_xlfn.XLOOKUP(C46,customers!A45:$A$1001,customers!G45:$G$1001,"Ireland",0)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cm="1">
        <f t="array" ref="N46">_xlfn.IFS(I46="Rob","Robusta",I46="Exc","Excelsa",I46="Ara","Arabica",I46="Lib","Liberica")</f>
        <v>Excelsa</v>
      </c>
      <c r="O46" t="str" cm="1">
        <f t="array" ref="O46">_xlfn.IFS(J46="M","Midium",J46="L","Light",J46="D","Dark")</f>
        <v>Midium</v>
      </c>
      <c r="P46" t="str">
        <f>_xlfn.XLOOKUP(Orders[[#This Row],[Customer ID]],customers!A:A,customers!I:I,,0)</f>
        <v>Yes</v>
      </c>
      <c r="Q46" t="str">
        <f>_xlfn.XLOOKUP(C47,customers!A:A,customers!B:B,"مش موجود")</f>
        <v>Petey Kingsbury</v>
      </c>
    </row>
    <row r="47" spans="1:17" x14ac:dyDescent="0.25">
      <c r="A47" s="2" t="s">
        <v>744</v>
      </c>
      <c r="B47" s="3">
        <v>44592</v>
      </c>
      <c r="C47" s="2" t="s">
        <v>745</v>
      </c>
      <c r="D47" t="s">
        <v>6165</v>
      </c>
      <c r="E47" s="2">
        <v>6</v>
      </c>
      <c r="F47" s="2" t="str">
        <f>_xlfn.XLOOKUP(Orders[[#This Row],[Customer ID]],customers!A:A,customers!B:B)</f>
        <v>Petey Kingsbury</v>
      </c>
      <c r="G47" s="2" t="str" cm="1">
        <f t="array" ref="G47">IF(_xlfn.XLOOKUP(C47,customers!A46:$A$1001,customers!C46:$C$1001,,0)=0,"",_xlfn.XLOOKUP(C47,customers!A46:$A$1001,customers!C46:$C$1001,,0))</f>
        <v>pkingsbury19@comcast.net</v>
      </c>
      <c r="H47" s="2" t="str" cm="1">
        <f t="array" ref="H47">_xlfn.XLOOKUP(C47,customers!A46:$A$1001,customers!G46:$G$1001,"Ireland",0)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cm="1">
        <f t="array" ref="N47">_xlfn.IFS(I47="Rob","Robusta",I47="Exc","Excelsa",I47="Ara","Arabica",I47="Lib","Liberica")</f>
        <v>Liberica</v>
      </c>
      <c r="O47" t="str" cm="1">
        <f t="array" ref="O47">_xlfn.IFS(J47="M","Midium",J47="L","Light",J47="D","Dark")</f>
        <v>Dark</v>
      </c>
      <c r="P47" t="str">
        <f>_xlfn.XLOOKUP(Orders[[#This Row],[Customer ID]],customers!A:A,customers!I:I,,0)</f>
        <v>No</v>
      </c>
      <c r="Q47" t="str">
        <f>_xlfn.XLOOKUP(C48,customers!A:A,customers!B:B,"مش موجود")</f>
        <v>Donna Baskeyfied</v>
      </c>
    </row>
    <row r="48" spans="1:17" x14ac:dyDescent="0.25">
      <c r="A48" s="2" t="s">
        <v>750</v>
      </c>
      <c r="B48" s="3">
        <v>43776</v>
      </c>
      <c r="C48" s="2" t="s">
        <v>751</v>
      </c>
      <c r="D48" t="s">
        <v>6166</v>
      </c>
      <c r="E48" s="2">
        <v>2</v>
      </c>
      <c r="F48" s="2" t="str">
        <f>_xlfn.XLOOKUP(Orders[[#This Row],[Customer ID]],customers!A:A,customers!B:B)</f>
        <v>Donna Baskeyfied</v>
      </c>
      <c r="G48" s="2" t="str" cm="1">
        <f t="array" ref="G48">IF(_xlfn.XLOOKUP(C48,customers!A47:$A$1001,customers!C47:$C$1001,,0)=0,"",_xlfn.XLOOKUP(C48,customers!A47:$A$1001,customers!C47:$C$1001,,0))</f>
        <v/>
      </c>
      <c r="H48" s="2" t="str" cm="1">
        <f t="array" ref="H48">_xlfn.XLOOKUP(C48,customers!A47:$A$1001,customers!G47:$G$1001,"Ireland",0)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cm="1">
        <f t="array" ref="N48">_xlfn.IFS(I48="Rob","Robusta",I48="Exc","Excelsa",I48="Ara","Arabica",I48="Lib","Liberica")</f>
        <v>Excelsa</v>
      </c>
      <c r="O48" t="str" cm="1">
        <f t="array" ref="O48">_xlfn.IFS(J48="M","Midium",J48="L","Light",J48="D","Dark")</f>
        <v>Midium</v>
      </c>
      <c r="P48" t="str">
        <f>_xlfn.XLOOKUP(Orders[[#This Row],[Customer ID]],customers!A:A,customers!I:I,,0)</f>
        <v>Yes</v>
      </c>
      <c r="Q48" t="str">
        <f>_xlfn.XLOOKUP(C49,customers!A:A,customers!B:B,"مش موجود")</f>
        <v>Arda Curley</v>
      </c>
    </row>
    <row r="49" spans="1:17" x14ac:dyDescent="0.25">
      <c r="A49" s="2" t="s">
        <v>755</v>
      </c>
      <c r="B49" s="3">
        <v>43644</v>
      </c>
      <c r="C49" s="2" t="s">
        <v>756</v>
      </c>
      <c r="D49" t="s">
        <v>6167</v>
      </c>
      <c r="E49" s="2">
        <v>2</v>
      </c>
      <c r="F49" s="2" t="str">
        <f>_xlfn.XLOOKUP(Orders[[#This Row],[Customer ID]],customers!A:A,customers!B:B)</f>
        <v>Arda Curley</v>
      </c>
      <c r="G49" s="2" t="str" cm="1">
        <f t="array" ref="G49">IF(_xlfn.XLOOKUP(C49,customers!A48:$A$1001,customers!C48:$C$1001,,0)=0,"",_xlfn.XLOOKUP(C49,customers!A48:$A$1001,customers!C48:$C$1001,,0))</f>
        <v>acurley1b@hao123.com</v>
      </c>
      <c r="H49" s="2" t="str" cm="1">
        <f t="array" ref="H49">_xlfn.XLOOKUP(C49,customers!A48:$A$1001,customers!G48:$G$1001,"Ireland",0)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cm="1">
        <f t="array" ref="N49">_xlfn.IFS(I49="Rob","Robusta",I49="Exc","Excelsa",I49="Ara","Arabica",I49="Lib","Liberica")</f>
        <v>Arabica</v>
      </c>
      <c r="O49" t="str" cm="1">
        <f t="array" ref="O49">_xlfn.IFS(J49="M","Midium",J49="L","Light",J49="D","Dark")</f>
        <v>Light</v>
      </c>
      <c r="P49" t="str">
        <f>_xlfn.XLOOKUP(Orders[[#This Row],[Customer ID]],customers!A:A,customers!I:I,,0)</f>
        <v>Yes</v>
      </c>
      <c r="Q49" t="str">
        <f>_xlfn.XLOOKUP(C50,customers!A:A,customers!B:B,"مش موجود")</f>
        <v>Raynor McGilvary</v>
      </c>
    </row>
    <row r="50" spans="1:17" x14ac:dyDescent="0.25">
      <c r="A50" s="2" t="s">
        <v>761</v>
      </c>
      <c r="B50" s="3">
        <v>44085</v>
      </c>
      <c r="C50" s="2" t="s">
        <v>762</v>
      </c>
      <c r="D50" t="s">
        <v>6168</v>
      </c>
      <c r="E50" s="2">
        <v>4</v>
      </c>
      <c r="F50" s="2" t="str">
        <f>_xlfn.XLOOKUP(Orders[[#This Row],[Customer ID]],customers!A:A,customers!B:B)</f>
        <v>Raynor McGilvary</v>
      </c>
      <c r="G50" s="2" t="str" cm="1">
        <f t="array" ref="G50">IF(_xlfn.XLOOKUP(C50,customers!A49:$A$1001,customers!C49:$C$1001,,0)=0,"",_xlfn.XLOOKUP(C50,customers!A49:$A$1001,customers!C49:$C$1001,,0))</f>
        <v>rmcgilvary1c@tamu.edu</v>
      </c>
      <c r="H50" s="2" t="str" cm="1">
        <f t="array" ref="H50">_xlfn.XLOOKUP(C50,customers!A49:$A$1001,customers!G49:$G$1001,"Ireland",0)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cm="1">
        <f t="array" ref="N50">_xlfn.IFS(I50="Rob","Robusta",I50="Exc","Excelsa",I50="Ara","Arabica",I50="Lib","Liberica")</f>
        <v>Arabica</v>
      </c>
      <c r="O50" t="str" cm="1">
        <f t="array" ref="O50">_xlfn.IFS(J50="M","Midium",J50="L","Light",J50="D","Dark")</f>
        <v>Dark</v>
      </c>
      <c r="P50" t="str">
        <f>_xlfn.XLOOKUP(Orders[[#This Row],[Customer ID]],customers!A:A,customers!I:I,,0)</f>
        <v>No</v>
      </c>
      <c r="Q50" t="str">
        <f>_xlfn.XLOOKUP(C51,customers!A:A,customers!B:B,"مش موجود")</f>
        <v>Isis Pikett</v>
      </c>
    </row>
    <row r="51" spans="1:17" x14ac:dyDescent="0.25">
      <c r="A51" s="2" t="s">
        <v>766</v>
      </c>
      <c r="B51" s="3">
        <v>44790</v>
      </c>
      <c r="C51" s="2" t="s">
        <v>767</v>
      </c>
      <c r="D51" t="s">
        <v>6140</v>
      </c>
      <c r="E51" s="2">
        <v>3</v>
      </c>
      <c r="F51" s="2" t="str">
        <f>_xlfn.XLOOKUP(Orders[[#This Row],[Customer ID]],customers!A:A,customers!B:B)</f>
        <v>Isis Pikett</v>
      </c>
      <c r="G51" s="2" t="str" cm="1">
        <f t="array" ref="G51">IF(_xlfn.XLOOKUP(C51,customers!A50:$A$1001,customers!C50:$C$1001,,0)=0,"",_xlfn.XLOOKUP(C51,customers!A50:$A$1001,customers!C50:$C$1001,,0))</f>
        <v>ipikett1d@xinhuanet.com</v>
      </c>
      <c r="H51" s="2" t="str" cm="1">
        <f t="array" ref="H51">_xlfn.XLOOKUP(C51,customers!A50:$A$1001,customers!G50:$G$1001,"Ireland",0)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cm="1">
        <f t="array" ref="N51">_xlfn.IFS(I51="Rob","Robusta",I51="Exc","Excelsa",I51="Ara","Arabica",I51="Lib","Liberica")</f>
        <v>Arabica</v>
      </c>
      <c r="O51" t="str" cm="1">
        <f t="array" ref="O51">_xlfn.IFS(J51="M","Midium",J51="L","Light",J51="D","Dark")</f>
        <v>Light</v>
      </c>
      <c r="P51" t="str">
        <f>_xlfn.XLOOKUP(Orders[[#This Row],[Customer ID]],customers!A:A,customers!I:I,,0)</f>
        <v>No</v>
      </c>
      <c r="Q51" t="str">
        <f>_xlfn.XLOOKUP(C52,customers!A:A,customers!B:B,"مش موجود")</f>
        <v>Inger Bouldon</v>
      </c>
    </row>
    <row r="52" spans="1:17" x14ac:dyDescent="0.25">
      <c r="A52" s="2" t="s">
        <v>772</v>
      </c>
      <c r="B52" s="3">
        <v>44792</v>
      </c>
      <c r="C52" s="2" t="s">
        <v>773</v>
      </c>
      <c r="D52" t="s">
        <v>6169</v>
      </c>
      <c r="E52" s="2">
        <v>2</v>
      </c>
      <c r="F52" s="2" t="str">
        <f>_xlfn.XLOOKUP(Orders[[#This Row],[Customer ID]],customers!A:A,customers!B:B)</f>
        <v>Inger Bouldon</v>
      </c>
      <c r="G52" s="2" t="str" cm="1">
        <f t="array" ref="G52">IF(_xlfn.XLOOKUP(C52,customers!A51:$A$1001,customers!C51:$C$1001,,0)=0,"",_xlfn.XLOOKUP(C52,customers!A51:$A$1001,customers!C51:$C$1001,,0))</f>
        <v>ibouldon1e@gizmodo.com</v>
      </c>
      <c r="H52" s="2" t="str" cm="1">
        <f t="array" ref="H52">_xlfn.XLOOKUP(C52,customers!A51:$A$1001,customers!G51:$G$1001,"Ireland",0)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cm="1">
        <f t="array" ref="N52">_xlfn.IFS(I52="Rob","Robusta",I52="Exc","Excelsa",I52="Ara","Arabica",I52="Lib","Liberica")</f>
        <v>Liberica</v>
      </c>
      <c r="O52" t="str" cm="1">
        <f t="array" ref="O52">_xlfn.IFS(J52="M","Midium",J52="L","Light",J52="D","Dark")</f>
        <v>Dark</v>
      </c>
      <c r="P52" t="str">
        <f>_xlfn.XLOOKUP(Orders[[#This Row],[Customer ID]],customers!A:A,customers!I:I,,0)</f>
        <v>No</v>
      </c>
      <c r="Q52" t="str">
        <f>_xlfn.XLOOKUP(C53,customers!A:A,customers!B:B,"مش موجود")</f>
        <v>Karry Flanders</v>
      </c>
    </row>
    <row r="53" spans="1:17" x14ac:dyDescent="0.25">
      <c r="A53" s="2" t="s">
        <v>778</v>
      </c>
      <c r="B53" s="3">
        <v>43600</v>
      </c>
      <c r="C53" s="2" t="s">
        <v>779</v>
      </c>
      <c r="D53" t="s">
        <v>6164</v>
      </c>
      <c r="E53" s="2">
        <v>4</v>
      </c>
      <c r="F53" s="2" t="str">
        <f>_xlfn.XLOOKUP(Orders[[#This Row],[Customer ID]],customers!A:A,customers!B:B)</f>
        <v>Karry Flanders</v>
      </c>
      <c r="G53" s="2" t="str" cm="1">
        <f t="array" ref="G53">IF(_xlfn.XLOOKUP(C53,customers!A52:$A$1001,customers!C52:$C$1001,,0)=0,"",_xlfn.XLOOKUP(C53,customers!A52:$A$1001,customers!C52:$C$1001,,0))</f>
        <v>kflanders1f@over-blog.com</v>
      </c>
      <c r="H53" s="2" t="str" cm="1">
        <f t="array" ref="H53">_xlfn.XLOOKUP(C53,customers!A52:$A$1001,customers!G52:$G$1001,"Ireland",0)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cm="1">
        <f t="array" ref="N53">_xlfn.IFS(I53="Rob","Robusta",I53="Exc","Excelsa",I53="Ara","Arabica",I53="Lib","Liberica")</f>
        <v>Liberica</v>
      </c>
      <c r="O53" t="str" cm="1">
        <f t="array" ref="O53">_xlfn.IFS(J53="M","Midium",J53="L","Light",J53="D","Dark")</f>
        <v>Light</v>
      </c>
      <c r="P53" t="str">
        <f>_xlfn.XLOOKUP(Orders[[#This Row],[Customer ID]],customers!A:A,customers!I:I,,0)</f>
        <v>Yes</v>
      </c>
      <c r="Q53" t="str">
        <f>_xlfn.XLOOKUP(C54,customers!A:A,customers!B:B,"مش موجود")</f>
        <v>Hartley Mattioli</v>
      </c>
    </row>
    <row r="54" spans="1:17" x14ac:dyDescent="0.25">
      <c r="A54" s="2" t="s">
        <v>784</v>
      </c>
      <c r="B54" s="3">
        <v>43719</v>
      </c>
      <c r="C54" s="2" t="s">
        <v>785</v>
      </c>
      <c r="D54" t="s">
        <v>6146</v>
      </c>
      <c r="E54" s="2">
        <v>5</v>
      </c>
      <c r="F54" s="2" t="str">
        <f>_xlfn.XLOOKUP(Orders[[#This Row],[Customer ID]],customers!A:A,customers!B:B)</f>
        <v>Hartley Mattioli</v>
      </c>
      <c r="G54" s="2" t="str" cm="1">
        <f t="array" ref="G54">IF(_xlfn.XLOOKUP(C54,customers!A53:$A$1001,customers!C53:$C$1001,,0)=0,"",_xlfn.XLOOKUP(C54,customers!A53:$A$1001,customers!C53:$C$1001,,0))</f>
        <v>hmattioli1g@webmd.com</v>
      </c>
      <c r="H54" s="2" t="str" cm="1">
        <f t="array" ref="H54">_xlfn.XLOOKUP(C54,customers!A53:$A$1001,customers!G53:$G$1001,"Ireland",0)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cm="1">
        <f t="array" ref="N54">_xlfn.IFS(I54="Rob","Robusta",I54="Exc","Excelsa",I54="Ara","Arabica",I54="Lib","Liberica")</f>
        <v>Robusta</v>
      </c>
      <c r="O54" t="str" cm="1">
        <f t="array" ref="O54">_xlfn.IFS(J54="M","Midium",J54="L","Light",J54="D","Dark")</f>
        <v>Midium</v>
      </c>
      <c r="P54" t="str">
        <f>_xlfn.XLOOKUP(Orders[[#This Row],[Customer ID]],customers!A:A,customers!I:I,,0)</f>
        <v>No</v>
      </c>
      <c r="Q54" t="str">
        <f>_xlfn.XLOOKUP(C55,customers!A:A,customers!B:B,"مش موجود")</f>
        <v>Hartley Mattioli</v>
      </c>
    </row>
    <row r="55" spans="1:17" x14ac:dyDescent="0.25">
      <c r="A55" s="2" t="s">
        <v>784</v>
      </c>
      <c r="B55" s="3">
        <v>43719</v>
      </c>
      <c r="C55" s="2" t="s">
        <v>785</v>
      </c>
      <c r="D55" t="s">
        <v>6164</v>
      </c>
      <c r="E55" s="2">
        <v>2</v>
      </c>
      <c r="F55" s="2" t="str">
        <f>_xlfn.XLOOKUP(Orders[[#This Row],[Customer ID]],customers!A:A,customers!B:B)</f>
        <v>Hartley Mattioli</v>
      </c>
      <c r="G55" s="2" t="str" cm="1">
        <f t="array" ref="G55">IF(_xlfn.XLOOKUP(C55,customers!A54:$A$1001,customers!C54:$C$1001,,0)=0,"",_xlfn.XLOOKUP(C55,customers!A54:$A$1001,customers!C54:$C$1001,,0))</f>
        <v>hmattioli1g@webmd.com</v>
      </c>
      <c r="H55" s="2" t="str" cm="1">
        <f t="array" ref="H55">_xlfn.XLOOKUP(C55,customers!A54:$A$1001,customers!G54:$G$1001,"Ireland",0)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cm="1">
        <f t="array" ref="N55">_xlfn.IFS(I55="Rob","Robusta",I55="Exc","Excelsa",I55="Ara","Arabica",I55="Lib","Liberica")</f>
        <v>Liberica</v>
      </c>
      <c r="O55" t="str" cm="1">
        <f t="array" ref="O55">_xlfn.IFS(J55="M","Midium",J55="L","Light",J55="D","Dark")</f>
        <v>Light</v>
      </c>
      <c r="P55" t="str">
        <f>_xlfn.XLOOKUP(Orders[[#This Row],[Customer ID]],customers!A:A,customers!I:I,,0)</f>
        <v>No</v>
      </c>
      <c r="Q55" t="str">
        <f>_xlfn.XLOOKUP(C56,customers!A:A,customers!B:B,"مش موجود")</f>
        <v>Archambault Gillard</v>
      </c>
    </row>
    <row r="56" spans="1:17" x14ac:dyDescent="0.25">
      <c r="A56" s="2" t="s">
        <v>794</v>
      </c>
      <c r="B56" s="3">
        <v>44271</v>
      </c>
      <c r="C56" s="2" t="s">
        <v>795</v>
      </c>
      <c r="D56" t="s">
        <v>6162</v>
      </c>
      <c r="E56" s="2">
        <v>5</v>
      </c>
      <c r="F56" s="2" t="str">
        <f>_xlfn.XLOOKUP(Orders[[#This Row],[Customer ID]],customers!A:A,customers!B:B)</f>
        <v>Archambault Gillard</v>
      </c>
      <c r="G56" s="2" t="str" cm="1">
        <f t="array" ref="G56">IF(_xlfn.XLOOKUP(C56,customers!A55:$A$1001,customers!C55:$C$1001,,0)=0,"",_xlfn.XLOOKUP(C56,customers!A55:$A$1001,customers!C55:$C$1001,,0))</f>
        <v>agillard1i@issuu.com</v>
      </c>
      <c r="H56" s="2" t="str" cm="1">
        <f t="array" ref="H56">_xlfn.XLOOKUP(C56,customers!A55:$A$1001,customers!G55:$G$1001,"Ireland",0)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cm="1">
        <f t="array" ref="N56">_xlfn.IFS(I56="Rob","Robusta",I56="Exc","Excelsa",I56="Ara","Arabica",I56="Lib","Liberica")</f>
        <v>Liberica</v>
      </c>
      <c r="O56" t="str" cm="1">
        <f t="array" ref="O56">_xlfn.IFS(J56="M","Midium",J56="L","Light",J56="D","Dark")</f>
        <v>Midium</v>
      </c>
      <c r="P56" t="str">
        <f>_xlfn.XLOOKUP(Orders[[#This Row],[Customer ID]],customers!A:A,customers!I:I,,0)</f>
        <v>No</v>
      </c>
      <c r="Q56" t="str">
        <f>_xlfn.XLOOKUP(C57,customers!A:A,customers!B:B,"مش موجود")</f>
        <v>Salomo Cushworth</v>
      </c>
    </row>
    <row r="57" spans="1:17" x14ac:dyDescent="0.25">
      <c r="A57" s="2" t="s">
        <v>800</v>
      </c>
      <c r="B57" s="3">
        <v>44168</v>
      </c>
      <c r="C57" s="2" t="s">
        <v>801</v>
      </c>
      <c r="D57" t="s">
        <v>6170</v>
      </c>
      <c r="E57" s="2">
        <v>3</v>
      </c>
      <c r="F57" s="2" t="str">
        <f>_xlfn.XLOOKUP(Orders[[#This Row],[Customer ID]],customers!A:A,customers!B:B)</f>
        <v>Salomo Cushworth</v>
      </c>
      <c r="G57" s="2" t="str" cm="1">
        <f t="array" ref="G57">IF(_xlfn.XLOOKUP(C57,customers!A56:$A$1001,customers!C56:$C$1001,,0)=0,"",_xlfn.XLOOKUP(C57,customers!A56:$A$1001,customers!C56:$C$1001,,0))</f>
        <v/>
      </c>
      <c r="H57" s="2" t="str" cm="1">
        <f t="array" ref="H57">_xlfn.XLOOKUP(C57,customers!A56:$A$1001,customers!G56:$G$1001,"Ireland",0)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cm="1">
        <f t="array" ref="N57">_xlfn.IFS(I57="Rob","Robusta",I57="Exc","Excelsa",I57="Ara","Arabica",I57="Lib","Liberica")</f>
        <v>Liberica</v>
      </c>
      <c r="O57" t="str" cm="1">
        <f t="array" ref="O57">_xlfn.IFS(J57="M","Midium",J57="L","Light",J57="D","Dark")</f>
        <v>Light</v>
      </c>
      <c r="P57" t="str">
        <f>_xlfn.XLOOKUP(Orders[[#This Row],[Customer ID]],customers!A:A,customers!I:I,,0)</f>
        <v>No</v>
      </c>
      <c r="Q57" t="str">
        <f>_xlfn.XLOOKUP(C58,customers!A:A,customers!B:B,"مش موجود")</f>
        <v>Theda Grizard</v>
      </c>
    </row>
    <row r="58" spans="1:17" x14ac:dyDescent="0.25">
      <c r="A58" s="2" t="s">
        <v>805</v>
      </c>
      <c r="B58" s="3">
        <v>43857</v>
      </c>
      <c r="C58" s="2" t="s">
        <v>806</v>
      </c>
      <c r="D58" t="s">
        <v>6153</v>
      </c>
      <c r="E58" s="2">
        <v>3</v>
      </c>
      <c r="F58" s="2" t="str">
        <f>_xlfn.XLOOKUP(Orders[[#This Row],[Customer ID]],customers!A:A,customers!B:B)</f>
        <v>Theda Grizard</v>
      </c>
      <c r="G58" s="2" t="str" cm="1">
        <f t="array" ref="G58">IF(_xlfn.XLOOKUP(C58,customers!A57:$A$1001,customers!C57:$C$1001,,0)=0,"",_xlfn.XLOOKUP(C58,customers!A57:$A$1001,customers!C57:$C$1001,,0))</f>
        <v>tgrizard1k@odnoklassniki.ru</v>
      </c>
      <c r="H58" s="2" t="str" cm="1">
        <f t="array" ref="H58">_xlfn.XLOOKUP(C58,customers!A57:$A$1001,customers!G57:$G$1001,"Ireland",0)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cm="1">
        <f t="array" ref="N58">_xlfn.IFS(I58="Rob","Robusta",I58="Exc","Excelsa",I58="Ara","Arabica",I58="Lib","Liberica")</f>
        <v>Excelsa</v>
      </c>
      <c r="O58" t="str" cm="1">
        <f t="array" ref="O58">_xlfn.IFS(J58="M","Midium",J58="L","Light",J58="D","Dark")</f>
        <v>Dark</v>
      </c>
      <c r="P58" t="str">
        <f>_xlfn.XLOOKUP(Orders[[#This Row],[Customer ID]],customers!A:A,customers!I:I,,0)</f>
        <v>Yes</v>
      </c>
      <c r="Q58" t="str">
        <f>_xlfn.XLOOKUP(C59,customers!A:A,customers!B:B,"مش موجود")</f>
        <v>Rozele Relton</v>
      </c>
    </row>
    <row r="59" spans="1:17" x14ac:dyDescent="0.25">
      <c r="A59" s="2" t="s">
        <v>811</v>
      </c>
      <c r="B59" s="3">
        <v>44759</v>
      </c>
      <c r="C59" s="2" t="s">
        <v>812</v>
      </c>
      <c r="D59" t="s">
        <v>6171</v>
      </c>
      <c r="E59" s="2">
        <v>4</v>
      </c>
      <c r="F59" s="2" t="str">
        <f>_xlfn.XLOOKUP(Orders[[#This Row],[Customer ID]],customers!A:A,customers!B:B)</f>
        <v>Rozele Relton</v>
      </c>
      <c r="G59" s="2" t="str" cm="1">
        <f t="array" ref="G59">IF(_xlfn.XLOOKUP(C59,customers!A58:$A$1001,customers!C58:$C$1001,,0)=0,"",_xlfn.XLOOKUP(C59,customers!A58:$A$1001,customers!C58:$C$1001,,0))</f>
        <v>rrelton1l@stanford.edu</v>
      </c>
      <c r="H59" s="2" t="str" cm="1">
        <f t="array" ref="H59">_xlfn.XLOOKUP(C59,customers!A58:$A$1001,customers!G58:$G$1001,"Ireland",0)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cm="1">
        <f t="array" ref="N59">_xlfn.IFS(I59="Rob","Robusta",I59="Exc","Excelsa",I59="Ara","Arabica",I59="Lib","Liberica")</f>
        <v>Excelsa</v>
      </c>
      <c r="O59" t="str" cm="1">
        <f t="array" ref="O59">_xlfn.IFS(J59="M","Midium",J59="L","Light",J59="D","Dark")</f>
        <v>Light</v>
      </c>
      <c r="P59" t="str">
        <f>_xlfn.XLOOKUP(Orders[[#This Row],[Customer ID]],customers!A:A,customers!I:I,,0)</f>
        <v>No</v>
      </c>
      <c r="Q59" t="str">
        <f>_xlfn.XLOOKUP(C60,customers!A:A,customers!B:B,"مش موجود")</f>
        <v>Willa Rolling</v>
      </c>
    </row>
    <row r="60" spans="1:17" x14ac:dyDescent="0.25">
      <c r="A60" s="2" t="s">
        <v>817</v>
      </c>
      <c r="B60" s="3">
        <v>44624</v>
      </c>
      <c r="C60" s="2" t="s">
        <v>818</v>
      </c>
      <c r="D60" t="s">
        <v>6165</v>
      </c>
      <c r="E60" s="2">
        <v>3</v>
      </c>
      <c r="F60" s="2" t="str">
        <f>_xlfn.XLOOKUP(Orders[[#This Row],[Customer ID]],customers!A:A,customers!B:B)</f>
        <v>Willa Rolling</v>
      </c>
      <c r="G60" s="2" t="str" cm="1">
        <f t="array" ref="G60">IF(_xlfn.XLOOKUP(C60,customers!A59:$A$1001,customers!C59:$C$1001,,0)=0,"",_xlfn.XLOOKUP(C60,customers!A59:$A$1001,customers!C59:$C$1001,,0))</f>
        <v/>
      </c>
      <c r="H60" s="2" t="str" cm="1">
        <f t="array" ref="H60">_xlfn.XLOOKUP(C60,customers!A59:$A$1001,customers!G59:$G$1001,"Ireland",0)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cm="1">
        <f t="array" ref="N60">_xlfn.IFS(I60="Rob","Robusta",I60="Exc","Excelsa",I60="Ara","Arabica",I60="Lib","Liberica")</f>
        <v>Liberica</v>
      </c>
      <c r="O60" t="str" cm="1">
        <f t="array" ref="O60">_xlfn.IFS(J60="M","Midium",J60="L","Light",J60="D","Dark")</f>
        <v>Dark</v>
      </c>
      <c r="P60" t="str">
        <f>_xlfn.XLOOKUP(Orders[[#This Row],[Customer ID]],customers!A:A,customers!I:I,,0)</f>
        <v>Yes</v>
      </c>
      <c r="Q60" t="str">
        <f>_xlfn.XLOOKUP(C61,customers!A:A,customers!B:B,"مش موجود")</f>
        <v>Stanislaus Gilroy</v>
      </c>
    </row>
    <row r="61" spans="1:17" x14ac:dyDescent="0.25">
      <c r="A61" s="2" t="s">
        <v>822</v>
      </c>
      <c r="B61" s="3">
        <v>44537</v>
      </c>
      <c r="C61" s="2" t="s">
        <v>823</v>
      </c>
      <c r="D61" t="s">
        <v>6160</v>
      </c>
      <c r="E61" s="2">
        <v>3</v>
      </c>
      <c r="F61" s="2" t="str">
        <f>_xlfn.XLOOKUP(Orders[[#This Row],[Customer ID]],customers!A:A,customers!B:B)</f>
        <v>Stanislaus Gilroy</v>
      </c>
      <c r="G61" s="2" t="str" cm="1">
        <f t="array" ref="G61">IF(_xlfn.XLOOKUP(C61,customers!A60:$A$1001,customers!C60:$C$1001,,0)=0,"",_xlfn.XLOOKUP(C61,customers!A60:$A$1001,customers!C60:$C$1001,,0))</f>
        <v>sgilroy1n@eepurl.com</v>
      </c>
      <c r="H61" s="2" t="str" cm="1">
        <f t="array" ref="H61">_xlfn.XLOOKUP(C61,customers!A60:$A$1001,customers!G60:$G$1001,"Ireland",0)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cm="1">
        <f t="array" ref="N61">_xlfn.IFS(I61="Rob","Robusta",I61="Exc","Excelsa",I61="Ara","Arabica",I61="Lib","Liberica")</f>
        <v>Liberica</v>
      </c>
      <c r="O61" t="str" cm="1">
        <f t="array" ref="O61">_xlfn.IFS(J61="M","Midium",J61="L","Light",J61="D","Dark")</f>
        <v>Midium</v>
      </c>
      <c r="P61" t="str">
        <f>_xlfn.XLOOKUP(Orders[[#This Row],[Customer ID]],customers!A:A,customers!I:I,,0)</f>
        <v>Yes</v>
      </c>
      <c r="Q61" t="str">
        <f>_xlfn.XLOOKUP(C62,customers!A:A,customers!B:B,"مش موجود")</f>
        <v>Correy Cottingham</v>
      </c>
    </row>
    <row r="62" spans="1:17" x14ac:dyDescent="0.25">
      <c r="A62" s="2" t="s">
        <v>827</v>
      </c>
      <c r="B62" s="3">
        <v>44252</v>
      </c>
      <c r="C62" s="2" t="s">
        <v>828</v>
      </c>
      <c r="D62" t="s">
        <v>6168</v>
      </c>
      <c r="E62" s="2">
        <v>5</v>
      </c>
      <c r="F62" s="2" t="str">
        <f>_xlfn.XLOOKUP(Orders[[#This Row],[Customer ID]],customers!A:A,customers!B:B)</f>
        <v>Correy Cottingham</v>
      </c>
      <c r="G62" s="2" t="str" cm="1">
        <f t="array" ref="G62">IF(_xlfn.XLOOKUP(C62,customers!A61:$A$1001,customers!C61:$C$1001,,0)=0,"",_xlfn.XLOOKUP(C62,customers!A61:$A$1001,customers!C61:$C$1001,,0))</f>
        <v>ccottingham1o@wikipedia.org</v>
      </c>
      <c r="H62" s="2" t="str" cm="1">
        <f t="array" ref="H62">_xlfn.XLOOKUP(C62,customers!A61:$A$1001,customers!G61:$G$1001,"Ireland",0)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cm="1">
        <f t="array" ref="N62">_xlfn.IFS(I62="Rob","Robusta",I62="Exc","Excelsa",I62="Ara","Arabica",I62="Lib","Liberica")</f>
        <v>Arabica</v>
      </c>
      <c r="O62" t="str" cm="1">
        <f t="array" ref="O62">_xlfn.IFS(J62="M","Midium",J62="L","Light",J62="D","Dark")</f>
        <v>Dark</v>
      </c>
      <c r="P62" t="str">
        <f>_xlfn.XLOOKUP(Orders[[#This Row],[Customer ID]],customers!A:A,customers!I:I,,0)</f>
        <v>No</v>
      </c>
      <c r="Q62" t="str">
        <f>_xlfn.XLOOKUP(C63,customers!A:A,customers!B:B,"مش موجود")</f>
        <v>Pammi Endacott</v>
      </c>
    </row>
    <row r="63" spans="1:17" x14ac:dyDescent="0.25">
      <c r="A63" s="2" t="s">
        <v>833</v>
      </c>
      <c r="B63" s="3">
        <v>43521</v>
      </c>
      <c r="C63" s="2" t="s">
        <v>834</v>
      </c>
      <c r="D63" t="s">
        <v>6172</v>
      </c>
      <c r="E63" s="2">
        <v>5</v>
      </c>
      <c r="F63" s="2" t="str">
        <f>_xlfn.XLOOKUP(Orders[[#This Row],[Customer ID]],customers!A:A,customers!B:B)</f>
        <v>Pammi Endacott</v>
      </c>
      <c r="G63" s="2" t="str" cm="1">
        <f t="array" ref="G63">IF(_xlfn.XLOOKUP(C63,customers!A62:$A$1001,customers!C62:$C$1001,,0)=0,"",_xlfn.XLOOKUP(C63,customers!A62:$A$1001,customers!C62:$C$1001,,0))</f>
        <v/>
      </c>
      <c r="H63" s="2" t="str" cm="1">
        <f t="array" ref="H63">_xlfn.XLOOKUP(C63,customers!A62:$A$1001,customers!G62:$G$1001,"Ireland",0)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cm="1">
        <f t="array" ref="N63">_xlfn.IFS(I63="Rob","Robusta",I63="Exc","Excelsa",I63="Ara","Arabica",I63="Lib","Liberica")</f>
        <v>Robusta</v>
      </c>
      <c r="O63" t="str" cm="1">
        <f t="array" ref="O63">_xlfn.IFS(J63="M","Midium",J63="L","Light",J63="D","Dark")</f>
        <v>Dark</v>
      </c>
      <c r="P63" t="str">
        <f>_xlfn.XLOOKUP(Orders[[#This Row],[Customer ID]],customers!A:A,customers!I:I,,0)</f>
        <v>Yes</v>
      </c>
      <c r="Q63" t="str">
        <f>_xlfn.XLOOKUP(C64,customers!A:A,customers!B:B,"مش موجود")</f>
        <v>Nona Linklater</v>
      </c>
    </row>
    <row r="64" spans="1:17" x14ac:dyDescent="0.25">
      <c r="A64" s="2" t="s">
        <v>838</v>
      </c>
      <c r="B64" s="3">
        <v>43505</v>
      </c>
      <c r="C64" s="2" t="s">
        <v>839</v>
      </c>
      <c r="D64" t="s">
        <v>6145</v>
      </c>
      <c r="E64" s="2">
        <v>5</v>
      </c>
      <c r="F64" s="2" t="str">
        <f>_xlfn.XLOOKUP(Orders[[#This Row],[Customer ID]],customers!A:A,customers!B:B)</f>
        <v>Nona Linklater</v>
      </c>
      <c r="G64" s="2" t="str" cm="1">
        <f t="array" ref="G64">IF(_xlfn.XLOOKUP(C64,customers!A63:$A$1001,customers!C63:$C$1001,,0)=0,"",_xlfn.XLOOKUP(C64,customers!A63:$A$1001,customers!C63:$C$1001,,0))</f>
        <v/>
      </c>
      <c r="H64" s="2" t="str" cm="1">
        <f t="array" ref="H64">_xlfn.XLOOKUP(C64,customers!A63:$A$1001,customers!G63:$G$1001,"Ireland",0)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cm="1">
        <f t="array" ref="N64">_xlfn.IFS(I64="Rob","Robusta",I64="Exc","Excelsa",I64="Ara","Arabica",I64="Lib","Liberica")</f>
        <v>Liberica</v>
      </c>
      <c r="O64" t="str" cm="1">
        <f t="array" ref="O64">_xlfn.IFS(J64="M","Midium",J64="L","Light",J64="D","Dark")</f>
        <v>Light</v>
      </c>
      <c r="P64" t="str">
        <f>_xlfn.XLOOKUP(Orders[[#This Row],[Customer ID]],customers!A:A,customers!I:I,,0)</f>
        <v>Yes</v>
      </c>
      <c r="Q64" t="str">
        <f>_xlfn.XLOOKUP(C65,customers!A:A,customers!B:B,"مش موجود")</f>
        <v>Annadiane Dykes</v>
      </c>
    </row>
    <row r="65" spans="1:17" x14ac:dyDescent="0.25">
      <c r="A65" s="2" t="s">
        <v>843</v>
      </c>
      <c r="B65" s="3">
        <v>43868</v>
      </c>
      <c r="C65" s="2" t="s">
        <v>844</v>
      </c>
      <c r="D65" t="s">
        <v>6157</v>
      </c>
      <c r="E65" s="2">
        <v>1</v>
      </c>
      <c r="F65" s="2" t="str">
        <f>_xlfn.XLOOKUP(Orders[[#This Row],[Customer ID]],customers!A:A,customers!B:B)</f>
        <v>Annadiane Dykes</v>
      </c>
      <c r="G65" s="2" t="str" cm="1">
        <f t="array" ref="G65">IF(_xlfn.XLOOKUP(C65,customers!A64:$A$1001,customers!C64:$C$1001,,0)=0,"",_xlfn.XLOOKUP(C65,customers!A64:$A$1001,customers!C64:$C$1001,,0))</f>
        <v>adykes1r@eventbrite.com</v>
      </c>
      <c r="H65" s="2" t="str" cm="1">
        <f t="array" ref="H65">_xlfn.XLOOKUP(C65,customers!A64:$A$1001,customers!G64:$G$1001,"Ireland",0)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cm="1">
        <f t="array" ref="N65">_xlfn.IFS(I65="Rob","Robusta",I65="Exc","Excelsa",I65="Ara","Arabica",I65="Lib","Liberica")</f>
        <v>Arabica</v>
      </c>
      <c r="O65" t="str" cm="1">
        <f t="array" ref="O65">_xlfn.IFS(J65="M","Midium",J65="L","Light",J65="D","Dark")</f>
        <v>Midium</v>
      </c>
      <c r="P65" t="str">
        <f>_xlfn.XLOOKUP(Orders[[#This Row],[Customer ID]],customers!A:A,customers!I:I,,0)</f>
        <v>No</v>
      </c>
      <c r="Q65" t="str">
        <f>_xlfn.XLOOKUP(C66,customers!A:A,customers!B:B,"مش موجود")</f>
        <v>Felecia Dodgson</v>
      </c>
    </row>
    <row r="66" spans="1:17" x14ac:dyDescent="0.25">
      <c r="A66" s="2" t="s">
        <v>849</v>
      </c>
      <c r="B66" s="3">
        <v>43913</v>
      </c>
      <c r="C66" s="2" t="s">
        <v>850</v>
      </c>
      <c r="D66" t="s">
        <v>6146</v>
      </c>
      <c r="E66" s="2">
        <v>6</v>
      </c>
      <c r="F66" s="2" t="str">
        <f>_xlfn.XLOOKUP(Orders[[#This Row],[Customer ID]],customers!A:A,customers!B:B)</f>
        <v>Felecia Dodgson</v>
      </c>
      <c r="G66" s="2" t="str" cm="1">
        <f t="array" ref="G66">IF(_xlfn.XLOOKUP(C66,customers!A65:$A$1001,customers!C65:$C$1001,,0)=0,"",_xlfn.XLOOKUP(C66,customers!A65:$A$1001,customers!C65:$C$1001,,0))</f>
        <v/>
      </c>
      <c r="H66" s="2" t="str" cm="1">
        <f t="array" ref="H66">_xlfn.XLOOKUP(C66,customers!A65:$A$1001,customers!G65:$G$1001,"Ireland",0)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cm="1">
        <f t="array" ref="N66">_xlfn.IFS(I66="Rob","Robusta",I66="Exc","Excelsa",I66="Ara","Arabica",I66="Lib","Liberica")</f>
        <v>Robusta</v>
      </c>
      <c r="O66" t="str" cm="1">
        <f t="array" ref="O66">_xlfn.IFS(J66="M","Midium",J66="L","Light",J66="D","Dark")</f>
        <v>Midium</v>
      </c>
      <c r="P66" t="str">
        <f>_xlfn.XLOOKUP(Orders[[#This Row],[Customer ID]],customers!A:A,customers!I:I,,0)</f>
        <v>Yes</v>
      </c>
      <c r="Q66" t="str">
        <f>_xlfn.XLOOKUP(C67,customers!A:A,customers!B:B,"مش موجود")</f>
        <v>Angelia Cockrem</v>
      </c>
    </row>
    <row r="67" spans="1:17" x14ac:dyDescent="0.25">
      <c r="A67" s="2" t="s">
        <v>854</v>
      </c>
      <c r="B67" s="3">
        <v>44626</v>
      </c>
      <c r="C67" s="2" t="s">
        <v>855</v>
      </c>
      <c r="D67" t="s">
        <v>6149</v>
      </c>
      <c r="E67" s="2">
        <v>4</v>
      </c>
      <c r="F67" s="2" t="str">
        <f>_xlfn.XLOOKUP(Orders[[#This Row],[Customer ID]],customers!A:A,customers!B:B)</f>
        <v>Angelia Cockrem</v>
      </c>
      <c r="G67" s="2" t="str" cm="1">
        <f t="array" ref="G67">IF(_xlfn.XLOOKUP(C67,customers!A66:$A$1001,customers!C66:$C$1001,,0)=0,"",_xlfn.XLOOKUP(C67,customers!A66:$A$1001,customers!C66:$C$1001,,0))</f>
        <v>acockrem1t@engadget.com</v>
      </c>
      <c r="H67" s="2" t="str" cm="1">
        <f t="array" ref="H67">_xlfn.XLOOKUP(C67,customers!A66:$A$1001,customers!G66:$G$1001,"Ireland",0)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1">L67*E67</f>
        <v>82.339999999999989</v>
      </c>
      <c r="N67" t="str" cm="1">
        <f t="array" ref="N67">_xlfn.IFS(I67="Rob","Robusta",I67="Exc","Excelsa",I67="Ara","Arabica",I67="Lib","Liberica")</f>
        <v>Robusta</v>
      </c>
      <c r="O67" t="str" cm="1">
        <f t="array" ref="O67">_xlfn.IFS(J67="M","Midium",J67="L","Light",J67="D","Dark")</f>
        <v>Dark</v>
      </c>
      <c r="P67" t="str">
        <f>_xlfn.XLOOKUP(Orders[[#This Row],[Customer ID]],customers!A:A,customers!I:I,,0)</f>
        <v>Yes</v>
      </c>
      <c r="Q67" t="str">
        <f>_xlfn.XLOOKUP(C68,customers!A:A,customers!B:B,"مش موجود")</f>
        <v>Belvia Umpleby</v>
      </c>
    </row>
    <row r="68" spans="1:17" x14ac:dyDescent="0.25">
      <c r="A68" s="2" t="s">
        <v>860</v>
      </c>
      <c r="B68" s="3">
        <v>44666</v>
      </c>
      <c r="C68" s="2" t="s">
        <v>861</v>
      </c>
      <c r="D68" t="s">
        <v>6173</v>
      </c>
      <c r="E68" s="2">
        <v>1</v>
      </c>
      <c r="F68" s="2" t="str">
        <f>_xlfn.XLOOKUP(Orders[[#This Row],[Customer ID]],customers!A:A,customers!B:B)</f>
        <v>Belvia Umpleby</v>
      </c>
      <c r="G68" s="2" t="str" cm="1">
        <f t="array" ref="G68">IF(_xlfn.XLOOKUP(C68,customers!A67:$A$1001,customers!C67:$C$1001,,0)=0,"",_xlfn.XLOOKUP(C68,customers!A67:$A$1001,customers!C67:$C$1001,,0))</f>
        <v>bumpleby1u@soundcloud.com</v>
      </c>
      <c r="H68" s="2" t="str" cm="1">
        <f t="array" ref="H68">_xlfn.XLOOKUP(C68,customers!A67:$A$1001,customers!G67:$G$1001,"Ireland",0)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1"/>
        <v>7.169999999999999</v>
      </c>
      <c r="N68" t="str" cm="1">
        <f t="array" ref="N68">_xlfn.IFS(I68="Rob","Robusta",I68="Exc","Excelsa",I68="Ara","Arabica",I68="Lib","Liberica")</f>
        <v>Robusta</v>
      </c>
      <c r="O68" t="str" cm="1">
        <f t="array" ref="O68">_xlfn.IFS(J68="M","Midium",J68="L","Light",J68="D","Dark")</f>
        <v>Light</v>
      </c>
      <c r="P68" t="str">
        <f>_xlfn.XLOOKUP(Orders[[#This Row],[Customer ID]],customers!A:A,customers!I:I,,0)</f>
        <v>Yes</v>
      </c>
      <c r="Q68" t="str">
        <f>_xlfn.XLOOKUP(C69,customers!A:A,customers!B:B,"مش موجود")</f>
        <v>Nat Saleway</v>
      </c>
    </row>
    <row r="69" spans="1:17" x14ac:dyDescent="0.25">
      <c r="A69" s="2" t="s">
        <v>866</v>
      </c>
      <c r="B69" s="3">
        <v>44519</v>
      </c>
      <c r="C69" s="2" t="s">
        <v>867</v>
      </c>
      <c r="D69" t="s">
        <v>6145</v>
      </c>
      <c r="E69" s="2">
        <v>2</v>
      </c>
      <c r="F69" s="2" t="str">
        <f>_xlfn.XLOOKUP(Orders[[#This Row],[Customer ID]],customers!A:A,customers!B:B)</f>
        <v>Nat Saleway</v>
      </c>
      <c r="G69" s="2" t="str" cm="1">
        <f t="array" ref="G69">IF(_xlfn.XLOOKUP(C69,customers!A68:$A$1001,customers!C68:$C$1001,,0)=0,"",_xlfn.XLOOKUP(C69,customers!A68:$A$1001,customers!C68:$C$1001,,0))</f>
        <v>nsaleway1v@dedecms.com</v>
      </c>
      <c r="H69" s="2" t="str" cm="1">
        <f t="array" ref="H69">_xlfn.XLOOKUP(C69,customers!A68:$A$1001,customers!G68:$G$1001,"Ireland",0)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1"/>
        <v>9.51</v>
      </c>
      <c r="N69" t="str" cm="1">
        <f t="array" ref="N69">_xlfn.IFS(I69="Rob","Robusta",I69="Exc","Excelsa",I69="Ara","Arabica",I69="Lib","Liberica")</f>
        <v>Liberica</v>
      </c>
      <c r="O69" t="str" cm="1">
        <f t="array" ref="O69">_xlfn.IFS(J69="M","Midium",J69="L","Light",J69="D","Dark")</f>
        <v>Light</v>
      </c>
      <c r="P69" t="str">
        <f>_xlfn.XLOOKUP(Orders[[#This Row],[Customer ID]],customers!A:A,customers!I:I,,0)</f>
        <v>No</v>
      </c>
      <c r="Q69" t="str">
        <f>_xlfn.XLOOKUP(C70,customers!A:A,customers!B:B,"مش موجود")</f>
        <v>Hayward Goulter</v>
      </c>
    </row>
    <row r="70" spans="1:17" x14ac:dyDescent="0.25">
      <c r="A70" s="2" t="s">
        <v>872</v>
      </c>
      <c r="B70" s="3">
        <v>43754</v>
      </c>
      <c r="C70" s="2" t="s">
        <v>873</v>
      </c>
      <c r="D70" t="s">
        <v>6174</v>
      </c>
      <c r="E70" s="2">
        <v>1</v>
      </c>
      <c r="F70" s="2" t="str">
        <f>_xlfn.XLOOKUP(Orders[[#This Row],[Customer ID]],customers!A:A,customers!B:B)</f>
        <v>Hayward Goulter</v>
      </c>
      <c r="G70" s="2" t="str" cm="1">
        <f t="array" ref="G70">IF(_xlfn.XLOOKUP(C70,customers!A69:$A$1001,customers!C69:$C$1001,,0)=0,"",_xlfn.XLOOKUP(C70,customers!A69:$A$1001,customers!C69:$C$1001,,0))</f>
        <v>hgoulter1w@abc.net.au</v>
      </c>
      <c r="H70" s="2" t="str" cm="1">
        <f t="array" ref="H70">_xlfn.XLOOKUP(C70,customers!A69:$A$1001,customers!G69:$G$1001,"Ireland",0)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1"/>
        <v>2.9849999999999999</v>
      </c>
      <c r="N70" t="str" cm="1">
        <f t="array" ref="N70">_xlfn.IFS(I70="Rob","Robusta",I70="Exc","Excelsa",I70="Ara","Arabica",I70="Lib","Liberica")</f>
        <v>Robusta</v>
      </c>
      <c r="O70" t="str" cm="1">
        <f t="array" ref="O70">_xlfn.IFS(J70="M","Midium",J70="L","Light",J70="D","Dark")</f>
        <v>Midium</v>
      </c>
      <c r="P70" t="str">
        <f>_xlfn.XLOOKUP(Orders[[#This Row],[Customer ID]],customers!A:A,customers!I:I,,0)</f>
        <v>No</v>
      </c>
      <c r="Q70" t="str">
        <f>_xlfn.XLOOKUP(C71,customers!A:A,customers!B:B,"مش موجود")</f>
        <v>Gay Rizzello</v>
      </c>
    </row>
    <row r="71" spans="1:17" x14ac:dyDescent="0.25">
      <c r="A71" s="2" t="s">
        <v>878</v>
      </c>
      <c r="B71" s="3">
        <v>43795</v>
      </c>
      <c r="C71" s="2" t="s">
        <v>879</v>
      </c>
      <c r="D71" t="s">
        <v>6138</v>
      </c>
      <c r="E71" s="2">
        <v>6</v>
      </c>
      <c r="F71" s="2" t="str">
        <f>_xlfn.XLOOKUP(Orders[[#This Row],[Customer ID]],customers!A:A,customers!B:B)</f>
        <v>Gay Rizzello</v>
      </c>
      <c r="G71" s="2" t="str" cm="1">
        <f t="array" ref="G71">IF(_xlfn.XLOOKUP(C71,customers!A70:$A$1001,customers!C70:$C$1001,,0)=0,"",_xlfn.XLOOKUP(C71,customers!A70:$A$1001,customers!C70:$C$1001,,0))</f>
        <v>grizzello1x@symantec.com</v>
      </c>
      <c r="H71" s="2" t="str" cm="1">
        <f t="array" ref="H71">_xlfn.XLOOKUP(C71,customers!A70:$A$1001,customers!G70:$G$1001,"Ireland",0)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1"/>
        <v>59.699999999999996</v>
      </c>
      <c r="N71" t="str" cm="1">
        <f t="array" ref="N71">_xlfn.IFS(I71="Rob","Robusta",I71="Exc","Excelsa",I71="Ara","Arabica",I71="Lib","Liberica")</f>
        <v>Robusta</v>
      </c>
      <c r="O71" t="str" cm="1">
        <f t="array" ref="O71">_xlfn.IFS(J71="M","Midium",J71="L","Light",J71="D","Dark")</f>
        <v>Midium</v>
      </c>
      <c r="P71" t="str">
        <f>_xlfn.XLOOKUP(Orders[[#This Row],[Customer ID]],customers!A:A,customers!I:I,,0)</f>
        <v>Yes</v>
      </c>
      <c r="Q71" t="str">
        <f>_xlfn.XLOOKUP(C72,customers!A:A,customers!B:B,"مش موجود")</f>
        <v>Shannon List</v>
      </c>
    </row>
    <row r="72" spans="1:17" x14ac:dyDescent="0.25">
      <c r="A72" s="2" t="s">
        <v>885</v>
      </c>
      <c r="B72" s="3">
        <v>43646</v>
      </c>
      <c r="C72" s="2" t="s">
        <v>886</v>
      </c>
      <c r="D72" t="s">
        <v>6148</v>
      </c>
      <c r="E72" s="2">
        <v>4</v>
      </c>
      <c r="F72" s="2" t="str">
        <f>_xlfn.XLOOKUP(Orders[[#This Row],[Customer ID]],customers!A:A,customers!B:B)</f>
        <v>Shannon List</v>
      </c>
      <c r="G72" s="2" t="str" cm="1">
        <f t="array" ref="G72">IF(_xlfn.XLOOKUP(C72,customers!A71:$A$1001,customers!C71:$C$1001,,0)=0,"",_xlfn.XLOOKUP(C72,customers!A71:$A$1001,customers!C71:$C$1001,,0))</f>
        <v>slist1y@mapquest.com</v>
      </c>
      <c r="H72" s="2" t="str" cm="1">
        <f t="array" ref="H72">_xlfn.XLOOKUP(C72,customers!A71:$A$1001,customers!G71:$G$1001,"Ireland",0)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1"/>
        <v>136.61999999999998</v>
      </c>
      <c r="N72" t="str" cm="1">
        <f t="array" ref="N72">_xlfn.IFS(I72="Rob","Robusta",I72="Exc","Excelsa",I72="Ara","Arabica",I72="Lib","Liberica")</f>
        <v>Excelsa</v>
      </c>
      <c r="O72" t="str" cm="1">
        <f t="array" ref="O72">_xlfn.IFS(J72="M","Midium",J72="L","Light",J72="D","Dark")</f>
        <v>Light</v>
      </c>
      <c r="P72" t="str">
        <f>_xlfn.XLOOKUP(Orders[[#This Row],[Customer ID]],customers!A:A,customers!I:I,,0)</f>
        <v>No</v>
      </c>
      <c r="Q72" t="str">
        <f>_xlfn.XLOOKUP(C73,customers!A:A,customers!B:B,"مش موجود")</f>
        <v>Shirlene Edmondson</v>
      </c>
    </row>
    <row r="73" spans="1:17" x14ac:dyDescent="0.25">
      <c r="A73" s="2" t="s">
        <v>891</v>
      </c>
      <c r="B73" s="3">
        <v>44200</v>
      </c>
      <c r="C73" s="2" t="s">
        <v>892</v>
      </c>
      <c r="D73" t="s">
        <v>6145</v>
      </c>
      <c r="E73" s="2">
        <v>2</v>
      </c>
      <c r="F73" s="2" t="str">
        <f>_xlfn.XLOOKUP(Orders[[#This Row],[Customer ID]],customers!A:A,customers!B:B)</f>
        <v>Shirlene Edmondson</v>
      </c>
      <c r="G73" s="2" t="str" cm="1">
        <f t="array" ref="G73">IF(_xlfn.XLOOKUP(C73,customers!A72:$A$1001,customers!C72:$C$1001,,0)=0,"",_xlfn.XLOOKUP(C73,customers!A72:$A$1001,customers!C72:$C$1001,,0))</f>
        <v>sedmondson1z@theguardian.com</v>
      </c>
      <c r="H73" s="2" t="str" cm="1">
        <f t="array" ref="H73">_xlfn.XLOOKUP(C73,customers!A72:$A$1001,customers!G72:$G$1001,"Ireland",0)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1"/>
        <v>9.51</v>
      </c>
      <c r="N73" t="str" cm="1">
        <f t="array" ref="N73">_xlfn.IFS(I73="Rob","Robusta",I73="Exc","Excelsa",I73="Ara","Arabica",I73="Lib","Liberica")</f>
        <v>Liberica</v>
      </c>
      <c r="O73" t="str" cm="1">
        <f t="array" ref="O73">_xlfn.IFS(J73="M","Midium",J73="L","Light",J73="D","Dark")</f>
        <v>Light</v>
      </c>
      <c r="P73" t="str">
        <f>_xlfn.XLOOKUP(Orders[[#This Row],[Customer ID]],customers!A:A,customers!I:I,,0)</f>
        <v>No</v>
      </c>
      <c r="Q73" t="str">
        <f>_xlfn.XLOOKUP(C74,customers!A:A,customers!B:B,"مش موجود")</f>
        <v>Aurlie McCarl</v>
      </c>
    </row>
    <row r="74" spans="1:17" x14ac:dyDescent="0.25">
      <c r="A74" s="2" t="s">
        <v>897</v>
      </c>
      <c r="B74" s="3">
        <v>44131</v>
      </c>
      <c r="C74" s="2" t="s">
        <v>898</v>
      </c>
      <c r="D74" t="s">
        <v>6175</v>
      </c>
      <c r="E74" s="2">
        <v>3</v>
      </c>
      <c r="F74" s="2" t="str">
        <f>_xlfn.XLOOKUP(Orders[[#This Row],[Customer ID]],customers!A:A,customers!B:B)</f>
        <v>Aurlie McCarl</v>
      </c>
      <c r="G74" s="2" t="str" cm="1">
        <f t="array" ref="G74">IF(_xlfn.XLOOKUP(C74,customers!A73:$A$1001,customers!C73:$C$1001,,0)=0,"",_xlfn.XLOOKUP(C74,customers!A73:$A$1001,customers!C73:$C$1001,,0))</f>
        <v/>
      </c>
      <c r="H74" s="2" t="str" cm="1">
        <f t="array" ref="H74">_xlfn.XLOOKUP(C74,customers!A73:$A$1001,customers!G73:$G$1001,"Ireland",0)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1"/>
        <v>77.624999999999986</v>
      </c>
      <c r="N74" t="str" cm="1">
        <f t="array" ref="N74">_xlfn.IFS(I74="Rob","Robusta",I74="Exc","Excelsa",I74="Ara","Arabica",I74="Lib","Liberica")</f>
        <v>Arabica</v>
      </c>
      <c r="O74" t="str" cm="1">
        <f t="array" ref="O74">_xlfn.IFS(J74="M","Midium",J74="L","Light",J74="D","Dark")</f>
        <v>Midium</v>
      </c>
      <c r="P74" t="str">
        <f>_xlfn.XLOOKUP(Orders[[#This Row],[Customer ID]],customers!A:A,customers!I:I,,0)</f>
        <v>No</v>
      </c>
      <c r="Q74" t="str">
        <f>_xlfn.XLOOKUP(C75,customers!A:A,customers!B:B,"مش موجود")</f>
        <v>Alikee Carryer</v>
      </c>
    </row>
    <row r="75" spans="1:17" x14ac:dyDescent="0.25">
      <c r="A75" s="2" t="s">
        <v>902</v>
      </c>
      <c r="B75" s="3">
        <v>44362</v>
      </c>
      <c r="C75" s="2" t="s">
        <v>903</v>
      </c>
      <c r="D75" t="s">
        <v>6159</v>
      </c>
      <c r="E75" s="2">
        <v>5</v>
      </c>
      <c r="F75" s="2" t="str">
        <f>_xlfn.XLOOKUP(Orders[[#This Row],[Customer ID]],customers!A:A,customers!B:B)</f>
        <v>Alikee Carryer</v>
      </c>
      <c r="G75" s="2" t="str" cm="1">
        <f t="array" ref="G75">IF(_xlfn.XLOOKUP(C75,customers!A74:$A$1001,customers!C74:$C$1001,,0)=0,"",_xlfn.XLOOKUP(C75,customers!A74:$A$1001,customers!C74:$C$1001,,0))</f>
        <v/>
      </c>
      <c r="H75" s="2" t="str" cm="1">
        <f t="array" ref="H75">_xlfn.XLOOKUP(C75,customers!A74:$A$1001,customers!G74:$G$1001,"Ireland",0)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1"/>
        <v>21.825000000000003</v>
      </c>
      <c r="N75" t="str" cm="1">
        <f t="array" ref="N75">_xlfn.IFS(I75="Rob","Robusta",I75="Exc","Excelsa",I75="Ara","Arabica",I75="Lib","Liberica")</f>
        <v>Liberica</v>
      </c>
      <c r="O75" t="str" cm="1">
        <f t="array" ref="O75">_xlfn.IFS(J75="M","Midium",J75="L","Light",J75="D","Dark")</f>
        <v>Midium</v>
      </c>
      <c r="P75" t="str">
        <f>_xlfn.XLOOKUP(Orders[[#This Row],[Customer ID]],customers!A:A,customers!I:I,,0)</f>
        <v>Yes</v>
      </c>
      <c r="Q75" t="str">
        <f>_xlfn.XLOOKUP(C76,customers!A:A,customers!B:B,"مش موجود")</f>
        <v>Jennifer Rangall</v>
      </c>
    </row>
    <row r="76" spans="1:17" x14ac:dyDescent="0.25">
      <c r="A76" s="2" t="s">
        <v>907</v>
      </c>
      <c r="B76" s="3">
        <v>44396</v>
      </c>
      <c r="C76" s="2" t="s">
        <v>908</v>
      </c>
      <c r="D76" t="s">
        <v>6176</v>
      </c>
      <c r="E76" s="2">
        <v>2</v>
      </c>
      <c r="F76" s="2" t="str">
        <f>_xlfn.XLOOKUP(Orders[[#This Row],[Customer ID]],customers!A:A,customers!B:B)</f>
        <v>Jennifer Rangall</v>
      </c>
      <c r="G76" s="2" t="str" cm="1">
        <f t="array" ref="G76">IF(_xlfn.XLOOKUP(C76,customers!A75:$A$1001,customers!C75:$C$1001,,0)=0,"",_xlfn.XLOOKUP(C76,customers!A75:$A$1001,customers!C75:$C$1001,,0))</f>
        <v>jrangall22@newsvine.com</v>
      </c>
      <c r="H76" s="2" t="str" cm="1">
        <f t="array" ref="H76">_xlfn.XLOOKUP(C76,customers!A75:$A$1001,customers!G75:$G$1001,"Ireland",0)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1"/>
        <v>17.82</v>
      </c>
      <c r="N76" t="str" cm="1">
        <f t="array" ref="N76">_xlfn.IFS(I76="Rob","Robusta",I76="Exc","Excelsa",I76="Ara","Arabica",I76="Lib","Liberica")</f>
        <v>Excelsa</v>
      </c>
      <c r="O76" t="str" cm="1">
        <f t="array" ref="O76">_xlfn.IFS(J76="M","Midium",J76="L","Light",J76="D","Dark")</f>
        <v>Light</v>
      </c>
      <c r="P76" t="str">
        <f>_xlfn.XLOOKUP(Orders[[#This Row],[Customer ID]],customers!A:A,customers!I:I,,0)</f>
        <v>Yes</v>
      </c>
      <c r="Q76" t="str">
        <f>_xlfn.XLOOKUP(C77,customers!A:A,customers!B:B,"مش موجود")</f>
        <v>Kipper Boorn</v>
      </c>
    </row>
    <row r="77" spans="1:17" x14ac:dyDescent="0.25">
      <c r="A77" s="2" t="s">
        <v>913</v>
      </c>
      <c r="B77" s="3">
        <v>44400</v>
      </c>
      <c r="C77" s="2" t="s">
        <v>914</v>
      </c>
      <c r="D77" t="s">
        <v>6177</v>
      </c>
      <c r="E77" s="2">
        <v>6</v>
      </c>
      <c r="F77" s="2" t="str">
        <f>_xlfn.XLOOKUP(Orders[[#This Row],[Customer ID]],customers!A:A,customers!B:B)</f>
        <v>Kipper Boorn</v>
      </c>
      <c r="G77" s="2" t="str" cm="1">
        <f t="array" ref="G77">IF(_xlfn.XLOOKUP(C77,customers!A76:$A$1001,customers!C76:$C$1001,,0)=0,"",_xlfn.XLOOKUP(C77,customers!A76:$A$1001,customers!C76:$C$1001,,0))</f>
        <v>kboorn23@ezinearticles.com</v>
      </c>
      <c r="H77" s="2" t="str" cm="1">
        <f t="array" ref="H77">_xlfn.XLOOKUP(C77,customers!A76:$A$1001,customers!G76:$G$1001,"Ireland",0)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1"/>
        <v>53.699999999999996</v>
      </c>
      <c r="N77" t="str" cm="1">
        <f t="array" ref="N77">_xlfn.IFS(I77="Rob","Robusta",I77="Exc","Excelsa",I77="Ara","Arabica",I77="Lib","Liberica")</f>
        <v>Robusta</v>
      </c>
      <c r="O77" t="str" cm="1">
        <f t="array" ref="O77">_xlfn.IFS(J77="M","Midium",J77="L","Light",J77="D","Dark")</f>
        <v>Dark</v>
      </c>
      <c r="P77" t="str">
        <f>_xlfn.XLOOKUP(Orders[[#This Row],[Customer ID]],customers!A:A,customers!I:I,,0)</f>
        <v>Yes</v>
      </c>
      <c r="Q77" t="str">
        <f>_xlfn.XLOOKUP(C78,customers!A:A,customers!B:B,"مش موجود")</f>
        <v>Melania Beadle</v>
      </c>
    </row>
    <row r="78" spans="1:17" x14ac:dyDescent="0.25">
      <c r="A78" s="2" t="s">
        <v>919</v>
      </c>
      <c r="B78" s="3">
        <v>43855</v>
      </c>
      <c r="C78" s="2" t="s">
        <v>920</v>
      </c>
      <c r="D78" t="s">
        <v>6178</v>
      </c>
      <c r="E78" s="2">
        <v>1</v>
      </c>
      <c r="F78" s="2" t="str">
        <f>_xlfn.XLOOKUP(Orders[[#This Row],[Customer ID]],customers!A:A,customers!B:B)</f>
        <v>Melania Beadle</v>
      </c>
      <c r="G78" s="2" t="str" cm="1">
        <f t="array" ref="G78">IF(_xlfn.XLOOKUP(C78,customers!A77:$A$1001,customers!C77:$C$1001,,0)=0,"",_xlfn.XLOOKUP(C78,customers!A77:$A$1001,customers!C77:$C$1001,,0))</f>
        <v/>
      </c>
      <c r="H78" s="2" t="str" cm="1">
        <f t="array" ref="H78">_xlfn.XLOOKUP(C78,customers!A77:$A$1001,customers!G77:$G$1001,"Ireland",0)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1"/>
        <v>3.5849999999999995</v>
      </c>
      <c r="N78" t="str" cm="1">
        <f t="array" ref="N78">_xlfn.IFS(I78="Rob","Robusta",I78="Exc","Excelsa",I78="Ara","Arabica",I78="Lib","Liberica")</f>
        <v>Robusta</v>
      </c>
      <c r="O78" t="str" cm="1">
        <f t="array" ref="O78">_xlfn.IFS(J78="M","Midium",J78="L","Light",J78="D","Dark")</f>
        <v>Light</v>
      </c>
      <c r="P78" t="str">
        <f>_xlfn.XLOOKUP(Orders[[#This Row],[Customer ID]],customers!A:A,customers!I:I,,0)</f>
        <v>Yes</v>
      </c>
      <c r="Q78" t="str">
        <f>_xlfn.XLOOKUP(C79,customers!A:A,customers!B:B,"مش موجود")</f>
        <v>Colene Elgey</v>
      </c>
    </row>
    <row r="79" spans="1:17" x14ac:dyDescent="0.25">
      <c r="A79" s="2" t="s">
        <v>924</v>
      </c>
      <c r="B79" s="3">
        <v>43594</v>
      </c>
      <c r="C79" s="2" t="s">
        <v>925</v>
      </c>
      <c r="D79" t="s">
        <v>6153</v>
      </c>
      <c r="E79" s="2">
        <v>2</v>
      </c>
      <c r="F79" s="2" t="str">
        <f>_xlfn.XLOOKUP(Orders[[#This Row],[Customer ID]],customers!A:A,customers!B:B)</f>
        <v>Colene Elgey</v>
      </c>
      <c r="G79" s="2" t="str" cm="1">
        <f t="array" ref="G79">IF(_xlfn.XLOOKUP(C79,customers!A78:$A$1001,customers!C78:$C$1001,,0)=0,"",_xlfn.XLOOKUP(C79,customers!A78:$A$1001,customers!C78:$C$1001,,0))</f>
        <v>celgey25@webs.com</v>
      </c>
      <c r="H79" s="2" t="str" cm="1">
        <f t="array" ref="H79">_xlfn.XLOOKUP(C79,customers!A78:$A$1001,customers!G78:$G$1001,"Ireland",0)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1"/>
        <v>7.29</v>
      </c>
      <c r="N79" t="str" cm="1">
        <f t="array" ref="N79">_xlfn.IFS(I79="Rob","Robusta",I79="Exc","Excelsa",I79="Ara","Arabica",I79="Lib","Liberica")</f>
        <v>Excelsa</v>
      </c>
      <c r="O79" t="str" cm="1">
        <f t="array" ref="O79">_xlfn.IFS(J79="M","Midium",J79="L","Light",J79="D","Dark")</f>
        <v>Dark</v>
      </c>
      <c r="P79" t="str">
        <f>_xlfn.XLOOKUP(Orders[[#This Row],[Customer ID]],customers!A:A,customers!I:I,,0)</f>
        <v>No</v>
      </c>
      <c r="Q79" t="str">
        <f>_xlfn.XLOOKUP(C80,customers!A:A,customers!B:B,"مش موجود")</f>
        <v>Lothaire Mizzi</v>
      </c>
    </row>
    <row r="80" spans="1:17" x14ac:dyDescent="0.25">
      <c r="A80" s="2" t="s">
        <v>930</v>
      </c>
      <c r="B80" s="3">
        <v>43920</v>
      </c>
      <c r="C80" s="2" t="s">
        <v>931</v>
      </c>
      <c r="D80" t="s">
        <v>6157</v>
      </c>
      <c r="E80" s="2">
        <v>6</v>
      </c>
      <c r="F80" s="2" t="str">
        <f>_xlfn.XLOOKUP(Orders[[#This Row],[Customer ID]],customers!A:A,customers!B:B)</f>
        <v>Lothaire Mizzi</v>
      </c>
      <c r="G80" s="2" t="str" cm="1">
        <f t="array" ref="G80">IF(_xlfn.XLOOKUP(C80,customers!A79:$A$1001,customers!C79:$C$1001,,0)=0,"",_xlfn.XLOOKUP(C80,customers!A79:$A$1001,customers!C79:$C$1001,,0))</f>
        <v>lmizzi26@rakuten.co.jp</v>
      </c>
      <c r="H80" s="2" t="str" cm="1">
        <f t="array" ref="H80">_xlfn.XLOOKUP(C80,customers!A79:$A$1001,customers!G79:$G$1001,"Ireland",0)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1"/>
        <v>40.5</v>
      </c>
      <c r="N80" t="str" cm="1">
        <f t="array" ref="N80">_xlfn.IFS(I80="Rob","Robusta",I80="Exc","Excelsa",I80="Ara","Arabica",I80="Lib","Liberica")</f>
        <v>Arabica</v>
      </c>
      <c r="O80" t="str" cm="1">
        <f t="array" ref="O80">_xlfn.IFS(J80="M","Midium",J80="L","Light",J80="D","Dark")</f>
        <v>Midium</v>
      </c>
      <c r="P80" t="str">
        <f>_xlfn.XLOOKUP(Orders[[#This Row],[Customer ID]],customers!A:A,customers!I:I,,0)</f>
        <v>Yes</v>
      </c>
      <c r="Q80" t="str">
        <f>_xlfn.XLOOKUP(C81,customers!A:A,customers!B:B,"مش موجود")</f>
        <v>Cletis Giacomazzo</v>
      </c>
    </row>
    <row r="81" spans="1:17" x14ac:dyDescent="0.25">
      <c r="A81" s="2" t="s">
        <v>936</v>
      </c>
      <c r="B81" s="3">
        <v>44633</v>
      </c>
      <c r="C81" s="2" t="s">
        <v>937</v>
      </c>
      <c r="D81" t="s">
        <v>6179</v>
      </c>
      <c r="E81" s="2">
        <v>4</v>
      </c>
      <c r="F81" s="2" t="str">
        <f>_xlfn.XLOOKUP(Orders[[#This Row],[Customer ID]],customers!A:A,customers!B:B)</f>
        <v>Cletis Giacomazzo</v>
      </c>
      <c r="G81" s="2" t="str" cm="1">
        <f t="array" ref="G81">IF(_xlfn.XLOOKUP(C81,customers!A80:$A$1001,customers!C80:$C$1001,,0)=0,"",_xlfn.XLOOKUP(C81,customers!A80:$A$1001,customers!C80:$C$1001,,0))</f>
        <v>cgiacomazzo27@jigsy.com</v>
      </c>
      <c r="H81" s="2" t="str" cm="1">
        <f t="array" ref="H81">_xlfn.XLOOKUP(C81,customers!A80:$A$1001,customers!G80:$G$1001,"Ireland",0)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1"/>
        <v>47.8</v>
      </c>
      <c r="N81" t="str" cm="1">
        <f t="array" ref="N81">_xlfn.IFS(I81="Rob","Robusta",I81="Exc","Excelsa",I81="Ara","Arabica",I81="Lib","Liberica")</f>
        <v>Robusta</v>
      </c>
      <c r="O81" t="str" cm="1">
        <f t="array" ref="O81">_xlfn.IFS(J81="M","Midium",J81="L","Light",J81="D","Dark")</f>
        <v>Light</v>
      </c>
      <c r="P81" t="str">
        <f>_xlfn.XLOOKUP(Orders[[#This Row],[Customer ID]],customers!A:A,customers!I:I,,0)</f>
        <v>No</v>
      </c>
      <c r="Q81" t="str">
        <f>_xlfn.XLOOKUP(C82,customers!A:A,customers!B:B,"مش موجود")</f>
        <v>Ami Arnow</v>
      </c>
    </row>
    <row r="82" spans="1:17" x14ac:dyDescent="0.25">
      <c r="A82" s="2" t="s">
        <v>942</v>
      </c>
      <c r="B82" s="3">
        <v>43572</v>
      </c>
      <c r="C82" s="2" t="s">
        <v>943</v>
      </c>
      <c r="D82" t="s">
        <v>6180</v>
      </c>
      <c r="E82" s="2">
        <v>5</v>
      </c>
      <c r="F82" s="2" t="str">
        <f>_xlfn.XLOOKUP(Orders[[#This Row],[Customer ID]],customers!A:A,customers!B:B)</f>
        <v>Ami Arnow</v>
      </c>
      <c r="G82" s="2" t="str" cm="1">
        <f t="array" ref="G82">IF(_xlfn.XLOOKUP(C82,customers!A81:$A$1001,customers!C81:$C$1001,,0)=0,"",_xlfn.XLOOKUP(C82,customers!A81:$A$1001,customers!C81:$C$1001,,0))</f>
        <v>aarnow28@arizona.edu</v>
      </c>
      <c r="H82" s="2" t="str" cm="1">
        <f t="array" ref="H82">_xlfn.XLOOKUP(C82,customers!A81:$A$1001,customers!G81:$G$1001,"Ireland",0)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1"/>
        <v>38.849999999999994</v>
      </c>
      <c r="N82" t="str" cm="1">
        <f t="array" ref="N82">_xlfn.IFS(I82="Rob","Robusta",I82="Exc","Excelsa",I82="Ara","Arabica",I82="Lib","Liberica")</f>
        <v>Arabica</v>
      </c>
      <c r="O82" t="str" cm="1">
        <f t="array" ref="O82">_xlfn.IFS(J82="M","Midium",J82="L","Light",J82="D","Dark")</f>
        <v>Light</v>
      </c>
      <c r="P82" t="str">
        <f>_xlfn.XLOOKUP(Orders[[#This Row],[Customer ID]],customers!A:A,customers!I:I,,0)</f>
        <v>Yes</v>
      </c>
      <c r="Q82" t="str">
        <f>_xlfn.XLOOKUP(C83,customers!A:A,customers!B:B,"مش موجود")</f>
        <v>Sheppard Yann</v>
      </c>
    </row>
    <row r="83" spans="1:17" x14ac:dyDescent="0.25">
      <c r="A83" s="2" t="s">
        <v>948</v>
      </c>
      <c r="B83" s="3">
        <v>43763</v>
      </c>
      <c r="C83" s="2" t="s">
        <v>949</v>
      </c>
      <c r="D83" t="s">
        <v>6164</v>
      </c>
      <c r="E83" s="2">
        <v>3</v>
      </c>
      <c r="F83" s="2" t="str">
        <f>_xlfn.XLOOKUP(Orders[[#This Row],[Customer ID]],customers!A:A,customers!B:B)</f>
        <v>Sheppard Yann</v>
      </c>
      <c r="G83" s="2" t="str" cm="1">
        <f t="array" ref="G83">IF(_xlfn.XLOOKUP(C83,customers!A82:$A$1001,customers!C82:$C$1001,,0)=0,"",_xlfn.XLOOKUP(C83,customers!A82:$A$1001,customers!C82:$C$1001,,0))</f>
        <v>syann29@senate.gov</v>
      </c>
      <c r="H83" s="2" t="str" cm="1">
        <f t="array" ref="H83">_xlfn.XLOOKUP(C83,customers!A82:$A$1001,customers!G82:$G$1001,"Ireland",0)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1"/>
        <v>109.36499999999999</v>
      </c>
      <c r="N83" t="str" cm="1">
        <f t="array" ref="N83">_xlfn.IFS(I83="Rob","Robusta",I83="Exc","Excelsa",I83="Ara","Arabica",I83="Lib","Liberica")</f>
        <v>Liberica</v>
      </c>
      <c r="O83" t="str" cm="1">
        <f t="array" ref="O83">_xlfn.IFS(J83="M","Midium",J83="L","Light",J83="D","Dark")</f>
        <v>Light</v>
      </c>
      <c r="P83" t="str">
        <f>_xlfn.XLOOKUP(Orders[[#This Row],[Customer ID]],customers!A:A,customers!I:I,,0)</f>
        <v>Yes</v>
      </c>
      <c r="Q83" t="str">
        <f>_xlfn.XLOOKUP(C84,customers!A:A,customers!B:B,"مش موجود")</f>
        <v>Bunny Naulls</v>
      </c>
    </row>
    <row r="84" spans="1:17" x14ac:dyDescent="0.25">
      <c r="A84" s="2" t="s">
        <v>954</v>
      </c>
      <c r="B84" s="3">
        <v>43721</v>
      </c>
      <c r="C84" s="2" t="s">
        <v>955</v>
      </c>
      <c r="D84" t="s">
        <v>6181</v>
      </c>
      <c r="E84" s="2">
        <v>3</v>
      </c>
      <c r="F84" s="2" t="str">
        <f>_xlfn.XLOOKUP(Orders[[#This Row],[Customer ID]],customers!A:A,customers!B:B)</f>
        <v>Bunny Naulls</v>
      </c>
      <c r="G84" s="2" t="str" cm="1">
        <f t="array" ref="G84">IF(_xlfn.XLOOKUP(C84,customers!A83:$A$1001,customers!C83:$C$1001,,0)=0,"",_xlfn.XLOOKUP(C84,customers!A83:$A$1001,customers!C83:$C$1001,,0))</f>
        <v>bnaulls2a@tiny.cc</v>
      </c>
      <c r="H84" s="2" t="str" cm="1">
        <f t="array" ref="H84">_xlfn.XLOOKUP(C84,customers!A83:$A$1001,customers!G83:$G$1001,"Ireland",0)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1"/>
        <v>100.39499999999998</v>
      </c>
      <c r="N84" t="str" cm="1">
        <f t="array" ref="N84">_xlfn.IFS(I84="Rob","Robusta",I84="Exc","Excelsa",I84="Ara","Arabica",I84="Lib","Liberica")</f>
        <v>Liberica</v>
      </c>
      <c r="O84" t="str" cm="1">
        <f t="array" ref="O84">_xlfn.IFS(J84="M","Midium",J84="L","Light",J84="D","Dark")</f>
        <v>Midium</v>
      </c>
      <c r="P84" t="str">
        <f>_xlfn.XLOOKUP(Orders[[#This Row],[Customer ID]],customers!A:A,customers!I:I,,0)</f>
        <v>Yes</v>
      </c>
      <c r="Q84" t="str">
        <f>_xlfn.XLOOKUP(C85,customers!A:A,customers!B:B,"مش موجود")</f>
        <v>Hally Lorait</v>
      </c>
    </row>
    <row r="85" spans="1:17" x14ac:dyDescent="0.25">
      <c r="A85" s="2" t="s">
        <v>960</v>
      </c>
      <c r="B85" s="3">
        <v>43933</v>
      </c>
      <c r="C85" s="2" t="s">
        <v>961</v>
      </c>
      <c r="D85" t="s">
        <v>6149</v>
      </c>
      <c r="E85" s="2">
        <v>4</v>
      </c>
      <c r="F85" s="2" t="str">
        <f>_xlfn.XLOOKUP(Orders[[#This Row],[Customer ID]],customers!A:A,customers!B:B)</f>
        <v>Hally Lorait</v>
      </c>
      <c r="G85" s="2" t="str" cm="1">
        <f t="array" ref="G85">IF(_xlfn.XLOOKUP(C85,customers!A84:$A$1001,customers!C84:$C$1001,,0)=0,"",_xlfn.XLOOKUP(C85,customers!A84:$A$1001,customers!C84:$C$1001,,0))</f>
        <v/>
      </c>
      <c r="H85" s="2" t="str" cm="1">
        <f t="array" ref="H85">_xlfn.XLOOKUP(C85,customers!A84:$A$1001,customers!G84:$G$1001,"Ireland",0)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1"/>
        <v>82.339999999999989</v>
      </c>
      <c r="N85" t="str" cm="1">
        <f t="array" ref="N85">_xlfn.IFS(I85="Rob","Robusta",I85="Exc","Excelsa",I85="Ara","Arabica",I85="Lib","Liberica")</f>
        <v>Robusta</v>
      </c>
      <c r="O85" t="str" cm="1">
        <f t="array" ref="O85">_xlfn.IFS(J85="M","Midium",J85="L","Light",J85="D","Dark")</f>
        <v>Dark</v>
      </c>
      <c r="P85" t="str">
        <f>_xlfn.XLOOKUP(Orders[[#This Row],[Customer ID]],customers!A:A,customers!I:I,,0)</f>
        <v>Yes</v>
      </c>
      <c r="Q85" t="str">
        <f>_xlfn.XLOOKUP(C86,customers!A:A,customers!B:B,"مش موجود")</f>
        <v>Zaccaria Sherewood</v>
      </c>
    </row>
    <row r="86" spans="1:17" x14ac:dyDescent="0.25">
      <c r="A86" s="2" t="s">
        <v>965</v>
      </c>
      <c r="B86" s="3">
        <v>43783</v>
      </c>
      <c r="C86" s="2" t="s">
        <v>966</v>
      </c>
      <c r="D86" t="s">
        <v>6161</v>
      </c>
      <c r="E86" s="2">
        <v>1</v>
      </c>
      <c r="F86" s="2" t="str">
        <f>_xlfn.XLOOKUP(Orders[[#This Row],[Customer ID]],customers!A:A,customers!B:B)</f>
        <v>Zaccaria Sherewood</v>
      </c>
      <c r="G86" s="2" t="str" cm="1">
        <f t="array" ref="G86">IF(_xlfn.XLOOKUP(C86,customers!A85:$A$1001,customers!C85:$C$1001,,0)=0,"",_xlfn.XLOOKUP(C86,customers!A85:$A$1001,customers!C85:$C$1001,,0))</f>
        <v>zsherewood2c@apache.org</v>
      </c>
      <c r="H86" s="2" t="str" cm="1">
        <f t="array" ref="H86">_xlfn.XLOOKUP(C86,customers!A85:$A$1001,customers!G85:$G$1001,"Ireland",0)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1"/>
        <v>9.51</v>
      </c>
      <c r="N86" t="str" cm="1">
        <f t="array" ref="N86">_xlfn.IFS(I86="Rob","Robusta",I86="Exc","Excelsa",I86="Ara","Arabica",I86="Lib","Liberica")</f>
        <v>Liberica</v>
      </c>
      <c r="O86" t="str" cm="1">
        <f t="array" ref="O86">_xlfn.IFS(J86="M","Midium",J86="L","Light",J86="D","Dark")</f>
        <v>Light</v>
      </c>
      <c r="P86" t="str">
        <f>_xlfn.XLOOKUP(Orders[[#This Row],[Customer ID]],customers!A:A,customers!I:I,,0)</f>
        <v>No</v>
      </c>
      <c r="Q86" t="str">
        <f>_xlfn.XLOOKUP(C87,customers!A:A,customers!B:B,"مش موجود")</f>
        <v>Jeffrey Dufaire</v>
      </c>
    </row>
    <row r="87" spans="1:17" x14ac:dyDescent="0.25">
      <c r="A87" s="2" t="s">
        <v>971</v>
      </c>
      <c r="B87" s="3">
        <v>43664</v>
      </c>
      <c r="C87" s="2" t="s">
        <v>972</v>
      </c>
      <c r="D87" t="s">
        <v>6182</v>
      </c>
      <c r="E87" s="2">
        <v>3</v>
      </c>
      <c r="F87" s="2" t="str">
        <f>_xlfn.XLOOKUP(Orders[[#This Row],[Customer ID]],customers!A:A,customers!B:B)</f>
        <v>Jeffrey Dufaire</v>
      </c>
      <c r="G87" s="2" t="str" cm="1">
        <f t="array" ref="G87">IF(_xlfn.XLOOKUP(C87,customers!A86:$A$1001,customers!C86:$C$1001,,0)=0,"",_xlfn.XLOOKUP(C87,customers!A86:$A$1001,customers!C86:$C$1001,,0))</f>
        <v>jdufaire2d@fc2.com</v>
      </c>
      <c r="H87" s="2" t="str" cm="1">
        <f t="array" ref="H87">_xlfn.XLOOKUP(C87,customers!A86:$A$1001,customers!G86:$G$1001,"Ireland",0)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1"/>
        <v>89.35499999999999</v>
      </c>
      <c r="N87" t="str" cm="1">
        <f t="array" ref="N87">_xlfn.IFS(I87="Rob","Robusta",I87="Exc","Excelsa",I87="Ara","Arabica",I87="Lib","Liberica")</f>
        <v>Arabica</v>
      </c>
      <c r="O87" t="str" cm="1">
        <f t="array" ref="O87">_xlfn.IFS(J87="M","Midium",J87="L","Light",J87="D","Dark")</f>
        <v>Light</v>
      </c>
      <c r="P87" t="str">
        <f>_xlfn.XLOOKUP(Orders[[#This Row],[Customer ID]],customers!A:A,customers!I:I,,0)</f>
        <v>No</v>
      </c>
      <c r="Q87" t="str">
        <f>_xlfn.XLOOKUP(C88,customers!A:A,customers!B:B,"مش موجود")</f>
        <v>Jeffrey Dufaire</v>
      </c>
    </row>
    <row r="88" spans="1:17" x14ac:dyDescent="0.25">
      <c r="A88" s="2" t="s">
        <v>971</v>
      </c>
      <c r="B88" s="3">
        <v>43664</v>
      </c>
      <c r="C88" s="2" t="s">
        <v>972</v>
      </c>
      <c r="D88" t="s">
        <v>6154</v>
      </c>
      <c r="E88" s="2">
        <v>4</v>
      </c>
      <c r="F88" s="2" t="str">
        <f>_xlfn.XLOOKUP(Orders[[#This Row],[Customer ID]],customers!A:A,customers!B:B)</f>
        <v>Jeffrey Dufaire</v>
      </c>
      <c r="G88" s="2" t="str" cm="1">
        <f t="array" ref="G88">IF(_xlfn.XLOOKUP(C88,customers!A87:$A$1001,customers!C87:$C$1001,,0)=0,"",_xlfn.XLOOKUP(C88,customers!A87:$A$1001,customers!C87:$C$1001,,0))</f>
        <v>jdufaire2d@fc2.com</v>
      </c>
      <c r="H88" s="2" t="str" cm="1">
        <f t="array" ref="H88">_xlfn.XLOOKUP(C88,customers!A87:$A$1001,customers!G87:$G$1001,"Ireland",0)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1"/>
        <v>11.94</v>
      </c>
      <c r="N88" t="str" cm="1">
        <f t="array" ref="N88">_xlfn.IFS(I88="Rob","Robusta",I88="Exc","Excelsa",I88="Ara","Arabica",I88="Lib","Liberica")</f>
        <v>Arabica</v>
      </c>
      <c r="O88" t="str" cm="1">
        <f t="array" ref="O88">_xlfn.IFS(J88="M","Midium",J88="L","Light",J88="D","Dark")</f>
        <v>Dark</v>
      </c>
      <c r="P88" t="str">
        <f>_xlfn.XLOOKUP(Orders[[#This Row],[Customer ID]],customers!A:A,customers!I:I,,0)</f>
        <v>No</v>
      </c>
      <c r="Q88" t="str">
        <f>_xlfn.XLOOKUP(C89,customers!A:A,customers!B:B,"مش موجود")</f>
        <v>Beitris Keaveney</v>
      </c>
    </row>
    <row r="89" spans="1:17" x14ac:dyDescent="0.25">
      <c r="A89" s="2" t="s">
        <v>980</v>
      </c>
      <c r="B89" s="3">
        <v>44289</v>
      </c>
      <c r="C89" s="2" t="s">
        <v>981</v>
      </c>
      <c r="D89" t="s">
        <v>6155</v>
      </c>
      <c r="E89" s="2">
        <v>3</v>
      </c>
      <c r="F89" s="2" t="str">
        <f>_xlfn.XLOOKUP(Orders[[#This Row],[Customer ID]],customers!A:A,customers!B:B)</f>
        <v>Beitris Keaveney</v>
      </c>
      <c r="G89" s="2" t="str" cm="1">
        <f t="array" ref="G89">IF(_xlfn.XLOOKUP(C89,customers!A88:$A$1001,customers!C88:$C$1001,,0)=0,"",_xlfn.XLOOKUP(C89,customers!A88:$A$1001,customers!C88:$C$1001,,0))</f>
        <v>bkeaveney2f@netlog.com</v>
      </c>
      <c r="H89" s="2" t="str" cm="1">
        <f t="array" ref="H89">_xlfn.XLOOKUP(C89,customers!A88:$A$1001,customers!G88:$G$1001,"Ireland",0)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1"/>
        <v>33.75</v>
      </c>
      <c r="N89" t="str" cm="1">
        <f t="array" ref="N89">_xlfn.IFS(I89="Rob","Robusta",I89="Exc","Excelsa",I89="Ara","Arabica",I89="Lib","Liberica")</f>
        <v>Arabica</v>
      </c>
      <c r="O89" t="str" cm="1">
        <f t="array" ref="O89">_xlfn.IFS(J89="M","Midium",J89="L","Light",J89="D","Dark")</f>
        <v>Midium</v>
      </c>
      <c r="P89" t="str">
        <f>_xlfn.XLOOKUP(Orders[[#This Row],[Customer ID]],customers!A:A,customers!I:I,,0)</f>
        <v>No</v>
      </c>
      <c r="Q89" t="str">
        <f>_xlfn.XLOOKUP(C90,customers!A:A,customers!B:B,"مش موجود")</f>
        <v>Elna Grise</v>
      </c>
    </row>
    <row r="90" spans="1:17" x14ac:dyDescent="0.25">
      <c r="A90" s="2" t="s">
        <v>985</v>
      </c>
      <c r="B90" s="3">
        <v>44284</v>
      </c>
      <c r="C90" s="2" t="s">
        <v>986</v>
      </c>
      <c r="D90" t="s">
        <v>6179</v>
      </c>
      <c r="E90" s="2">
        <v>3</v>
      </c>
      <c r="F90" s="2" t="str">
        <f>_xlfn.XLOOKUP(Orders[[#This Row],[Customer ID]],customers!A:A,customers!B:B)</f>
        <v>Elna Grise</v>
      </c>
      <c r="G90" s="2" t="str" cm="1">
        <f t="array" ref="G90">IF(_xlfn.XLOOKUP(C90,customers!A89:$A$1001,customers!C89:$C$1001,,0)=0,"",_xlfn.XLOOKUP(C90,customers!A89:$A$1001,customers!C89:$C$1001,,0))</f>
        <v>egrise2g@cargocollective.com</v>
      </c>
      <c r="H90" s="2" t="str" cm="1">
        <f t="array" ref="H90">_xlfn.XLOOKUP(C90,customers!A89:$A$1001,customers!G89:$G$1001,"Ireland",0)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1"/>
        <v>35.849999999999994</v>
      </c>
      <c r="N90" t="str" cm="1">
        <f t="array" ref="N90">_xlfn.IFS(I90="Rob","Robusta",I90="Exc","Excelsa",I90="Ara","Arabica",I90="Lib","Liberica")</f>
        <v>Robusta</v>
      </c>
      <c r="O90" t="str" cm="1">
        <f t="array" ref="O90">_xlfn.IFS(J90="M","Midium",J90="L","Light",J90="D","Dark")</f>
        <v>Light</v>
      </c>
      <c r="P90" t="str">
        <f>_xlfn.XLOOKUP(Orders[[#This Row],[Customer ID]],customers!A:A,customers!I:I,,0)</f>
        <v>No</v>
      </c>
      <c r="Q90" t="str">
        <f>_xlfn.XLOOKUP(C91,customers!A:A,customers!B:B,"مش موجود")</f>
        <v>Torie Gottelier</v>
      </c>
    </row>
    <row r="91" spans="1:17" x14ac:dyDescent="0.25">
      <c r="A91" s="2" t="s">
        <v>990</v>
      </c>
      <c r="B91" s="3">
        <v>44545</v>
      </c>
      <c r="C91" s="2" t="s">
        <v>991</v>
      </c>
      <c r="D91" t="s">
        <v>6140</v>
      </c>
      <c r="E91" s="2">
        <v>6</v>
      </c>
      <c r="F91" s="2" t="str">
        <f>_xlfn.XLOOKUP(Orders[[#This Row],[Customer ID]],customers!A:A,customers!B:B)</f>
        <v>Torie Gottelier</v>
      </c>
      <c r="G91" s="2" t="str" cm="1">
        <f t="array" ref="G91">IF(_xlfn.XLOOKUP(C91,customers!A90:$A$1001,customers!C90:$C$1001,,0)=0,"",_xlfn.XLOOKUP(C91,customers!A90:$A$1001,customers!C90:$C$1001,,0))</f>
        <v>tgottelier2h@vistaprint.com</v>
      </c>
      <c r="H91" s="2" t="str" cm="1">
        <f t="array" ref="H91">_xlfn.XLOOKUP(C91,customers!A90:$A$1001,customers!G90:$G$1001,"Ireland",0)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1"/>
        <v>77.699999999999989</v>
      </c>
      <c r="N91" t="str" cm="1">
        <f t="array" ref="N91">_xlfn.IFS(I91="Rob","Robusta",I91="Exc","Excelsa",I91="Ara","Arabica",I91="Lib","Liberica")</f>
        <v>Arabica</v>
      </c>
      <c r="O91" t="str" cm="1">
        <f t="array" ref="O91">_xlfn.IFS(J91="M","Midium",J91="L","Light",J91="D","Dark")</f>
        <v>Light</v>
      </c>
      <c r="P91" t="str">
        <f>_xlfn.XLOOKUP(Orders[[#This Row],[Customer ID]],customers!A:A,customers!I:I,,0)</f>
        <v>No</v>
      </c>
      <c r="Q91" t="str">
        <f>_xlfn.XLOOKUP(C92,customers!A:A,customers!B:B,"مش موجود")</f>
        <v>Loydie Langlais</v>
      </c>
    </row>
    <row r="92" spans="1:17" x14ac:dyDescent="0.25">
      <c r="A92" s="2" t="s">
        <v>996</v>
      </c>
      <c r="B92" s="3">
        <v>43971</v>
      </c>
      <c r="C92" s="2" t="s">
        <v>997</v>
      </c>
      <c r="D92" t="s">
        <v>6140</v>
      </c>
      <c r="E92" s="2">
        <v>4</v>
      </c>
      <c r="F92" s="2" t="str">
        <f>_xlfn.XLOOKUP(Orders[[#This Row],[Customer ID]],customers!A:A,customers!B:B)</f>
        <v>Loydie Langlais</v>
      </c>
      <c r="G92" s="2" t="str" cm="1">
        <f t="array" ref="G92">IF(_xlfn.XLOOKUP(C92,customers!A91:$A$1001,customers!C91:$C$1001,,0)=0,"",_xlfn.XLOOKUP(C92,customers!A91:$A$1001,customers!C91:$C$1001,,0))</f>
        <v/>
      </c>
      <c r="H92" s="2" t="str" cm="1">
        <f t="array" ref="H92">_xlfn.XLOOKUP(C92,customers!A91:$A$1001,customers!G91:$G$1001,"Ireland",0)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1"/>
        <v>51.8</v>
      </c>
      <c r="N92" t="str" cm="1">
        <f t="array" ref="N92">_xlfn.IFS(I92="Rob","Robusta",I92="Exc","Excelsa",I92="Ara","Arabica",I92="Lib","Liberica")</f>
        <v>Arabica</v>
      </c>
      <c r="O92" t="str" cm="1">
        <f t="array" ref="O92">_xlfn.IFS(J92="M","Midium",J92="L","Light",J92="D","Dark")</f>
        <v>Light</v>
      </c>
      <c r="P92" t="str">
        <f>_xlfn.XLOOKUP(Orders[[#This Row],[Customer ID]],customers!A:A,customers!I:I,,0)</f>
        <v>Yes</v>
      </c>
      <c r="Q92" t="str">
        <f>_xlfn.XLOOKUP(C93,customers!A:A,customers!B:B,"مش موجود")</f>
        <v>Adham Greenhead</v>
      </c>
    </row>
    <row r="93" spans="1:17" x14ac:dyDescent="0.25">
      <c r="A93" s="2" t="s">
        <v>1001</v>
      </c>
      <c r="B93" s="3">
        <v>44137</v>
      </c>
      <c r="C93" s="2" t="s">
        <v>1002</v>
      </c>
      <c r="D93" t="s">
        <v>6175</v>
      </c>
      <c r="E93" s="2">
        <v>4</v>
      </c>
      <c r="F93" s="2" t="str">
        <f>_xlfn.XLOOKUP(Orders[[#This Row],[Customer ID]],customers!A:A,customers!B:B)</f>
        <v>Adham Greenhead</v>
      </c>
      <c r="G93" s="2" t="str" cm="1">
        <f t="array" ref="G93">IF(_xlfn.XLOOKUP(C93,customers!A92:$A$1001,customers!C92:$C$1001,,0)=0,"",_xlfn.XLOOKUP(C93,customers!A92:$A$1001,customers!C92:$C$1001,,0))</f>
        <v>agreenhead2j@dailymail.co.uk</v>
      </c>
      <c r="H93" s="2" t="str" cm="1">
        <f t="array" ref="H93">_xlfn.XLOOKUP(C93,customers!A92:$A$1001,customers!G92:$G$1001,"Ireland",0)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1"/>
        <v>103.49999999999999</v>
      </c>
      <c r="N93" t="str" cm="1">
        <f t="array" ref="N93">_xlfn.IFS(I93="Rob","Robusta",I93="Exc","Excelsa",I93="Ara","Arabica",I93="Lib","Liberica")</f>
        <v>Arabica</v>
      </c>
      <c r="O93" t="str" cm="1">
        <f t="array" ref="O93">_xlfn.IFS(J93="M","Midium",J93="L","Light",J93="D","Dark")</f>
        <v>Midium</v>
      </c>
      <c r="P93" t="str">
        <f>_xlfn.XLOOKUP(Orders[[#This Row],[Customer ID]],customers!A:A,customers!I:I,,0)</f>
        <v>No</v>
      </c>
      <c r="Q93" t="str">
        <f>_xlfn.XLOOKUP(C94,customers!A:A,customers!B:B,"مش موجود")</f>
        <v>Hamish MacSherry</v>
      </c>
    </row>
    <row r="94" spans="1:17" x14ac:dyDescent="0.25">
      <c r="A94" s="2" t="s">
        <v>1007</v>
      </c>
      <c r="B94" s="3">
        <v>44037</v>
      </c>
      <c r="C94" s="2" t="s">
        <v>1008</v>
      </c>
      <c r="D94" t="s">
        <v>6171</v>
      </c>
      <c r="E94" s="2">
        <v>3</v>
      </c>
      <c r="F94" s="2" t="str">
        <f>_xlfn.XLOOKUP(Orders[[#This Row],[Customer ID]],customers!A:A,customers!B:B)</f>
        <v>Hamish MacSherry</v>
      </c>
      <c r="G94" s="2" t="str" cm="1">
        <f t="array" ref="G94">IF(_xlfn.XLOOKUP(C94,customers!A93:$A$1001,customers!C93:$C$1001,,0)=0,"",_xlfn.XLOOKUP(C94,customers!A93:$A$1001,customers!C93:$C$1001,,0))</f>
        <v/>
      </c>
      <c r="H94" s="2" t="str" cm="1">
        <f t="array" ref="H94">_xlfn.XLOOKUP(C94,customers!A93:$A$1001,customers!G93:$G$1001,"Ireland",0)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1"/>
        <v>44.55</v>
      </c>
      <c r="N94" t="str" cm="1">
        <f t="array" ref="N94">_xlfn.IFS(I94="Rob","Robusta",I94="Exc","Excelsa",I94="Ara","Arabica",I94="Lib","Liberica")</f>
        <v>Excelsa</v>
      </c>
      <c r="O94" t="str" cm="1">
        <f t="array" ref="O94">_xlfn.IFS(J94="M","Midium",J94="L","Light",J94="D","Dark")</f>
        <v>Light</v>
      </c>
      <c r="P94" t="str">
        <f>_xlfn.XLOOKUP(Orders[[#This Row],[Customer ID]],customers!A:A,customers!I:I,,0)</f>
        <v>Yes</v>
      </c>
      <c r="Q94" t="str">
        <f>_xlfn.XLOOKUP(C95,customers!A:A,customers!B:B,"مش موجود")</f>
        <v>Else Langcaster</v>
      </c>
    </row>
    <row r="95" spans="1:17" x14ac:dyDescent="0.25">
      <c r="A95" s="2" t="s">
        <v>1012</v>
      </c>
      <c r="B95" s="3">
        <v>43538</v>
      </c>
      <c r="C95" s="2" t="s">
        <v>1013</v>
      </c>
      <c r="D95" t="s">
        <v>6176</v>
      </c>
      <c r="E95" s="2">
        <v>4</v>
      </c>
      <c r="F95" s="2" t="str">
        <f>_xlfn.XLOOKUP(Orders[[#This Row],[Customer ID]],customers!A:A,customers!B:B)</f>
        <v>Else Langcaster</v>
      </c>
      <c r="G95" s="2" t="str" cm="1">
        <f t="array" ref="G95">IF(_xlfn.XLOOKUP(C95,customers!A94:$A$1001,customers!C94:$C$1001,,0)=0,"",_xlfn.XLOOKUP(C95,customers!A94:$A$1001,customers!C94:$C$1001,,0))</f>
        <v>elangcaster2l@spotify.com</v>
      </c>
      <c r="H95" s="2" t="str" cm="1">
        <f t="array" ref="H95">_xlfn.XLOOKUP(C95,customers!A94:$A$1001,customers!G94:$G$1001,"Ireland",0)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1"/>
        <v>35.64</v>
      </c>
      <c r="N95" t="str" cm="1">
        <f t="array" ref="N95">_xlfn.IFS(I95="Rob","Robusta",I95="Exc","Excelsa",I95="Ara","Arabica",I95="Lib","Liberica")</f>
        <v>Excelsa</v>
      </c>
      <c r="O95" t="str" cm="1">
        <f t="array" ref="O95">_xlfn.IFS(J95="M","Midium",J95="L","Light",J95="D","Dark")</f>
        <v>Light</v>
      </c>
      <c r="P95" t="str">
        <f>_xlfn.XLOOKUP(Orders[[#This Row],[Customer ID]],customers!A:A,customers!I:I,,0)</f>
        <v>Yes</v>
      </c>
      <c r="Q95" t="str">
        <f>_xlfn.XLOOKUP(C96,customers!A:A,customers!B:B,"مش موجود")</f>
        <v>Rudy Farquharson</v>
      </c>
    </row>
    <row r="96" spans="1:17" x14ac:dyDescent="0.25">
      <c r="A96" s="2" t="s">
        <v>1018</v>
      </c>
      <c r="B96" s="3">
        <v>44014</v>
      </c>
      <c r="C96" s="2" t="s">
        <v>1019</v>
      </c>
      <c r="D96" t="s">
        <v>6154</v>
      </c>
      <c r="E96" s="2">
        <v>6</v>
      </c>
      <c r="F96" s="2" t="str">
        <f>_xlfn.XLOOKUP(Orders[[#This Row],[Customer ID]],customers!A:A,customers!B:B)</f>
        <v>Rudy Farquharson</v>
      </c>
      <c r="G96" s="2" t="str" cm="1">
        <f t="array" ref="G96">IF(_xlfn.XLOOKUP(C96,customers!A95:$A$1001,customers!C95:$C$1001,,0)=0,"",_xlfn.XLOOKUP(C96,customers!A95:$A$1001,customers!C95:$C$1001,,0))</f>
        <v/>
      </c>
      <c r="H96" s="2" t="str" cm="1">
        <f t="array" ref="H96">_xlfn.XLOOKUP(C96,customers!A95:$A$1001,customers!G95:$G$1001,"Ireland",0)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1"/>
        <v>17.91</v>
      </c>
      <c r="N96" t="str" cm="1">
        <f t="array" ref="N96">_xlfn.IFS(I96="Rob","Robusta",I96="Exc","Excelsa",I96="Ara","Arabica",I96="Lib","Liberica")</f>
        <v>Arabica</v>
      </c>
      <c r="O96" t="str" cm="1">
        <f t="array" ref="O96">_xlfn.IFS(J96="M","Midium",J96="L","Light",J96="D","Dark")</f>
        <v>Dark</v>
      </c>
      <c r="P96" t="str">
        <f>_xlfn.XLOOKUP(Orders[[#This Row],[Customer ID]],customers!A:A,customers!I:I,,0)</f>
        <v>Yes</v>
      </c>
      <c r="Q96" t="str">
        <f>_xlfn.XLOOKUP(C97,customers!A:A,customers!B:B,"مش موجود")</f>
        <v>Norene Magauran</v>
      </c>
    </row>
    <row r="97" spans="1:17" x14ac:dyDescent="0.25">
      <c r="A97" s="2" t="s">
        <v>1022</v>
      </c>
      <c r="B97" s="3">
        <v>43816</v>
      </c>
      <c r="C97" s="2" t="s">
        <v>1023</v>
      </c>
      <c r="D97" t="s">
        <v>6175</v>
      </c>
      <c r="E97" s="2">
        <v>6</v>
      </c>
      <c r="F97" s="2" t="str">
        <f>_xlfn.XLOOKUP(Orders[[#This Row],[Customer ID]],customers!A:A,customers!B:B)</f>
        <v>Norene Magauran</v>
      </c>
      <c r="G97" s="2" t="str" cm="1">
        <f t="array" ref="G97">IF(_xlfn.XLOOKUP(C97,customers!A96:$A$1001,customers!C96:$C$1001,,0)=0,"",_xlfn.XLOOKUP(C97,customers!A96:$A$1001,customers!C96:$C$1001,,0))</f>
        <v>nmagauran2n@51.la</v>
      </c>
      <c r="H97" s="2" t="str" cm="1">
        <f t="array" ref="H97">_xlfn.XLOOKUP(C97,customers!A96:$A$1001,customers!G96:$G$1001,"Ireland",0)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1"/>
        <v>155.24999999999997</v>
      </c>
      <c r="N97" t="str" cm="1">
        <f t="array" ref="N97">_xlfn.IFS(I97="Rob","Robusta",I97="Exc","Excelsa",I97="Ara","Arabica",I97="Lib","Liberica")</f>
        <v>Arabica</v>
      </c>
      <c r="O97" t="str" cm="1">
        <f t="array" ref="O97">_xlfn.IFS(J97="M","Midium",J97="L","Light",J97="D","Dark")</f>
        <v>Midium</v>
      </c>
      <c r="P97" t="str">
        <f>_xlfn.XLOOKUP(Orders[[#This Row],[Customer ID]],customers!A:A,customers!I:I,,0)</f>
        <v>No</v>
      </c>
      <c r="Q97" t="str">
        <f>_xlfn.XLOOKUP(C98,customers!A:A,customers!B:B,"مش موجود")</f>
        <v>Vicki Kirdsch</v>
      </c>
    </row>
    <row r="98" spans="1:17" x14ac:dyDescent="0.25">
      <c r="A98" s="2" t="s">
        <v>1027</v>
      </c>
      <c r="B98" s="3">
        <v>44171</v>
      </c>
      <c r="C98" s="2" t="s">
        <v>1028</v>
      </c>
      <c r="D98" t="s">
        <v>6154</v>
      </c>
      <c r="E98" s="2">
        <v>2</v>
      </c>
      <c r="F98" s="2" t="str">
        <f>_xlfn.XLOOKUP(Orders[[#This Row],[Customer ID]],customers!A:A,customers!B:B)</f>
        <v>Vicki Kirdsch</v>
      </c>
      <c r="G98" s="2" t="str" cm="1">
        <f t="array" ref="G98">IF(_xlfn.XLOOKUP(C98,customers!A97:$A$1001,customers!C97:$C$1001,,0)=0,"",_xlfn.XLOOKUP(C98,customers!A97:$A$1001,customers!C97:$C$1001,,0))</f>
        <v>vkirdsch2o@google.fr</v>
      </c>
      <c r="H98" s="2" t="str" cm="1">
        <f t="array" ref="H98">_xlfn.XLOOKUP(C98,customers!A97:$A$1001,customers!G97:$G$1001,"Ireland",0)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1"/>
        <v>5.97</v>
      </c>
      <c r="N98" t="str" cm="1">
        <f t="array" ref="N98">_xlfn.IFS(I98="Rob","Robusta",I98="Exc","Excelsa",I98="Ara","Arabica",I98="Lib","Liberica")</f>
        <v>Arabica</v>
      </c>
      <c r="O98" t="str" cm="1">
        <f t="array" ref="O98">_xlfn.IFS(J98="M","Midium",J98="L","Light",J98="D","Dark")</f>
        <v>Dark</v>
      </c>
      <c r="P98" t="str">
        <f>_xlfn.XLOOKUP(Orders[[#This Row],[Customer ID]],customers!A:A,customers!I:I,,0)</f>
        <v>No</v>
      </c>
      <c r="Q98" t="str">
        <f>_xlfn.XLOOKUP(C99,customers!A:A,customers!B:B,"مش موجود")</f>
        <v>Ilysa Whapple</v>
      </c>
    </row>
    <row r="99" spans="1:17" x14ac:dyDescent="0.25">
      <c r="A99" s="2" t="s">
        <v>1032</v>
      </c>
      <c r="B99" s="3">
        <v>44259</v>
      </c>
      <c r="C99" s="2" t="s">
        <v>1033</v>
      </c>
      <c r="D99" t="s">
        <v>6157</v>
      </c>
      <c r="E99" s="2">
        <v>2</v>
      </c>
      <c r="F99" s="2" t="str">
        <f>_xlfn.XLOOKUP(Orders[[#This Row],[Customer ID]],customers!A:A,customers!B:B)</f>
        <v>Ilysa Whapple</v>
      </c>
      <c r="G99" s="2" t="str" cm="1">
        <f t="array" ref="G99">IF(_xlfn.XLOOKUP(C99,customers!A98:$A$1001,customers!C98:$C$1001,,0)=0,"",_xlfn.XLOOKUP(C99,customers!A98:$A$1001,customers!C98:$C$1001,,0))</f>
        <v>iwhapple2p@com.com</v>
      </c>
      <c r="H99" s="2" t="str" cm="1">
        <f t="array" ref="H99">_xlfn.XLOOKUP(C99,customers!A98:$A$1001,customers!G98:$G$1001,"Ireland",0)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1"/>
        <v>13.5</v>
      </c>
      <c r="N99" t="str" cm="1">
        <f t="array" ref="N99">_xlfn.IFS(I99="Rob","Robusta",I99="Exc","Excelsa",I99="Ara","Arabica",I99="Lib","Liberica")</f>
        <v>Arabica</v>
      </c>
      <c r="O99" t="str" cm="1">
        <f t="array" ref="O99">_xlfn.IFS(J99="M","Midium",J99="L","Light",J99="D","Dark")</f>
        <v>Midium</v>
      </c>
      <c r="P99" t="str">
        <f>_xlfn.XLOOKUP(Orders[[#This Row],[Customer ID]],customers!A:A,customers!I:I,,0)</f>
        <v>No</v>
      </c>
      <c r="Q99" t="str">
        <f>_xlfn.XLOOKUP(C100,customers!A:A,customers!B:B,"مش موجود")</f>
        <v>Ruy Cancellieri</v>
      </c>
    </row>
    <row r="100" spans="1:17" x14ac:dyDescent="0.25">
      <c r="A100" s="2" t="s">
        <v>1038</v>
      </c>
      <c r="B100" s="3">
        <v>44394</v>
      </c>
      <c r="C100" s="2" t="s">
        <v>1039</v>
      </c>
      <c r="D100" t="s">
        <v>6154</v>
      </c>
      <c r="E100" s="2">
        <v>1</v>
      </c>
      <c r="F100" s="2" t="str">
        <f>_xlfn.XLOOKUP(Orders[[#This Row],[Customer ID]],customers!A:A,customers!B:B)</f>
        <v>Ruy Cancellieri</v>
      </c>
      <c r="G100" s="2" t="str" cm="1">
        <f t="array" ref="G100">IF(_xlfn.XLOOKUP(C100,customers!A99:$A$1001,customers!C99:$C$1001,,0)=0,"",_xlfn.XLOOKUP(C100,customers!A99:$A$1001,customers!C99:$C$1001,,0))</f>
        <v/>
      </c>
      <c r="H100" s="2" t="str" cm="1">
        <f t="array" ref="H100">_xlfn.XLOOKUP(C100,customers!A99:$A$1001,customers!G99:$G$1001,"Ireland",0)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1"/>
        <v>2.9849999999999999</v>
      </c>
      <c r="N100" t="str" cm="1">
        <f t="array" ref="N100">_xlfn.IFS(I100="Rob","Robusta",I100="Exc","Excelsa",I100="Ara","Arabica",I100="Lib","Liberica")</f>
        <v>Arabica</v>
      </c>
      <c r="O100" t="str" cm="1">
        <f t="array" ref="O100">_xlfn.IFS(J100="M","Midium",J100="L","Light",J100="D","Dark")</f>
        <v>Dark</v>
      </c>
      <c r="P100" t="str">
        <f>_xlfn.XLOOKUP(Orders[[#This Row],[Customer ID]],customers!A:A,customers!I:I,,0)</f>
        <v>No</v>
      </c>
      <c r="Q100" t="str">
        <f>_xlfn.XLOOKUP(C101,customers!A:A,customers!B:B,"مش موجود")</f>
        <v>Aube Follett</v>
      </c>
    </row>
    <row r="101" spans="1:17" x14ac:dyDescent="0.25">
      <c r="A101" s="2" t="s">
        <v>1043</v>
      </c>
      <c r="B101" s="3">
        <v>44139</v>
      </c>
      <c r="C101" s="2" t="s">
        <v>1044</v>
      </c>
      <c r="D101" t="s">
        <v>6159</v>
      </c>
      <c r="E101" s="2">
        <v>3</v>
      </c>
      <c r="F101" s="2" t="str">
        <f>_xlfn.XLOOKUP(Orders[[#This Row],[Customer ID]],customers!A:A,customers!B:B)</f>
        <v>Aube Follett</v>
      </c>
      <c r="G101" s="2" t="str" cm="1">
        <f t="array" ref="G101">IF(_xlfn.XLOOKUP(C101,customers!A100:$A$1001,customers!C100:$C$1001,,0)=0,"",_xlfn.XLOOKUP(C101,customers!A100:$A$1001,customers!C100:$C$1001,,0))</f>
        <v/>
      </c>
      <c r="H101" s="2" t="str" cm="1">
        <f t="array" ref="H101">_xlfn.XLOOKUP(C101,customers!A100:$A$1001,customers!G100:$G$1001,"Ireland",0)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1"/>
        <v>13.095000000000001</v>
      </c>
      <c r="N101" t="str" cm="1">
        <f t="array" ref="N101">_xlfn.IFS(I101="Rob","Robusta",I101="Exc","Excelsa",I101="Ara","Arabica",I101="Lib","Liberica")</f>
        <v>Liberica</v>
      </c>
      <c r="O101" t="str" cm="1">
        <f t="array" ref="O101">_xlfn.IFS(J101="M","Midium",J101="L","Light",J101="D","Dark")</f>
        <v>Midium</v>
      </c>
      <c r="P101" t="str">
        <f>_xlfn.XLOOKUP(Orders[[#This Row],[Customer ID]],customers!A:A,customers!I:I,,0)</f>
        <v>Yes</v>
      </c>
      <c r="Q101" t="str">
        <f>_xlfn.XLOOKUP(C102,customers!A:A,customers!B:B,"مش موجود")</f>
        <v>Rudiger Di Bartolomeo</v>
      </c>
    </row>
    <row r="102" spans="1:17" x14ac:dyDescent="0.25">
      <c r="A102" s="2" t="s">
        <v>1048</v>
      </c>
      <c r="B102" s="3">
        <v>44291</v>
      </c>
      <c r="C102" s="2" t="s">
        <v>1049</v>
      </c>
      <c r="D102" t="s">
        <v>6167</v>
      </c>
      <c r="E102" s="2">
        <v>2</v>
      </c>
      <c r="F102" s="2" t="str">
        <f>_xlfn.XLOOKUP(Orders[[#This Row],[Customer ID]],customers!A:A,customers!B:B)</f>
        <v>Rudiger Di Bartolomeo</v>
      </c>
      <c r="G102" s="2" t="str" cm="1">
        <f t="array" ref="G102">IF(_xlfn.XLOOKUP(C102,customers!A101:$A$1001,customers!C101:$C$1001,,0)=0,"",_xlfn.XLOOKUP(C102,customers!A101:$A$1001,customers!C101:$C$1001,,0))</f>
        <v/>
      </c>
      <c r="H102" s="2" t="str" cm="1">
        <f t="array" ref="H102">_xlfn.XLOOKUP(C102,customers!A101:$A$1001,customers!G101:$G$1001,"Ireland",0)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1"/>
        <v>7.77</v>
      </c>
      <c r="N102" t="str" cm="1">
        <f t="array" ref="N102">_xlfn.IFS(I102="Rob","Robusta",I102="Exc","Excelsa",I102="Ara","Arabica",I102="Lib","Liberica")</f>
        <v>Arabica</v>
      </c>
      <c r="O102" t="str" cm="1">
        <f t="array" ref="O102">_xlfn.IFS(J102="M","Midium",J102="L","Light",J102="D","Dark")</f>
        <v>Light</v>
      </c>
      <c r="P102" t="str">
        <f>_xlfn.XLOOKUP(Orders[[#This Row],[Customer ID]],customers!A:A,customers!I:I,,0)</f>
        <v>Yes</v>
      </c>
      <c r="Q102" t="str">
        <f>_xlfn.XLOOKUP(C103,customers!A:A,customers!B:B,"مش موجود")</f>
        <v>Nickey Youles</v>
      </c>
    </row>
    <row r="103" spans="1:17" x14ac:dyDescent="0.25">
      <c r="A103" s="2" t="s">
        <v>1053</v>
      </c>
      <c r="B103" s="3">
        <v>43891</v>
      </c>
      <c r="C103" s="2" t="s">
        <v>1054</v>
      </c>
      <c r="D103" t="s">
        <v>6165</v>
      </c>
      <c r="E103" s="2">
        <v>5</v>
      </c>
      <c r="F103" s="2" t="str">
        <f>_xlfn.XLOOKUP(Orders[[#This Row],[Customer ID]],customers!A:A,customers!B:B)</f>
        <v>Nickey Youles</v>
      </c>
      <c r="G103" s="2" t="str" cm="1">
        <f t="array" ref="G103">IF(_xlfn.XLOOKUP(C103,customers!A102:$A$1001,customers!C102:$C$1001,,0)=0,"",_xlfn.XLOOKUP(C103,customers!A102:$A$1001,customers!C102:$C$1001,,0))</f>
        <v>nyoules2t@reference.com</v>
      </c>
      <c r="H103" s="2" t="str" cm="1">
        <f t="array" ref="H103">_xlfn.XLOOKUP(C103,customers!A102:$A$1001,customers!G102:$G$1001,"Ireland",0)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1"/>
        <v>148.92499999999998</v>
      </c>
      <c r="N103" t="str" cm="1">
        <f t="array" ref="N103">_xlfn.IFS(I103="Rob","Robusta",I103="Exc","Excelsa",I103="Ara","Arabica",I103="Lib","Liberica")</f>
        <v>Liberica</v>
      </c>
      <c r="O103" t="str" cm="1">
        <f t="array" ref="O103">_xlfn.IFS(J103="M","Midium",J103="L","Light",J103="D","Dark")</f>
        <v>Dark</v>
      </c>
      <c r="P103" t="str">
        <f>_xlfn.XLOOKUP(Orders[[#This Row],[Customer ID]],customers!A:A,customers!I:I,,0)</f>
        <v>Yes</v>
      </c>
      <c r="Q103" t="str">
        <f>_xlfn.XLOOKUP(C104,customers!A:A,customers!B:B,"مش موجود")</f>
        <v>Dyanna Aizikovitz</v>
      </c>
    </row>
    <row r="104" spans="1:17" x14ac:dyDescent="0.25">
      <c r="A104" s="2" t="s">
        <v>1059</v>
      </c>
      <c r="B104" s="3">
        <v>44488</v>
      </c>
      <c r="C104" s="2" t="s">
        <v>1060</v>
      </c>
      <c r="D104" t="s">
        <v>6143</v>
      </c>
      <c r="E104" s="2">
        <v>3</v>
      </c>
      <c r="F104" s="2" t="str">
        <f>_xlfn.XLOOKUP(Orders[[#This Row],[Customer ID]],customers!A:A,customers!B:B)</f>
        <v>Dyanna Aizikovitz</v>
      </c>
      <c r="G104" s="2" t="str" cm="1">
        <f t="array" ref="G104">IF(_xlfn.XLOOKUP(C104,customers!A103:$A$1001,customers!C103:$C$1001,,0)=0,"",_xlfn.XLOOKUP(C104,customers!A103:$A$1001,customers!C103:$C$1001,,0))</f>
        <v>daizikovitz2u@answers.com</v>
      </c>
      <c r="H104" s="2" t="str" cm="1">
        <f t="array" ref="H104">_xlfn.XLOOKUP(C104,customers!A103:$A$1001,customers!G103:$G$1001,"Ireland",0)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1"/>
        <v>38.849999999999994</v>
      </c>
      <c r="N104" t="str" cm="1">
        <f t="array" ref="N104">_xlfn.IFS(I104="Rob","Robusta",I104="Exc","Excelsa",I104="Ara","Arabica",I104="Lib","Liberica")</f>
        <v>Liberica</v>
      </c>
      <c r="O104" t="str" cm="1">
        <f t="array" ref="O104">_xlfn.IFS(J104="M","Midium",J104="L","Light",J104="D","Dark")</f>
        <v>Dark</v>
      </c>
      <c r="P104" t="str">
        <f>_xlfn.XLOOKUP(Orders[[#This Row],[Customer ID]],customers!A:A,customers!I:I,,0)</f>
        <v>Yes</v>
      </c>
      <c r="Q104" t="str">
        <f>_xlfn.XLOOKUP(C105,customers!A:A,customers!B:B,"مش موجود")</f>
        <v>Bram Revel</v>
      </c>
    </row>
    <row r="105" spans="1:17" x14ac:dyDescent="0.25">
      <c r="A105" s="2" t="s">
        <v>1065</v>
      </c>
      <c r="B105" s="3">
        <v>44750</v>
      </c>
      <c r="C105" s="2" t="s">
        <v>1066</v>
      </c>
      <c r="D105" t="s">
        <v>6174</v>
      </c>
      <c r="E105" s="2">
        <v>4</v>
      </c>
      <c r="F105" s="2" t="str">
        <f>_xlfn.XLOOKUP(Orders[[#This Row],[Customer ID]],customers!A:A,customers!B:B)</f>
        <v>Bram Revel</v>
      </c>
      <c r="G105" s="2" t="str" cm="1">
        <f t="array" ref="G105">IF(_xlfn.XLOOKUP(C105,customers!A104:$A$1001,customers!C104:$C$1001,,0)=0,"",_xlfn.XLOOKUP(C105,customers!A104:$A$1001,customers!C104:$C$1001,,0))</f>
        <v>brevel2v@fastcompany.com</v>
      </c>
      <c r="H105" s="2" t="str" cm="1">
        <f t="array" ref="H105">_xlfn.XLOOKUP(C105,customers!A104:$A$1001,customers!G104:$G$1001,"Ireland",0)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1"/>
        <v>11.94</v>
      </c>
      <c r="N105" t="str" cm="1">
        <f t="array" ref="N105">_xlfn.IFS(I105="Rob","Robusta",I105="Exc","Excelsa",I105="Ara","Arabica",I105="Lib","Liberica")</f>
        <v>Robusta</v>
      </c>
      <c r="O105" t="str" cm="1">
        <f t="array" ref="O105">_xlfn.IFS(J105="M","Midium",J105="L","Light",J105="D","Dark")</f>
        <v>Midium</v>
      </c>
      <c r="P105" t="str">
        <f>_xlfn.XLOOKUP(Orders[[#This Row],[Customer ID]],customers!A:A,customers!I:I,,0)</f>
        <v>No</v>
      </c>
      <c r="Q105" t="str">
        <f>_xlfn.XLOOKUP(C106,customers!A:A,customers!B:B,"مش موجود")</f>
        <v>Emiline Priddis</v>
      </c>
    </row>
    <row r="106" spans="1:17" x14ac:dyDescent="0.25">
      <c r="A106" s="2" t="s">
        <v>1071</v>
      </c>
      <c r="B106" s="3">
        <v>43694</v>
      </c>
      <c r="C106" s="2" t="s">
        <v>1072</v>
      </c>
      <c r="D106" t="s">
        <v>6162</v>
      </c>
      <c r="E106" s="2">
        <v>6</v>
      </c>
      <c r="F106" s="2" t="str">
        <f>_xlfn.XLOOKUP(Orders[[#This Row],[Customer ID]],customers!A:A,customers!B:B)</f>
        <v>Emiline Priddis</v>
      </c>
      <c r="G106" s="2" t="str" cm="1">
        <f t="array" ref="G106">IF(_xlfn.XLOOKUP(C106,customers!A105:$A$1001,customers!C105:$C$1001,,0)=0,"",_xlfn.XLOOKUP(C106,customers!A105:$A$1001,customers!C105:$C$1001,,0))</f>
        <v>epriddis2w@nationalgeographic.com</v>
      </c>
      <c r="H106" s="2" t="str" cm="1">
        <f t="array" ref="H106">_xlfn.XLOOKUP(C106,customers!A105:$A$1001,customers!G105:$G$1001,"Ireland",0)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1"/>
        <v>87.300000000000011</v>
      </c>
      <c r="N106" t="str" cm="1">
        <f t="array" ref="N106">_xlfn.IFS(I106="Rob","Robusta",I106="Exc","Excelsa",I106="Ara","Arabica",I106="Lib","Liberica")</f>
        <v>Liberica</v>
      </c>
      <c r="O106" t="str" cm="1">
        <f t="array" ref="O106">_xlfn.IFS(J106="M","Midium",J106="L","Light",J106="D","Dark")</f>
        <v>Midium</v>
      </c>
      <c r="P106" t="str">
        <f>_xlfn.XLOOKUP(Orders[[#This Row],[Customer ID]],customers!A:A,customers!I:I,,0)</f>
        <v>No</v>
      </c>
      <c r="Q106" t="str">
        <f>_xlfn.XLOOKUP(C107,customers!A:A,customers!B:B,"مش موجود")</f>
        <v>Queenie Veel</v>
      </c>
    </row>
    <row r="107" spans="1:17" x14ac:dyDescent="0.25">
      <c r="A107" s="2" t="s">
        <v>1077</v>
      </c>
      <c r="B107" s="3">
        <v>43982</v>
      </c>
      <c r="C107" s="2" t="s">
        <v>1078</v>
      </c>
      <c r="D107" t="s">
        <v>6157</v>
      </c>
      <c r="E107" s="2">
        <v>6</v>
      </c>
      <c r="F107" s="2" t="str">
        <f>_xlfn.XLOOKUP(Orders[[#This Row],[Customer ID]],customers!A:A,customers!B:B)</f>
        <v>Queenie Veel</v>
      </c>
      <c r="G107" s="2" t="str" cm="1">
        <f t="array" ref="G107">IF(_xlfn.XLOOKUP(C107,customers!A106:$A$1001,customers!C106:$C$1001,,0)=0,"",_xlfn.XLOOKUP(C107,customers!A106:$A$1001,customers!C106:$C$1001,,0))</f>
        <v>qveel2x@jugem.jp</v>
      </c>
      <c r="H107" s="2" t="str" cm="1">
        <f t="array" ref="H107">_xlfn.XLOOKUP(C107,customers!A106:$A$1001,customers!G106:$G$1001,"Ireland",0)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1"/>
        <v>40.5</v>
      </c>
      <c r="N107" t="str" cm="1">
        <f t="array" ref="N107">_xlfn.IFS(I107="Rob","Robusta",I107="Exc","Excelsa",I107="Ara","Arabica",I107="Lib","Liberica")</f>
        <v>Arabica</v>
      </c>
      <c r="O107" t="str" cm="1">
        <f t="array" ref="O107">_xlfn.IFS(J107="M","Midium",J107="L","Light",J107="D","Dark")</f>
        <v>Midium</v>
      </c>
      <c r="P107" t="str">
        <f>_xlfn.XLOOKUP(Orders[[#This Row],[Customer ID]],customers!A:A,customers!I:I,,0)</f>
        <v>Yes</v>
      </c>
      <c r="Q107" t="str">
        <f>_xlfn.XLOOKUP(C108,customers!A:A,customers!B:B,"مش موجود")</f>
        <v>Lind Conyers</v>
      </c>
    </row>
    <row r="108" spans="1:17" x14ac:dyDescent="0.25">
      <c r="A108" s="2" t="s">
        <v>1083</v>
      </c>
      <c r="B108" s="3">
        <v>43956</v>
      </c>
      <c r="C108" s="2" t="s">
        <v>1084</v>
      </c>
      <c r="D108" t="s">
        <v>6183</v>
      </c>
      <c r="E108" s="2">
        <v>2</v>
      </c>
      <c r="F108" s="2" t="str">
        <f>_xlfn.XLOOKUP(Orders[[#This Row],[Customer ID]],customers!A:A,customers!B:B)</f>
        <v>Lind Conyers</v>
      </c>
      <c r="G108" s="2" t="str" cm="1">
        <f t="array" ref="G108">IF(_xlfn.XLOOKUP(C108,customers!A107:$A$1001,customers!C107:$C$1001,,0)=0,"",_xlfn.XLOOKUP(C108,customers!A107:$A$1001,customers!C107:$C$1001,,0))</f>
        <v>lconyers2y@twitter.com</v>
      </c>
      <c r="H108" s="2" t="str" cm="1">
        <f t="array" ref="H108">_xlfn.XLOOKUP(C108,customers!A107:$A$1001,customers!G107:$G$1001,"Ireland",0)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1"/>
        <v>24.3</v>
      </c>
      <c r="N108" t="str" cm="1">
        <f t="array" ref="N108">_xlfn.IFS(I108="Rob","Robusta",I108="Exc","Excelsa",I108="Ara","Arabica",I108="Lib","Liberica")</f>
        <v>Excelsa</v>
      </c>
      <c r="O108" t="str" cm="1">
        <f t="array" ref="O108">_xlfn.IFS(J108="M","Midium",J108="L","Light",J108="D","Dark")</f>
        <v>Dark</v>
      </c>
      <c r="P108" t="str">
        <f>_xlfn.XLOOKUP(Orders[[#This Row],[Customer ID]],customers!A:A,customers!I:I,,0)</f>
        <v>No</v>
      </c>
      <c r="Q108" t="str">
        <f>_xlfn.XLOOKUP(C109,customers!A:A,customers!B:B,"مش موجود")</f>
        <v>Pen Wye</v>
      </c>
    </row>
    <row r="109" spans="1:17" x14ac:dyDescent="0.25">
      <c r="A109" s="2" t="s">
        <v>1089</v>
      </c>
      <c r="B109" s="3">
        <v>43569</v>
      </c>
      <c r="C109" s="2" t="s">
        <v>1090</v>
      </c>
      <c r="D109" t="s">
        <v>6146</v>
      </c>
      <c r="E109" s="2">
        <v>3</v>
      </c>
      <c r="F109" s="2" t="str">
        <f>_xlfn.XLOOKUP(Orders[[#This Row],[Customer ID]],customers!A:A,customers!B:B)</f>
        <v>Pen Wye</v>
      </c>
      <c r="G109" s="2" t="str" cm="1">
        <f t="array" ref="G109">IF(_xlfn.XLOOKUP(C109,customers!A108:$A$1001,customers!C108:$C$1001,,0)=0,"",_xlfn.XLOOKUP(C109,customers!A108:$A$1001,customers!C108:$C$1001,,0))</f>
        <v>pwye2z@dagondesign.com</v>
      </c>
      <c r="H109" s="2" t="str" cm="1">
        <f t="array" ref="H109">_xlfn.XLOOKUP(C109,customers!A108:$A$1001,customers!G108:$G$1001,"Ireland",0)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1"/>
        <v>17.91</v>
      </c>
      <c r="N109" t="str" cm="1">
        <f t="array" ref="N109">_xlfn.IFS(I109="Rob","Robusta",I109="Exc","Excelsa",I109="Ara","Arabica",I109="Lib","Liberica")</f>
        <v>Robusta</v>
      </c>
      <c r="O109" t="str" cm="1">
        <f t="array" ref="O109">_xlfn.IFS(J109="M","Midium",J109="L","Light",J109="D","Dark")</f>
        <v>Midium</v>
      </c>
      <c r="P109" t="str">
        <f>_xlfn.XLOOKUP(Orders[[#This Row],[Customer ID]],customers!A:A,customers!I:I,,0)</f>
        <v>Yes</v>
      </c>
      <c r="Q109" t="str">
        <f>_xlfn.XLOOKUP(C110,customers!A:A,customers!B:B,"مش موجود")</f>
        <v>Isahella Hagland</v>
      </c>
    </row>
    <row r="110" spans="1:17" x14ac:dyDescent="0.25">
      <c r="A110" s="2" t="s">
        <v>1095</v>
      </c>
      <c r="B110" s="3">
        <v>44041</v>
      </c>
      <c r="C110" s="2" t="s">
        <v>1096</v>
      </c>
      <c r="D110" t="s">
        <v>6157</v>
      </c>
      <c r="E110" s="2">
        <v>4</v>
      </c>
      <c r="F110" s="2" t="str">
        <f>_xlfn.XLOOKUP(Orders[[#This Row],[Customer ID]],customers!A:A,customers!B:B)</f>
        <v>Isahella Hagland</v>
      </c>
      <c r="G110" s="2" t="str" cm="1">
        <f t="array" ref="G110">IF(_xlfn.XLOOKUP(C110,customers!A109:$A$1001,customers!C109:$C$1001,,0)=0,"",_xlfn.XLOOKUP(C110,customers!A109:$A$1001,customers!C109:$C$1001,,0))</f>
        <v/>
      </c>
      <c r="H110" s="2" t="str" cm="1">
        <f t="array" ref="H110">_xlfn.XLOOKUP(C110,customers!A109:$A$1001,customers!G109:$G$1001,"Ireland",0)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1"/>
        <v>27</v>
      </c>
      <c r="N110" t="str" cm="1">
        <f t="array" ref="N110">_xlfn.IFS(I110="Rob","Robusta",I110="Exc","Excelsa",I110="Ara","Arabica",I110="Lib","Liberica")</f>
        <v>Arabica</v>
      </c>
      <c r="O110" t="str" cm="1">
        <f t="array" ref="O110">_xlfn.IFS(J110="M","Midium",J110="L","Light",J110="D","Dark")</f>
        <v>Midium</v>
      </c>
      <c r="P110" t="str">
        <f>_xlfn.XLOOKUP(Orders[[#This Row],[Customer ID]],customers!A:A,customers!I:I,,0)</f>
        <v>No</v>
      </c>
      <c r="Q110" t="str">
        <f>_xlfn.XLOOKUP(C111,customers!A:A,customers!B:B,"مش موجود")</f>
        <v>Terry Sheryn</v>
      </c>
    </row>
    <row r="111" spans="1:17" x14ac:dyDescent="0.25">
      <c r="A111" s="2" t="s">
        <v>1100</v>
      </c>
      <c r="B111" s="3">
        <v>43811</v>
      </c>
      <c r="C111" s="2" t="s">
        <v>1101</v>
      </c>
      <c r="D111" t="s">
        <v>6169</v>
      </c>
      <c r="E111" s="2">
        <v>1</v>
      </c>
      <c r="F111" s="2" t="str">
        <f>_xlfn.XLOOKUP(Orders[[#This Row],[Customer ID]],customers!A:A,customers!B:B)</f>
        <v>Terry Sheryn</v>
      </c>
      <c r="G111" s="2" t="str" cm="1">
        <f t="array" ref="G111">IF(_xlfn.XLOOKUP(C111,customers!A110:$A$1001,customers!C110:$C$1001,,0)=0,"",_xlfn.XLOOKUP(C111,customers!A110:$A$1001,customers!C110:$C$1001,,0))</f>
        <v>tsheryn31@mtv.com</v>
      </c>
      <c r="H111" s="2" t="str" cm="1">
        <f t="array" ref="H111">_xlfn.XLOOKUP(C111,customers!A110:$A$1001,customers!G110:$G$1001,"Ireland",0)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1"/>
        <v>7.77</v>
      </c>
      <c r="N111" t="str" cm="1">
        <f t="array" ref="N111">_xlfn.IFS(I111="Rob","Robusta",I111="Exc","Excelsa",I111="Ara","Arabica",I111="Lib","Liberica")</f>
        <v>Liberica</v>
      </c>
      <c r="O111" t="str" cm="1">
        <f t="array" ref="O111">_xlfn.IFS(J111="M","Midium",J111="L","Light",J111="D","Dark")</f>
        <v>Dark</v>
      </c>
      <c r="P111" t="str">
        <f>_xlfn.XLOOKUP(Orders[[#This Row],[Customer ID]],customers!A:A,customers!I:I,,0)</f>
        <v>Yes</v>
      </c>
      <c r="Q111" t="str">
        <f>_xlfn.XLOOKUP(C112,customers!A:A,customers!B:B,"مش موجود")</f>
        <v>Marie-jeanne Redgrave</v>
      </c>
    </row>
    <row r="112" spans="1:17" x14ac:dyDescent="0.25">
      <c r="A112" s="2" t="s">
        <v>1106</v>
      </c>
      <c r="B112" s="3">
        <v>44727</v>
      </c>
      <c r="C112" s="2" t="s">
        <v>1107</v>
      </c>
      <c r="D112" t="s">
        <v>6184</v>
      </c>
      <c r="E112" s="2">
        <v>3</v>
      </c>
      <c r="F112" s="2" t="str">
        <f>_xlfn.XLOOKUP(Orders[[#This Row],[Customer ID]],customers!A:A,customers!B:B)</f>
        <v>Marie-jeanne Redgrave</v>
      </c>
      <c r="G112" s="2" t="str" cm="1">
        <f t="array" ref="G112">IF(_xlfn.XLOOKUP(C112,customers!A111:$A$1001,customers!C111:$C$1001,,0)=0,"",_xlfn.XLOOKUP(C112,customers!A111:$A$1001,customers!C111:$C$1001,,0))</f>
        <v>mredgrave32@cargocollective.com</v>
      </c>
      <c r="H112" s="2" t="str" cm="1">
        <f t="array" ref="H112">_xlfn.XLOOKUP(C112,customers!A111:$A$1001,customers!G111:$G$1001,"Ireland",0)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1"/>
        <v>13.365</v>
      </c>
      <c r="N112" t="str" cm="1">
        <f t="array" ref="N112">_xlfn.IFS(I112="Rob","Robusta",I112="Exc","Excelsa",I112="Ara","Arabica",I112="Lib","Liberica")</f>
        <v>Excelsa</v>
      </c>
      <c r="O112" t="str" cm="1">
        <f t="array" ref="O112">_xlfn.IFS(J112="M","Midium",J112="L","Light",J112="D","Dark")</f>
        <v>Light</v>
      </c>
      <c r="P112" t="str">
        <f>_xlfn.XLOOKUP(Orders[[#This Row],[Customer ID]],customers!A:A,customers!I:I,,0)</f>
        <v>Yes</v>
      </c>
      <c r="Q112" t="str">
        <f>_xlfn.XLOOKUP(C113,customers!A:A,customers!B:B,"مش موجود")</f>
        <v>Betty Fominov</v>
      </c>
    </row>
    <row r="113" spans="1:17" x14ac:dyDescent="0.25">
      <c r="A113" s="2" t="s">
        <v>1112</v>
      </c>
      <c r="B113" s="3">
        <v>43642</v>
      </c>
      <c r="C113" s="2" t="s">
        <v>1113</v>
      </c>
      <c r="D113" t="s">
        <v>6172</v>
      </c>
      <c r="E113" s="2">
        <v>5</v>
      </c>
      <c r="F113" s="2" t="str">
        <f>_xlfn.XLOOKUP(Orders[[#This Row],[Customer ID]],customers!A:A,customers!B:B)</f>
        <v>Betty Fominov</v>
      </c>
      <c r="G113" s="2" t="str" cm="1">
        <f t="array" ref="G113">IF(_xlfn.XLOOKUP(C113,customers!A112:$A$1001,customers!C112:$C$1001,,0)=0,"",_xlfn.XLOOKUP(C113,customers!A112:$A$1001,customers!C112:$C$1001,,0))</f>
        <v>bfominov33@yale.edu</v>
      </c>
      <c r="H113" s="2" t="str" cm="1">
        <f t="array" ref="H113">_xlfn.XLOOKUP(C113,customers!A112:$A$1001,customers!G112:$G$1001,"Ireland",0)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1"/>
        <v>26.849999999999994</v>
      </c>
      <c r="N113" t="str" cm="1">
        <f t="array" ref="N113">_xlfn.IFS(I113="Rob","Robusta",I113="Exc","Excelsa",I113="Ara","Arabica",I113="Lib","Liberica")</f>
        <v>Robusta</v>
      </c>
      <c r="O113" t="str" cm="1">
        <f t="array" ref="O113">_xlfn.IFS(J113="M","Midium",J113="L","Light",J113="D","Dark")</f>
        <v>Dark</v>
      </c>
      <c r="P113" t="str">
        <f>_xlfn.XLOOKUP(Orders[[#This Row],[Customer ID]],customers!A:A,customers!I:I,,0)</f>
        <v>No</v>
      </c>
      <c r="Q113" t="str">
        <f>_xlfn.XLOOKUP(C114,customers!A:A,customers!B:B,"مش موجود")</f>
        <v>Shawnee Critchlow</v>
      </c>
    </row>
    <row r="114" spans="1:17" x14ac:dyDescent="0.25">
      <c r="A114" s="2" t="s">
        <v>1117</v>
      </c>
      <c r="B114" s="3">
        <v>44481</v>
      </c>
      <c r="C114" s="2" t="s">
        <v>1118</v>
      </c>
      <c r="D114" t="s">
        <v>6155</v>
      </c>
      <c r="E114" s="2">
        <v>1</v>
      </c>
      <c r="F114" s="2" t="str">
        <f>_xlfn.XLOOKUP(Orders[[#This Row],[Customer ID]],customers!A:A,customers!B:B)</f>
        <v>Shawnee Critchlow</v>
      </c>
      <c r="G114" s="2" t="str" cm="1">
        <f t="array" ref="G114">IF(_xlfn.XLOOKUP(C114,customers!A113:$A$1001,customers!C113:$C$1001,,0)=0,"",_xlfn.XLOOKUP(C114,customers!A113:$A$1001,customers!C113:$C$1001,,0))</f>
        <v>scritchlow34@un.org</v>
      </c>
      <c r="H114" s="2" t="str" cm="1">
        <f t="array" ref="H114">_xlfn.XLOOKUP(C114,customers!A113:$A$1001,customers!G113:$G$1001,"Ireland",0)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1"/>
        <v>11.25</v>
      </c>
      <c r="N114" t="str" cm="1">
        <f t="array" ref="N114">_xlfn.IFS(I114="Rob","Robusta",I114="Exc","Excelsa",I114="Ara","Arabica",I114="Lib","Liberica")</f>
        <v>Arabica</v>
      </c>
      <c r="O114" t="str" cm="1">
        <f t="array" ref="O114">_xlfn.IFS(J114="M","Midium",J114="L","Light",J114="D","Dark")</f>
        <v>Midium</v>
      </c>
      <c r="P114" t="str">
        <f>_xlfn.XLOOKUP(Orders[[#This Row],[Customer ID]],customers!A:A,customers!I:I,,0)</f>
        <v>No</v>
      </c>
      <c r="Q114" t="str">
        <f>_xlfn.XLOOKUP(C115,customers!A:A,customers!B:B,"مش موجود")</f>
        <v>Merrel Steptow</v>
      </c>
    </row>
    <row r="115" spans="1:17" x14ac:dyDescent="0.25">
      <c r="A115" s="2" t="s">
        <v>1123</v>
      </c>
      <c r="B115" s="3">
        <v>43556</v>
      </c>
      <c r="C115" s="2" t="s">
        <v>1124</v>
      </c>
      <c r="D115" t="s">
        <v>6162</v>
      </c>
      <c r="E115" s="2">
        <v>1</v>
      </c>
      <c r="F115" s="2" t="str">
        <f>_xlfn.XLOOKUP(Orders[[#This Row],[Customer ID]],customers!A:A,customers!B:B)</f>
        <v>Merrel Steptow</v>
      </c>
      <c r="G115" s="2" t="str" cm="1">
        <f t="array" ref="G115">IF(_xlfn.XLOOKUP(C115,customers!A114:$A$1001,customers!C114:$C$1001,,0)=0,"",_xlfn.XLOOKUP(C115,customers!A114:$A$1001,customers!C114:$C$1001,,0))</f>
        <v>msteptow35@earthlink.net</v>
      </c>
      <c r="H115" s="2" t="str" cm="1">
        <f t="array" ref="H115">_xlfn.XLOOKUP(C115,customers!A114:$A$1001,customers!G114:$G$1001,"Ireland",0)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1"/>
        <v>14.55</v>
      </c>
      <c r="N115" t="str" cm="1">
        <f t="array" ref="N115">_xlfn.IFS(I115="Rob","Robusta",I115="Exc","Excelsa",I115="Ara","Arabica",I115="Lib","Liberica")</f>
        <v>Liberica</v>
      </c>
      <c r="O115" t="str" cm="1">
        <f t="array" ref="O115">_xlfn.IFS(J115="M","Midium",J115="L","Light",J115="D","Dark")</f>
        <v>Midium</v>
      </c>
      <c r="P115" t="str">
        <f>_xlfn.XLOOKUP(Orders[[#This Row],[Customer ID]],customers!A:A,customers!I:I,,0)</f>
        <v>No</v>
      </c>
      <c r="Q115" t="str">
        <f>_xlfn.XLOOKUP(C116,customers!A:A,customers!B:B,"مش موجود")</f>
        <v>Carmina Hubbuck</v>
      </c>
    </row>
    <row r="116" spans="1:17" x14ac:dyDescent="0.25">
      <c r="A116" s="2" t="s">
        <v>1129</v>
      </c>
      <c r="B116" s="3">
        <v>44265</v>
      </c>
      <c r="C116" s="2" t="s">
        <v>1130</v>
      </c>
      <c r="D116" t="s">
        <v>6178</v>
      </c>
      <c r="E116" s="2">
        <v>4</v>
      </c>
      <c r="F116" s="2" t="str">
        <f>_xlfn.XLOOKUP(Orders[[#This Row],[Customer ID]],customers!A:A,customers!B:B)</f>
        <v>Carmina Hubbuck</v>
      </c>
      <c r="G116" s="2" t="str" cm="1">
        <f t="array" ref="G116">IF(_xlfn.XLOOKUP(C116,customers!A115:$A$1001,customers!C115:$C$1001,,0)=0,"",_xlfn.XLOOKUP(C116,customers!A115:$A$1001,customers!C115:$C$1001,,0))</f>
        <v/>
      </c>
      <c r="H116" s="2" t="str" cm="1">
        <f t="array" ref="H116">_xlfn.XLOOKUP(C116,customers!A115:$A$1001,customers!G115:$G$1001,"Ireland",0)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1"/>
        <v>14.339999999999998</v>
      </c>
      <c r="N116" t="str" cm="1">
        <f t="array" ref="N116">_xlfn.IFS(I116="Rob","Robusta",I116="Exc","Excelsa",I116="Ara","Arabica",I116="Lib","Liberica")</f>
        <v>Robusta</v>
      </c>
      <c r="O116" t="str" cm="1">
        <f t="array" ref="O116">_xlfn.IFS(J116="M","Midium",J116="L","Light",J116="D","Dark")</f>
        <v>Light</v>
      </c>
      <c r="P116" t="str">
        <f>_xlfn.XLOOKUP(Orders[[#This Row],[Customer ID]],customers!A:A,customers!I:I,,0)</f>
        <v>No</v>
      </c>
      <c r="Q116" t="str">
        <f>_xlfn.XLOOKUP(C117,customers!A:A,customers!B:B,"مش موجود")</f>
        <v>Ingeberg Mulliner</v>
      </c>
    </row>
    <row r="117" spans="1:17" x14ac:dyDescent="0.25">
      <c r="A117" s="2" t="s">
        <v>1134</v>
      </c>
      <c r="B117" s="3">
        <v>43693</v>
      </c>
      <c r="C117" s="2" t="s">
        <v>1135</v>
      </c>
      <c r="D117" t="s">
        <v>6170</v>
      </c>
      <c r="E117" s="2">
        <v>1</v>
      </c>
      <c r="F117" s="2" t="str">
        <f>_xlfn.XLOOKUP(Orders[[#This Row],[Customer ID]],customers!A:A,customers!B:B)</f>
        <v>Ingeberg Mulliner</v>
      </c>
      <c r="G117" s="2" t="str" cm="1">
        <f t="array" ref="G117">IF(_xlfn.XLOOKUP(C117,customers!A116:$A$1001,customers!C116:$C$1001,,0)=0,"",_xlfn.XLOOKUP(C117,customers!A116:$A$1001,customers!C116:$C$1001,,0))</f>
        <v>imulliner37@pinterest.com</v>
      </c>
      <c r="H117" s="2" t="str" cm="1">
        <f t="array" ref="H117">_xlfn.XLOOKUP(C117,customers!A116:$A$1001,customers!G116:$G$1001,"Ireland",0)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1"/>
        <v>15.85</v>
      </c>
      <c r="N117" t="str" cm="1">
        <f t="array" ref="N117">_xlfn.IFS(I117="Rob","Robusta",I117="Exc","Excelsa",I117="Ara","Arabica",I117="Lib","Liberica")</f>
        <v>Liberica</v>
      </c>
      <c r="O117" t="str" cm="1">
        <f t="array" ref="O117">_xlfn.IFS(J117="M","Midium",J117="L","Light",J117="D","Dark")</f>
        <v>Light</v>
      </c>
      <c r="P117" t="str">
        <f>_xlfn.XLOOKUP(Orders[[#This Row],[Customer ID]],customers!A:A,customers!I:I,,0)</f>
        <v>No</v>
      </c>
      <c r="Q117" t="str">
        <f>_xlfn.XLOOKUP(C118,customers!A:A,customers!B:B,"مش موجود")</f>
        <v>Geneva Standley</v>
      </c>
    </row>
    <row r="118" spans="1:17" x14ac:dyDescent="0.25">
      <c r="A118" s="2" t="s">
        <v>1140</v>
      </c>
      <c r="B118" s="3">
        <v>44054</v>
      </c>
      <c r="C118" s="2" t="s">
        <v>1141</v>
      </c>
      <c r="D118" t="s">
        <v>6145</v>
      </c>
      <c r="E118" s="2">
        <v>4</v>
      </c>
      <c r="F118" s="2" t="str">
        <f>_xlfn.XLOOKUP(Orders[[#This Row],[Customer ID]],customers!A:A,customers!B:B)</f>
        <v>Geneva Standley</v>
      </c>
      <c r="G118" s="2" t="str" cm="1">
        <f t="array" ref="G118">IF(_xlfn.XLOOKUP(C118,customers!A117:$A$1001,customers!C117:$C$1001,,0)=0,"",_xlfn.XLOOKUP(C118,customers!A117:$A$1001,customers!C117:$C$1001,,0))</f>
        <v>gstandley38@dion.ne.jp</v>
      </c>
      <c r="H118" s="2" t="str" cm="1">
        <f t="array" ref="H118">_xlfn.XLOOKUP(C118,customers!A117:$A$1001,customers!G117:$G$1001,"Ireland",0)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1"/>
        <v>19.02</v>
      </c>
      <c r="N118" t="str" cm="1">
        <f t="array" ref="N118">_xlfn.IFS(I118="Rob","Robusta",I118="Exc","Excelsa",I118="Ara","Arabica",I118="Lib","Liberica")</f>
        <v>Liberica</v>
      </c>
      <c r="O118" t="str" cm="1">
        <f t="array" ref="O118">_xlfn.IFS(J118="M","Midium",J118="L","Light",J118="D","Dark")</f>
        <v>Light</v>
      </c>
      <c r="P118" t="str">
        <f>_xlfn.XLOOKUP(Orders[[#This Row],[Customer ID]],customers!A:A,customers!I:I,,0)</f>
        <v>Yes</v>
      </c>
      <c r="Q118" t="str">
        <f>_xlfn.XLOOKUP(C119,customers!A:A,customers!B:B,"مش موجود")</f>
        <v>Brook Drage</v>
      </c>
    </row>
    <row r="119" spans="1:17" x14ac:dyDescent="0.25">
      <c r="A119" s="2" t="s">
        <v>1146</v>
      </c>
      <c r="B119" s="3">
        <v>44656</v>
      </c>
      <c r="C119" s="2" t="s">
        <v>1147</v>
      </c>
      <c r="D119" t="s">
        <v>6161</v>
      </c>
      <c r="E119" s="2">
        <v>4</v>
      </c>
      <c r="F119" s="2" t="str">
        <f>_xlfn.XLOOKUP(Orders[[#This Row],[Customer ID]],customers!A:A,customers!B:B)</f>
        <v>Brook Drage</v>
      </c>
      <c r="G119" s="2" t="str" cm="1">
        <f t="array" ref="G119">IF(_xlfn.XLOOKUP(C119,customers!A118:$A$1001,customers!C118:$C$1001,,0)=0,"",_xlfn.XLOOKUP(C119,customers!A118:$A$1001,customers!C118:$C$1001,,0))</f>
        <v>bdrage39@youku.com</v>
      </c>
      <c r="H119" s="2" t="str" cm="1">
        <f t="array" ref="H119">_xlfn.XLOOKUP(C119,customers!A118:$A$1001,customers!G118:$G$1001,"Ireland",0)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1"/>
        <v>38.04</v>
      </c>
      <c r="N119" t="str" cm="1">
        <f t="array" ref="N119">_xlfn.IFS(I119="Rob","Robusta",I119="Exc","Excelsa",I119="Ara","Arabica",I119="Lib","Liberica")</f>
        <v>Liberica</v>
      </c>
      <c r="O119" t="str" cm="1">
        <f t="array" ref="O119">_xlfn.IFS(J119="M","Midium",J119="L","Light",J119="D","Dark")</f>
        <v>Light</v>
      </c>
      <c r="P119" t="str">
        <f>_xlfn.XLOOKUP(Orders[[#This Row],[Customer ID]],customers!A:A,customers!I:I,,0)</f>
        <v>No</v>
      </c>
      <c r="Q119" t="str">
        <f>_xlfn.XLOOKUP(C120,customers!A:A,customers!B:B,"مش موجود")</f>
        <v>Muffin Yallop</v>
      </c>
    </row>
    <row r="120" spans="1:17" x14ac:dyDescent="0.25">
      <c r="A120" s="2" t="s">
        <v>1152</v>
      </c>
      <c r="B120" s="3">
        <v>43760</v>
      </c>
      <c r="C120" s="2" t="s">
        <v>1153</v>
      </c>
      <c r="D120" t="s">
        <v>6144</v>
      </c>
      <c r="E120" s="2">
        <v>3</v>
      </c>
      <c r="F120" s="2" t="str">
        <f>_xlfn.XLOOKUP(Orders[[#This Row],[Customer ID]],customers!A:A,customers!B:B)</f>
        <v>Muffin Yallop</v>
      </c>
      <c r="G120" s="2" t="str" cm="1">
        <f t="array" ref="G120">IF(_xlfn.XLOOKUP(C120,customers!A119:$A$1001,customers!C119:$C$1001,,0)=0,"",_xlfn.XLOOKUP(C120,customers!A119:$A$1001,customers!C119:$C$1001,,0))</f>
        <v>myallop3a@fema.gov</v>
      </c>
      <c r="H120" s="2" t="str" cm="1">
        <f t="array" ref="H120">_xlfn.XLOOKUP(C120,customers!A119:$A$1001,customers!G119:$G$1001,"Ireland",0)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1"/>
        <v>21.87</v>
      </c>
      <c r="N120" t="str" cm="1">
        <f t="array" ref="N120">_xlfn.IFS(I120="Rob","Robusta",I120="Exc","Excelsa",I120="Ara","Arabica",I120="Lib","Liberica")</f>
        <v>Excelsa</v>
      </c>
      <c r="O120" t="str" cm="1">
        <f t="array" ref="O120">_xlfn.IFS(J120="M","Midium",J120="L","Light",J120="D","Dark")</f>
        <v>Dark</v>
      </c>
      <c r="P120" t="str">
        <f>_xlfn.XLOOKUP(Orders[[#This Row],[Customer ID]],customers!A:A,customers!I:I,,0)</f>
        <v>Yes</v>
      </c>
      <c r="Q120" t="str">
        <f>_xlfn.XLOOKUP(C121,customers!A:A,customers!B:B,"مش موجود")</f>
        <v>Cordi Switsur</v>
      </c>
    </row>
    <row r="121" spans="1:17" x14ac:dyDescent="0.25">
      <c r="A121" s="2" t="s">
        <v>1158</v>
      </c>
      <c r="B121" s="3">
        <v>44471</v>
      </c>
      <c r="C121" s="2" t="s">
        <v>1159</v>
      </c>
      <c r="D121" t="s">
        <v>6156</v>
      </c>
      <c r="E121" s="2">
        <v>1</v>
      </c>
      <c r="F121" s="2" t="str">
        <f>_xlfn.XLOOKUP(Orders[[#This Row],[Customer ID]],customers!A:A,customers!B:B)</f>
        <v>Cordi Switsur</v>
      </c>
      <c r="G121" s="2" t="str" cm="1">
        <f t="array" ref="G121">IF(_xlfn.XLOOKUP(C121,customers!A120:$A$1001,customers!C120:$C$1001,,0)=0,"",_xlfn.XLOOKUP(C121,customers!A120:$A$1001,customers!C120:$C$1001,,0))</f>
        <v>cswitsur3b@chronoengine.com</v>
      </c>
      <c r="H121" s="2" t="str" cm="1">
        <f t="array" ref="H121">_xlfn.XLOOKUP(C121,customers!A120:$A$1001,customers!G120:$G$1001,"Ireland",0)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1"/>
        <v>4.125</v>
      </c>
      <c r="N121" t="str" cm="1">
        <f t="array" ref="N121">_xlfn.IFS(I121="Rob","Robusta",I121="Exc","Excelsa",I121="Ara","Arabica",I121="Lib","Liberica")</f>
        <v>Excelsa</v>
      </c>
      <c r="O121" t="str" cm="1">
        <f t="array" ref="O121">_xlfn.IFS(J121="M","Midium",J121="L","Light",J121="D","Dark")</f>
        <v>Midium</v>
      </c>
      <c r="P121" t="str">
        <f>_xlfn.XLOOKUP(Orders[[#This Row],[Customer ID]],customers!A:A,customers!I:I,,0)</f>
        <v>No</v>
      </c>
      <c r="Q121" t="str">
        <f>_xlfn.XLOOKUP(C122,customers!A:A,customers!B:B,"مش موجود")</f>
        <v>Cordi Switsur</v>
      </c>
    </row>
    <row r="122" spans="1:17" x14ac:dyDescent="0.25">
      <c r="A122" s="2" t="s">
        <v>1158</v>
      </c>
      <c r="B122" s="3">
        <v>44471</v>
      </c>
      <c r="C122" s="2" t="s">
        <v>1159</v>
      </c>
      <c r="D122" t="s">
        <v>6167</v>
      </c>
      <c r="E122" s="2">
        <v>1</v>
      </c>
      <c r="F122" s="2" t="str">
        <f>_xlfn.XLOOKUP(Orders[[#This Row],[Customer ID]],customers!A:A,customers!B:B)</f>
        <v>Cordi Switsur</v>
      </c>
      <c r="G122" s="2" t="str" cm="1">
        <f t="array" ref="G122">IF(_xlfn.XLOOKUP(C122,customers!A121:$A$1001,customers!C121:$C$1001,,0)=0,"",_xlfn.XLOOKUP(C122,customers!A121:$A$1001,customers!C121:$C$1001,,0))</f>
        <v>cswitsur3b@chronoengine.com</v>
      </c>
      <c r="H122" s="2" t="str" cm="1">
        <f t="array" ref="H122">_xlfn.XLOOKUP(C122,customers!A121:$A$1001,customers!G121:$G$1001,"Ireland",0)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1"/>
        <v>3.8849999999999998</v>
      </c>
      <c r="N122" t="str" cm="1">
        <f t="array" ref="N122">_xlfn.IFS(I122="Rob","Robusta",I122="Exc","Excelsa",I122="Ara","Arabica",I122="Lib","Liberica")</f>
        <v>Arabica</v>
      </c>
      <c r="O122" t="str" cm="1">
        <f t="array" ref="O122">_xlfn.IFS(J122="M","Midium",J122="L","Light",J122="D","Dark")</f>
        <v>Light</v>
      </c>
      <c r="P122" t="str">
        <f>_xlfn.XLOOKUP(Orders[[#This Row],[Customer ID]],customers!A:A,customers!I:I,,0)</f>
        <v>No</v>
      </c>
      <c r="Q122" t="str">
        <f>_xlfn.XLOOKUP(C123,customers!A:A,customers!B:B,"مش موجود")</f>
        <v>Cordi Switsur</v>
      </c>
    </row>
    <row r="123" spans="1:17" x14ac:dyDescent="0.25">
      <c r="A123" s="2" t="s">
        <v>1158</v>
      </c>
      <c r="B123" s="3">
        <v>44471</v>
      </c>
      <c r="C123" s="2" t="s">
        <v>1159</v>
      </c>
      <c r="D123" t="s">
        <v>6141</v>
      </c>
      <c r="E123" s="2">
        <v>5</v>
      </c>
      <c r="F123" s="2" t="str">
        <f>_xlfn.XLOOKUP(Orders[[#This Row],[Customer ID]],customers!A:A,customers!B:B)</f>
        <v>Cordi Switsur</v>
      </c>
      <c r="G123" s="2" t="e" cm="1">
        <f t="array" ref="G123">IF(_xlfn.XLOOKUP(C123,customers!A122:$A$1001,customers!C122:$C$1001,,0)=0,"",_xlfn.XLOOKUP(C123,customers!A122:$A$1001,customers!C122:$C$1001,,0))</f>
        <v>#N/A</v>
      </c>
      <c r="H123" s="2" t="str" cm="1">
        <f t="array" ref="H123">_xlfn.XLOOKUP(C123,customers!A122:$A$1001,customers!G122:$G$1001,"Ireland",0)</f>
        <v>Ireland</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1"/>
        <v>68.75</v>
      </c>
      <c r="N123" t="str" cm="1">
        <f t="array" ref="N123">_xlfn.IFS(I123="Rob","Robusta",I123="Exc","Excelsa",I123="Ara","Arabica",I123="Lib","Liberica")</f>
        <v>Excelsa</v>
      </c>
      <c r="O123" t="str" cm="1">
        <f t="array" ref="O123">_xlfn.IFS(J123="M","Midium",J123="L","Light",J123="D","Dark")</f>
        <v>Midium</v>
      </c>
      <c r="P123" t="str">
        <f>_xlfn.XLOOKUP(Orders[[#This Row],[Customer ID]],customers!A:A,customers!I:I,,0)</f>
        <v>No</v>
      </c>
      <c r="Q123" t="str">
        <f>_xlfn.XLOOKUP(C124,customers!A:A,customers!B:B,"مش موجود")</f>
        <v>Mahala Ludwell</v>
      </c>
    </row>
    <row r="124" spans="1:17" x14ac:dyDescent="0.25">
      <c r="A124" s="2" t="s">
        <v>1174</v>
      </c>
      <c r="B124" s="3">
        <v>44268</v>
      </c>
      <c r="C124" s="2" t="s">
        <v>1175</v>
      </c>
      <c r="D124" t="s">
        <v>6158</v>
      </c>
      <c r="E124" s="2">
        <v>4</v>
      </c>
      <c r="F124" s="2" t="str">
        <f>_xlfn.XLOOKUP(Orders[[#This Row],[Customer ID]],customers!A:A,customers!B:B)</f>
        <v>Mahala Ludwell</v>
      </c>
      <c r="G124" s="2" t="str" cm="1">
        <f t="array" ref="G124">IF(_xlfn.XLOOKUP(C124,customers!A123:$A$1001,customers!C123:$C$1001,,0)=0,"",_xlfn.XLOOKUP(C124,customers!A123:$A$1001,customers!C123:$C$1001,,0))</f>
        <v>mludwell3e@blogger.com</v>
      </c>
      <c r="H124" s="2" t="str" cm="1">
        <f t="array" ref="H124">_xlfn.XLOOKUP(C124,customers!A123:$A$1001,customers!G123:$G$1001,"Ireland",0)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1"/>
        <v>23.88</v>
      </c>
      <c r="N124" t="str" cm="1">
        <f t="array" ref="N124">_xlfn.IFS(I124="Rob","Robusta",I124="Exc","Excelsa",I124="Ara","Arabica",I124="Lib","Liberica")</f>
        <v>Arabica</v>
      </c>
      <c r="O124" t="str" cm="1">
        <f t="array" ref="O124">_xlfn.IFS(J124="M","Midium",J124="L","Light",J124="D","Dark")</f>
        <v>Dark</v>
      </c>
      <c r="P124" t="str">
        <f>_xlfn.XLOOKUP(Orders[[#This Row],[Customer ID]],customers!A:A,customers!I:I,,0)</f>
        <v>Yes</v>
      </c>
      <c r="Q124" t="str">
        <f>_xlfn.XLOOKUP(C125,customers!A:A,customers!B:B,"مش موجود")</f>
        <v>Doll Beauchamp</v>
      </c>
    </row>
    <row r="125" spans="1:17" x14ac:dyDescent="0.25">
      <c r="A125" s="2" t="s">
        <v>1180</v>
      </c>
      <c r="B125" s="3">
        <v>44724</v>
      </c>
      <c r="C125" s="2" t="s">
        <v>1181</v>
      </c>
      <c r="D125" t="s">
        <v>6164</v>
      </c>
      <c r="E125" s="2">
        <v>4</v>
      </c>
      <c r="F125" s="2" t="str">
        <f>_xlfn.XLOOKUP(Orders[[#This Row],[Customer ID]],customers!A:A,customers!B:B)</f>
        <v>Doll Beauchamp</v>
      </c>
      <c r="G125" s="2" t="str" cm="1">
        <f t="array" ref="G125">IF(_xlfn.XLOOKUP(C125,customers!A124:$A$1001,customers!C124:$C$1001,,0)=0,"",_xlfn.XLOOKUP(C125,customers!A124:$A$1001,customers!C124:$C$1001,,0))</f>
        <v>dbeauchamp3f@usda.gov</v>
      </c>
      <c r="H125" s="2" t="str" cm="1">
        <f t="array" ref="H125">_xlfn.XLOOKUP(C125,customers!A124:$A$1001,customers!G124:$G$1001,"Ireland",0)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1"/>
        <v>145.82</v>
      </c>
      <c r="N125" t="str" cm="1">
        <f t="array" ref="N125">_xlfn.IFS(I125="Rob","Robusta",I125="Exc","Excelsa",I125="Ara","Arabica",I125="Lib","Liberica")</f>
        <v>Liberica</v>
      </c>
      <c r="O125" t="str" cm="1">
        <f t="array" ref="O125">_xlfn.IFS(J125="M","Midium",J125="L","Light",J125="D","Dark")</f>
        <v>Light</v>
      </c>
      <c r="P125" t="str">
        <f>_xlfn.XLOOKUP(Orders[[#This Row],[Customer ID]],customers!A:A,customers!I:I,,0)</f>
        <v>No</v>
      </c>
      <c r="Q125" t="str">
        <f>_xlfn.XLOOKUP(C126,customers!A:A,customers!B:B,"مش موجود")</f>
        <v>Stanford Rodliff</v>
      </c>
    </row>
    <row r="126" spans="1:17" x14ac:dyDescent="0.25">
      <c r="A126" s="2" t="s">
        <v>1186</v>
      </c>
      <c r="B126" s="3">
        <v>43582</v>
      </c>
      <c r="C126" s="2" t="s">
        <v>1187</v>
      </c>
      <c r="D126" t="s">
        <v>6159</v>
      </c>
      <c r="E126" s="2">
        <v>5</v>
      </c>
      <c r="F126" s="2" t="str">
        <f>_xlfn.XLOOKUP(Orders[[#This Row],[Customer ID]],customers!A:A,customers!B:B)</f>
        <v>Stanford Rodliff</v>
      </c>
      <c r="G126" s="2" t="str" cm="1">
        <f t="array" ref="G126">IF(_xlfn.XLOOKUP(C126,customers!A125:$A$1001,customers!C125:$C$1001,,0)=0,"",_xlfn.XLOOKUP(C126,customers!A125:$A$1001,customers!C125:$C$1001,,0))</f>
        <v>srodliff3g@ted.com</v>
      </c>
      <c r="H126" s="2" t="str" cm="1">
        <f t="array" ref="H126">_xlfn.XLOOKUP(C126,customers!A125:$A$1001,customers!G125:$G$1001,"Ireland",0)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1"/>
        <v>21.825000000000003</v>
      </c>
      <c r="N126" t="str" cm="1">
        <f t="array" ref="N126">_xlfn.IFS(I126="Rob","Robusta",I126="Exc","Excelsa",I126="Ara","Arabica",I126="Lib","Liberica")</f>
        <v>Liberica</v>
      </c>
      <c r="O126" t="str" cm="1">
        <f t="array" ref="O126">_xlfn.IFS(J126="M","Midium",J126="L","Light",J126="D","Dark")</f>
        <v>Midium</v>
      </c>
      <c r="P126" t="str">
        <f>_xlfn.XLOOKUP(Orders[[#This Row],[Customer ID]],customers!A:A,customers!I:I,,0)</f>
        <v>Yes</v>
      </c>
      <c r="Q126" t="str">
        <f>_xlfn.XLOOKUP(C127,customers!A:A,customers!B:B,"مش موجود")</f>
        <v>Stevana Woodham</v>
      </c>
    </row>
    <row r="127" spans="1:17" x14ac:dyDescent="0.25">
      <c r="A127" s="2" t="s">
        <v>1192</v>
      </c>
      <c r="B127" s="3">
        <v>43608</v>
      </c>
      <c r="C127" s="2" t="s">
        <v>1193</v>
      </c>
      <c r="D127" t="s">
        <v>6160</v>
      </c>
      <c r="E127" s="2">
        <v>3</v>
      </c>
      <c r="F127" s="2" t="str">
        <f>_xlfn.XLOOKUP(Orders[[#This Row],[Customer ID]],customers!A:A,customers!B:B)</f>
        <v>Stevana Woodham</v>
      </c>
      <c r="G127" s="2" t="str" cm="1">
        <f t="array" ref="G127">IF(_xlfn.XLOOKUP(C127,customers!A126:$A$1001,customers!C126:$C$1001,,0)=0,"",_xlfn.XLOOKUP(C127,customers!A126:$A$1001,customers!C126:$C$1001,,0))</f>
        <v>swoodham3h@businesswire.com</v>
      </c>
      <c r="H127" s="2" t="str" cm="1">
        <f t="array" ref="H127">_xlfn.XLOOKUP(C127,customers!A126:$A$1001,customers!G126:$G$1001,"Ireland",0)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1"/>
        <v>26.19</v>
      </c>
      <c r="N127" t="str" cm="1">
        <f t="array" ref="N127">_xlfn.IFS(I127="Rob","Robusta",I127="Exc","Excelsa",I127="Ara","Arabica",I127="Lib","Liberica")</f>
        <v>Liberica</v>
      </c>
      <c r="O127" t="str" cm="1">
        <f t="array" ref="O127">_xlfn.IFS(J127="M","Midium",J127="L","Light",J127="D","Dark")</f>
        <v>Midium</v>
      </c>
      <c r="P127" t="str">
        <f>_xlfn.XLOOKUP(Orders[[#This Row],[Customer ID]],customers!A:A,customers!I:I,,0)</f>
        <v>Yes</v>
      </c>
      <c r="Q127" t="str">
        <f>_xlfn.XLOOKUP(C128,customers!A:A,customers!B:B,"مش موجود")</f>
        <v>Hewet Synnot</v>
      </c>
    </row>
    <row r="128" spans="1:17" x14ac:dyDescent="0.25">
      <c r="A128" s="2" t="s">
        <v>1198</v>
      </c>
      <c r="B128" s="3">
        <v>44026</v>
      </c>
      <c r="C128" s="2" t="s">
        <v>1199</v>
      </c>
      <c r="D128" t="s">
        <v>6155</v>
      </c>
      <c r="E128" s="2">
        <v>1</v>
      </c>
      <c r="F128" s="2" t="str">
        <f>_xlfn.XLOOKUP(Orders[[#This Row],[Customer ID]],customers!A:A,customers!B:B)</f>
        <v>Hewet Synnot</v>
      </c>
      <c r="G128" s="2" t="str" cm="1">
        <f t="array" ref="G128">IF(_xlfn.XLOOKUP(C128,customers!A127:$A$1001,customers!C127:$C$1001,,0)=0,"",_xlfn.XLOOKUP(C128,customers!A127:$A$1001,customers!C127:$C$1001,,0))</f>
        <v>hsynnot3i@about.com</v>
      </c>
      <c r="H128" s="2" t="str" cm="1">
        <f t="array" ref="H128">_xlfn.XLOOKUP(C128,customers!A127:$A$1001,customers!G127:$G$1001,"Ireland",0)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1"/>
        <v>11.25</v>
      </c>
      <c r="N128" t="str" cm="1">
        <f t="array" ref="N128">_xlfn.IFS(I128="Rob","Robusta",I128="Exc","Excelsa",I128="Ara","Arabica",I128="Lib","Liberica")</f>
        <v>Arabica</v>
      </c>
      <c r="O128" t="str" cm="1">
        <f t="array" ref="O128">_xlfn.IFS(J128="M","Midium",J128="L","Light",J128="D","Dark")</f>
        <v>Midium</v>
      </c>
      <c r="P128" t="str">
        <f>_xlfn.XLOOKUP(Orders[[#This Row],[Customer ID]],customers!A:A,customers!I:I,,0)</f>
        <v>No</v>
      </c>
      <c r="Q128" t="str">
        <f>_xlfn.XLOOKUP(C129,customers!A:A,customers!B:B,"مش موجود")</f>
        <v>Raleigh Lepere</v>
      </c>
    </row>
    <row r="129" spans="1:17" x14ac:dyDescent="0.25">
      <c r="A129" s="2" t="s">
        <v>1204</v>
      </c>
      <c r="B129" s="3">
        <v>44510</v>
      </c>
      <c r="C129" s="2" t="s">
        <v>1205</v>
      </c>
      <c r="D129" t="s">
        <v>6143</v>
      </c>
      <c r="E129" s="2">
        <v>6</v>
      </c>
      <c r="F129" s="2" t="str">
        <f>_xlfn.XLOOKUP(Orders[[#This Row],[Customer ID]],customers!A:A,customers!B:B)</f>
        <v>Raleigh Lepere</v>
      </c>
      <c r="G129" s="2" t="str" cm="1">
        <f t="array" ref="G129">IF(_xlfn.XLOOKUP(C129,customers!A128:$A$1001,customers!C128:$C$1001,,0)=0,"",_xlfn.XLOOKUP(C129,customers!A128:$A$1001,customers!C128:$C$1001,,0))</f>
        <v>rlepere3j@shop-pro.jp</v>
      </c>
      <c r="H129" s="2" t="str" cm="1">
        <f t="array" ref="H129">_xlfn.XLOOKUP(C129,customers!A128:$A$1001,customers!G128:$G$1001,"Ireland",0)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1"/>
        <v>77.699999999999989</v>
      </c>
      <c r="N129" t="str" cm="1">
        <f t="array" ref="N129">_xlfn.IFS(I129="Rob","Robusta",I129="Exc","Excelsa",I129="Ara","Arabica",I129="Lib","Liberica")</f>
        <v>Liberica</v>
      </c>
      <c r="O129" t="str" cm="1">
        <f t="array" ref="O129">_xlfn.IFS(J129="M","Midium",J129="L","Light",J129="D","Dark")</f>
        <v>Dark</v>
      </c>
      <c r="P129" t="str">
        <f>_xlfn.XLOOKUP(Orders[[#This Row],[Customer ID]],customers!A:A,customers!I:I,,0)</f>
        <v>No</v>
      </c>
      <c r="Q129" t="str">
        <f>_xlfn.XLOOKUP(C130,customers!A:A,customers!B:B,"مش موجود")</f>
        <v>Timofei Woofinden</v>
      </c>
    </row>
    <row r="130" spans="1:17" x14ac:dyDescent="0.25">
      <c r="A130" s="2" t="s">
        <v>1210</v>
      </c>
      <c r="B130" s="3">
        <v>44439</v>
      </c>
      <c r="C130" s="2" t="s">
        <v>1211</v>
      </c>
      <c r="D130" t="s">
        <v>6157</v>
      </c>
      <c r="E130" s="2">
        <v>1</v>
      </c>
      <c r="F130" s="2" t="str">
        <f>_xlfn.XLOOKUP(Orders[[#This Row],[Customer ID]],customers!A:A,customers!B:B)</f>
        <v>Timofei Woofinden</v>
      </c>
      <c r="G130" s="2" t="str" cm="1">
        <f t="array" ref="G130">IF(_xlfn.XLOOKUP(C130,customers!A129:$A$1001,customers!C129:$C$1001,,0)=0,"",_xlfn.XLOOKUP(C130,customers!A129:$A$1001,customers!C129:$C$1001,,0))</f>
        <v>twoofinden3k@businesswire.com</v>
      </c>
      <c r="H130" s="2" t="str" cm="1">
        <f t="array" ref="H130">_xlfn.XLOOKUP(C130,customers!A129:$A$1001,customers!G129:$G$1001,"Ireland",0)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1"/>
        <v>6.75</v>
      </c>
      <c r="N130" t="str" cm="1">
        <f t="array" ref="N130">_xlfn.IFS(I130="Rob","Robusta",I130="Exc","Excelsa",I130="Ara","Arabica",I130="Lib","Liberica")</f>
        <v>Arabica</v>
      </c>
      <c r="O130" t="str" cm="1">
        <f t="array" ref="O130">_xlfn.IFS(J130="M","Midium",J130="L","Light",J130="D","Dark")</f>
        <v>Midium</v>
      </c>
      <c r="P130" t="str">
        <f>_xlfn.XLOOKUP(Orders[[#This Row],[Customer ID]],customers!A:A,customers!I:I,,0)</f>
        <v>No</v>
      </c>
      <c r="Q130" t="str">
        <f>_xlfn.XLOOKUP(C131,customers!A:A,customers!B:B,"مش موجود")</f>
        <v>Evelina Dacca</v>
      </c>
    </row>
    <row r="131" spans="1:17" x14ac:dyDescent="0.25">
      <c r="A131" s="2" t="s">
        <v>1216</v>
      </c>
      <c r="B131" s="3">
        <v>43652</v>
      </c>
      <c r="C131" s="2" t="s">
        <v>1217</v>
      </c>
      <c r="D131" t="s">
        <v>6183</v>
      </c>
      <c r="E131" s="2">
        <v>1</v>
      </c>
      <c r="F131" s="2" t="str">
        <f>_xlfn.XLOOKUP(Orders[[#This Row],[Customer ID]],customers!A:A,customers!B:B)</f>
        <v>Evelina Dacca</v>
      </c>
      <c r="G131" s="2" t="str" cm="1">
        <f t="array" ref="G131">IF(_xlfn.XLOOKUP(C131,customers!A130:$A$1001,customers!C130:$C$1001,,0)=0,"",_xlfn.XLOOKUP(C131,customers!A130:$A$1001,customers!C130:$C$1001,,0))</f>
        <v>edacca3l@google.pl</v>
      </c>
      <c r="H131" s="2" t="str" cm="1">
        <f t="array" ref="H131">_xlfn.XLOOKUP(C131,customers!A130:$A$1001,customers!G130:$G$1001,"Ireland",0)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2">L131*E131</f>
        <v>12.15</v>
      </c>
      <c r="N131" t="str" cm="1">
        <f t="array" ref="N131">_xlfn.IFS(I131="Rob","Robusta",I131="Exc","Excelsa",I131="Ara","Arabica",I131="Lib","Liberica")</f>
        <v>Excelsa</v>
      </c>
      <c r="O131" t="str" cm="1">
        <f t="array" ref="O131">_xlfn.IFS(J131="M","Midium",J131="L","Light",J131="D","Dark")</f>
        <v>Dark</v>
      </c>
      <c r="P131" t="str">
        <f>_xlfn.XLOOKUP(Orders[[#This Row],[Customer ID]],customers!A:A,customers!I:I,,0)</f>
        <v>Yes</v>
      </c>
      <c r="Q131" t="str">
        <f>_xlfn.XLOOKUP(C132,customers!A:A,customers!B:B,"مش موجود")</f>
        <v>Bidget Tremellier</v>
      </c>
    </row>
    <row r="132" spans="1:17" x14ac:dyDescent="0.25">
      <c r="A132" s="2" t="s">
        <v>1222</v>
      </c>
      <c r="B132" s="3">
        <v>44624</v>
      </c>
      <c r="C132" s="2" t="s">
        <v>1223</v>
      </c>
      <c r="D132" t="s">
        <v>6182</v>
      </c>
      <c r="E132" s="2">
        <v>5</v>
      </c>
      <c r="F132" s="2" t="str">
        <f>_xlfn.XLOOKUP(Orders[[#This Row],[Customer ID]],customers!A:A,customers!B:B)</f>
        <v>Bidget Tremellier</v>
      </c>
      <c r="G132" s="2" t="str" cm="1">
        <f t="array" ref="G132">IF(_xlfn.XLOOKUP(C132,customers!A131:$A$1001,customers!C131:$C$1001,,0)=0,"",_xlfn.XLOOKUP(C132,customers!A131:$A$1001,customers!C131:$C$1001,,0))</f>
        <v/>
      </c>
      <c r="H132" s="2" t="str" cm="1">
        <f t="array" ref="H132">_xlfn.XLOOKUP(C132,customers!A131:$A$1001,customers!G131:$G$1001,"Ireland",0)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2"/>
        <v>148.92499999999998</v>
      </c>
      <c r="N132" t="str" cm="1">
        <f t="array" ref="N132">_xlfn.IFS(I132="Rob","Robusta",I132="Exc","Excelsa",I132="Ara","Arabica",I132="Lib","Liberica")</f>
        <v>Arabica</v>
      </c>
      <c r="O132" t="str" cm="1">
        <f t="array" ref="O132">_xlfn.IFS(J132="M","Midium",J132="L","Light",J132="D","Dark")</f>
        <v>Light</v>
      </c>
      <c r="P132" t="str">
        <f>_xlfn.XLOOKUP(Orders[[#This Row],[Customer ID]],customers!A:A,customers!I:I,,0)</f>
        <v>Yes</v>
      </c>
      <c r="Q132" t="str">
        <f>_xlfn.XLOOKUP(C133,customers!A:A,customers!B:B,"مش موجود")</f>
        <v>Bobinette Hindsberg</v>
      </c>
    </row>
    <row r="133" spans="1:17" x14ac:dyDescent="0.25">
      <c r="A133" s="2" t="s">
        <v>1227</v>
      </c>
      <c r="B133" s="3">
        <v>44196</v>
      </c>
      <c r="C133" s="2" t="s">
        <v>1228</v>
      </c>
      <c r="D133" t="s">
        <v>6144</v>
      </c>
      <c r="E133" s="2">
        <v>2</v>
      </c>
      <c r="F133" s="2" t="str">
        <f>_xlfn.XLOOKUP(Orders[[#This Row],[Customer ID]],customers!A:A,customers!B:B)</f>
        <v>Bobinette Hindsberg</v>
      </c>
      <c r="G133" s="2" t="str" cm="1">
        <f t="array" ref="G133">IF(_xlfn.XLOOKUP(C133,customers!A132:$A$1001,customers!C132:$C$1001,,0)=0,"",_xlfn.XLOOKUP(C133,customers!A132:$A$1001,customers!C132:$C$1001,,0))</f>
        <v>bhindsberg3n@blogs.com</v>
      </c>
      <c r="H133" s="2" t="str" cm="1">
        <f t="array" ref="H133">_xlfn.XLOOKUP(C133,customers!A132:$A$1001,customers!G132:$G$1001,"Ireland",0)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2"/>
        <v>14.58</v>
      </c>
      <c r="N133" t="str" cm="1">
        <f t="array" ref="N133">_xlfn.IFS(I133="Rob","Robusta",I133="Exc","Excelsa",I133="Ara","Arabica",I133="Lib","Liberica")</f>
        <v>Excelsa</v>
      </c>
      <c r="O133" t="str" cm="1">
        <f t="array" ref="O133">_xlfn.IFS(J133="M","Midium",J133="L","Light",J133="D","Dark")</f>
        <v>Dark</v>
      </c>
      <c r="P133" t="str">
        <f>_xlfn.XLOOKUP(Orders[[#This Row],[Customer ID]],customers!A:A,customers!I:I,,0)</f>
        <v>Yes</v>
      </c>
      <c r="Q133" t="str">
        <f>_xlfn.XLOOKUP(C134,customers!A:A,customers!B:B,"مش موجود")</f>
        <v>Osbert Robins</v>
      </c>
    </row>
    <row r="134" spans="1:17" x14ac:dyDescent="0.25">
      <c r="A134" s="2" t="s">
        <v>1233</v>
      </c>
      <c r="B134" s="3">
        <v>44043</v>
      </c>
      <c r="C134" s="2" t="s">
        <v>1234</v>
      </c>
      <c r="D134" t="s">
        <v>6182</v>
      </c>
      <c r="E134" s="2">
        <v>5</v>
      </c>
      <c r="F134" s="2" t="str">
        <f>_xlfn.XLOOKUP(Orders[[#This Row],[Customer ID]],customers!A:A,customers!B:B)</f>
        <v>Osbert Robins</v>
      </c>
      <c r="G134" s="2" t="str" cm="1">
        <f t="array" ref="G134">IF(_xlfn.XLOOKUP(C134,customers!A133:$A$1001,customers!C133:$C$1001,,0)=0,"",_xlfn.XLOOKUP(C134,customers!A133:$A$1001,customers!C133:$C$1001,,0))</f>
        <v>orobins3o@salon.com</v>
      </c>
      <c r="H134" s="2" t="str" cm="1">
        <f t="array" ref="H134">_xlfn.XLOOKUP(C134,customers!A133:$A$1001,customers!G133:$G$1001,"Ireland",0)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2"/>
        <v>148.92499999999998</v>
      </c>
      <c r="N134" t="str" cm="1">
        <f t="array" ref="N134">_xlfn.IFS(I134="Rob","Robusta",I134="Exc","Excelsa",I134="Ara","Arabica",I134="Lib","Liberica")</f>
        <v>Arabica</v>
      </c>
      <c r="O134" t="str" cm="1">
        <f t="array" ref="O134">_xlfn.IFS(J134="M","Midium",J134="L","Light",J134="D","Dark")</f>
        <v>Light</v>
      </c>
      <c r="P134" t="str">
        <f>_xlfn.XLOOKUP(Orders[[#This Row],[Customer ID]],customers!A:A,customers!I:I,,0)</f>
        <v>Yes</v>
      </c>
      <c r="Q134" t="str">
        <f>_xlfn.XLOOKUP(C135,customers!A:A,customers!B:B,"مش موجود")</f>
        <v>Othello Syseland</v>
      </c>
    </row>
    <row r="135" spans="1:17" x14ac:dyDescent="0.25">
      <c r="A135" s="2" t="s">
        <v>1239</v>
      </c>
      <c r="B135" s="3">
        <v>44340</v>
      </c>
      <c r="C135" s="2" t="s">
        <v>1240</v>
      </c>
      <c r="D135" t="s">
        <v>6143</v>
      </c>
      <c r="E135" s="2">
        <v>1</v>
      </c>
      <c r="F135" s="2" t="str">
        <f>_xlfn.XLOOKUP(Orders[[#This Row],[Customer ID]],customers!A:A,customers!B:B)</f>
        <v>Othello Syseland</v>
      </c>
      <c r="G135" s="2" t="str" cm="1">
        <f t="array" ref="G135">IF(_xlfn.XLOOKUP(C135,customers!A134:$A$1001,customers!C134:$C$1001,,0)=0,"",_xlfn.XLOOKUP(C135,customers!A134:$A$1001,customers!C134:$C$1001,,0))</f>
        <v>osyseland3p@independent.co.uk</v>
      </c>
      <c r="H135" s="2" t="str" cm="1">
        <f t="array" ref="H135">_xlfn.XLOOKUP(C135,customers!A134:$A$1001,customers!G134:$G$1001,"Ireland",0)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2"/>
        <v>12.95</v>
      </c>
      <c r="N135" t="str" cm="1">
        <f t="array" ref="N135">_xlfn.IFS(I135="Rob","Robusta",I135="Exc","Excelsa",I135="Ara","Arabica",I135="Lib","Liberica")</f>
        <v>Liberica</v>
      </c>
      <c r="O135" t="str" cm="1">
        <f t="array" ref="O135">_xlfn.IFS(J135="M","Midium",J135="L","Light",J135="D","Dark")</f>
        <v>Dark</v>
      </c>
      <c r="P135" t="str">
        <f>_xlfn.XLOOKUP(Orders[[#This Row],[Customer ID]],customers!A:A,customers!I:I,,0)</f>
        <v>No</v>
      </c>
      <c r="Q135" t="str">
        <f>_xlfn.XLOOKUP(C136,customers!A:A,customers!B:B,"مش موجود")</f>
        <v>Ewell Hanby</v>
      </c>
    </row>
    <row r="136" spans="1:17" x14ac:dyDescent="0.25">
      <c r="A136" s="2" t="s">
        <v>1245</v>
      </c>
      <c r="B136" s="3">
        <v>44758</v>
      </c>
      <c r="C136" s="2" t="s">
        <v>1246</v>
      </c>
      <c r="D136" t="s">
        <v>6166</v>
      </c>
      <c r="E136" s="2">
        <v>3</v>
      </c>
      <c r="F136" s="2" t="str">
        <f>_xlfn.XLOOKUP(Orders[[#This Row],[Customer ID]],customers!A:A,customers!B:B)</f>
        <v>Ewell Hanby</v>
      </c>
      <c r="G136" s="2" t="str" cm="1">
        <f t="array" ref="G136">IF(_xlfn.XLOOKUP(C136,customers!A135:$A$1001,customers!C135:$C$1001,,0)=0,"",_xlfn.XLOOKUP(C136,customers!A135:$A$1001,customers!C135:$C$1001,,0))</f>
        <v/>
      </c>
      <c r="H136" s="2" t="str" cm="1">
        <f t="array" ref="H136">_xlfn.XLOOKUP(C136,customers!A135:$A$1001,customers!G135:$G$1001,"Ireland",0)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2"/>
        <v>94.874999999999986</v>
      </c>
      <c r="N136" t="str" cm="1">
        <f t="array" ref="N136">_xlfn.IFS(I136="Rob","Robusta",I136="Exc","Excelsa",I136="Ara","Arabica",I136="Lib","Liberica")</f>
        <v>Excelsa</v>
      </c>
      <c r="O136" t="str" cm="1">
        <f t="array" ref="O136">_xlfn.IFS(J136="M","Midium",J136="L","Light",J136="D","Dark")</f>
        <v>Midium</v>
      </c>
      <c r="P136" t="str">
        <f>_xlfn.XLOOKUP(Orders[[#This Row],[Customer ID]],customers!A:A,customers!I:I,,0)</f>
        <v>Yes</v>
      </c>
      <c r="Q136" t="str">
        <f>_xlfn.XLOOKUP(C137,customers!A:A,customers!B:B,"مش موجود")</f>
        <v>Blancha McAmish</v>
      </c>
    </row>
    <row r="137" spans="1:17" x14ac:dyDescent="0.25">
      <c r="A137" s="2" t="s">
        <v>1249</v>
      </c>
      <c r="B137" s="3">
        <v>44232</v>
      </c>
      <c r="C137" s="2" t="s">
        <v>976</v>
      </c>
      <c r="D137" t="s">
        <v>6180</v>
      </c>
      <c r="E137" s="2">
        <v>5</v>
      </c>
      <c r="F137" s="2" t="str">
        <f>_xlfn.XLOOKUP(Orders[[#This Row],[Customer ID]],customers!A:A,customers!B:B)</f>
        <v>Blancha McAmish</v>
      </c>
      <c r="G137" s="2" t="e" cm="1">
        <f t="array" ref="G137">IF(_xlfn.XLOOKUP(C137,customers!A136:$A$1001,customers!C136:$C$1001,,0)=0,"",_xlfn.XLOOKUP(C137,customers!A136:$A$1001,customers!C136:$C$1001,,0))</f>
        <v>#N/A</v>
      </c>
      <c r="H137" s="2" t="str" cm="1">
        <f t="array" ref="H137">_xlfn.XLOOKUP(C137,customers!A136:$A$1001,customers!G136:$G$1001,"Ireland",0)</f>
        <v>Ireland</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2"/>
        <v>38.849999999999994</v>
      </c>
      <c r="N137" t="str" cm="1">
        <f t="array" ref="N137">_xlfn.IFS(I137="Rob","Robusta",I137="Exc","Excelsa",I137="Ara","Arabica",I137="Lib","Liberica")</f>
        <v>Arabica</v>
      </c>
      <c r="O137" t="str" cm="1">
        <f t="array" ref="O137">_xlfn.IFS(J137="M","Midium",J137="L","Light",J137="D","Dark")</f>
        <v>Light</v>
      </c>
      <c r="P137" t="str">
        <f>_xlfn.XLOOKUP(Orders[[#This Row],[Customer ID]],customers!A:A,customers!I:I,,0)</f>
        <v>Yes</v>
      </c>
      <c r="Q137" t="str">
        <f>_xlfn.XLOOKUP(C138,customers!A:A,customers!B:B,"مش موجود")</f>
        <v>Lowell Keenleyside</v>
      </c>
    </row>
    <row r="138" spans="1:17" x14ac:dyDescent="0.25">
      <c r="A138" s="2" t="s">
        <v>1255</v>
      </c>
      <c r="B138" s="3">
        <v>44406</v>
      </c>
      <c r="C138" s="2" t="s">
        <v>1256</v>
      </c>
      <c r="D138" t="s">
        <v>6154</v>
      </c>
      <c r="E138" s="2">
        <v>4</v>
      </c>
      <c r="F138" s="2" t="str">
        <f>_xlfn.XLOOKUP(Orders[[#This Row],[Customer ID]],customers!A:A,customers!B:B)</f>
        <v>Lowell Keenleyside</v>
      </c>
      <c r="G138" s="2" t="str" cm="1">
        <f t="array" ref="G138">IF(_xlfn.XLOOKUP(C138,customers!A137:$A$1001,customers!C137:$C$1001,,0)=0,"",_xlfn.XLOOKUP(C138,customers!A137:$A$1001,customers!C137:$C$1001,,0))</f>
        <v>lkeenleyside3s@topsy.com</v>
      </c>
      <c r="H138" s="2" t="str" cm="1">
        <f t="array" ref="H138">_xlfn.XLOOKUP(C138,customers!A137:$A$1001,customers!G137:$G$1001,"Ireland",0)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2"/>
        <v>11.94</v>
      </c>
      <c r="N138" t="str" cm="1">
        <f t="array" ref="N138">_xlfn.IFS(I138="Rob","Robusta",I138="Exc","Excelsa",I138="Ara","Arabica",I138="Lib","Liberica")</f>
        <v>Arabica</v>
      </c>
      <c r="O138" t="str" cm="1">
        <f t="array" ref="O138">_xlfn.IFS(J138="M","Midium",J138="L","Light",J138="D","Dark")</f>
        <v>Dark</v>
      </c>
      <c r="P138" t="str">
        <f>_xlfn.XLOOKUP(Orders[[#This Row],[Customer ID]],customers!A:A,customers!I:I,,0)</f>
        <v>No</v>
      </c>
      <c r="Q138" t="str">
        <f>_xlfn.XLOOKUP(C139,customers!A:A,customers!B:B,"مش موجود")</f>
        <v>Elonore Joliffe</v>
      </c>
    </row>
    <row r="139" spans="1:17" x14ac:dyDescent="0.25">
      <c r="A139" s="2" t="s">
        <v>1261</v>
      </c>
      <c r="B139" s="3">
        <v>44637</v>
      </c>
      <c r="C139" s="2" t="s">
        <v>1262</v>
      </c>
      <c r="D139" t="s">
        <v>6148</v>
      </c>
      <c r="E139" s="2">
        <v>3</v>
      </c>
      <c r="F139" s="2" t="str">
        <f>_xlfn.XLOOKUP(Orders[[#This Row],[Customer ID]],customers!A:A,customers!B:B)</f>
        <v>Elonore Joliffe</v>
      </c>
      <c r="G139" s="2" t="str" cm="1">
        <f t="array" ref="G139">IF(_xlfn.XLOOKUP(C139,customers!A138:$A$1001,customers!C138:$C$1001,,0)=0,"",_xlfn.XLOOKUP(C139,customers!A138:$A$1001,customers!C138:$C$1001,,0))</f>
        <v/>
      </c>
      <c r="H139" s="2" t="str" cm="1">
        <f t="array" ref="H139">_xlfn.XLOOKUP(C139,customers!A138:$A$1001,customers!G138:$G$1001,"Ireland",0)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2"/>
        <v>102.46499999999997</v>
      </c>
      <c r="N139" t="str" cm="1">
        <f t="array" ref="N139">_xlfn.IFS(I139="Rob","Robusta",I139="Exc","Excelsa",I139="Ara","Arabica",I139="Lib","Liberica")</f>
        <v>Excelsa</v>
      </c>
      <c r="O139" t="str" cm="1">
        <f t="array" ref="O139">_xlfn.IFS(J139="M","Midium",J139="L","Light",J139="D","Dark")</f>
        <v>Light</v>
      </c>
      <c r="P139" t="str">
        <f>_xlfn.XLOOKUP(Orders[[#This Row],[Customer ID]],customers!A:A,customers!I:I,,0)</f>
        <v>No</v>
      </c>
      <c r="Q139" t="str">
        <f>_xlfn.XLOOKUP(C140,customers!A:A,customers!B:B,"مش موجود")</f>
        <v>Abraham Coleman</v>
      </c>
    </row>
    <row r="140" spans="1:17" x14ac:dyDescent="0.25">
      <c r="A140" s="2" t="s">
        <v>1266</v>
      </c>
      <c r="B140" s="3">
        <v>44238</v>
      </c>
      <c r="C140" s="2" t="s">
        <v>1267</v>
      </c>
      <c r="D140" t="s">
        <v>6183</v>
      </c>
      <c r="E140" s="2">
        <v>4</v>
      </c>
      <c r="F140" s="2" t="str">
        <f>_xlfn.XLOOKUP(Orders[[#This Row],[Customer ID]],customers!A:A,customers!B:B)</f>
        <v>Abraham Coleman</v>
      </c>
      <c r="G140" s="2" t="str" cm="1">
        <f t="array" ref="G140">IF(_xlfn.XLOOKUP(C140,customers!A139:$A$1001,customers!C139:$C$1001,,0)=0,"",_xlfn.XLOOKUP(C140,customers!A139:$A$1001,customers!C139:$C$1001,,0))</f>
        <v/>
      </c>
      <c r="H140" s="2" t="str" cm="1">
        <f t="array" ref="H140">_xlfn.XLOOKUP(C140,customers!A139:$A$1001,customers!G139:$G$1001,"Ireland",0)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2"/>
        <v>48.6</v>
      </c>
      <c r="N140" t="str" cm="1">
        <f t="array" ref="N140">_xlfn.IFS(I140="Rob","Robusta",I140="Exc","Excelsa",I140="Ara","Arabica",I140="Lib","Liberica")</f>
        <v>Excelsa</v>
      </c>
      <c r="O140" t="str" cm="1">
        <f t="array" ref="O140">_xlfn.IFS(J140="M","Midium",J140="L","Light",J140="D","Dark")</f>
        <v>Dark</v>
      </c>
      <c r="P140" t="str">
        <f>_xlfn.XLOOKUP(Orders[[#This Row],[Customer ID]],customers!A:A,customers!I:I,,0)</f>
        <v>No</v>
      </c>
      <c r="Q140" t="str">
        <f>_xlfn.XLOOKUP(C141,customers!A:A,customers!B:B,"مش موجود")</f>
        <v>Rivy Farington</v>
      </c>
    </row>
    <row r="141" spans="1:17" x14ac:dyDescent="0.25">
      <c r="A141" s="2" t="s">
        <v>1271</v>
      </c>
      <c r="B141" s="3">
        <v>43509</v>
      </c>
      <c r="C141" s="2" t="s">
        <v>1272</v>
      </c>
      <c r="D141" t="s">
        <v>6143</v>
      </c>
      <c r="E141" s="2">
        <v>6</v>
      </c>
      <c r="F141" s="2" t="str">
        <f>_xlfn.XLOOKUP(Orders[[#This Row],[Customer ID]],customers!A:A,customers!B:B)</f>
        <v>Rivy Farington</v>
      </c>
      <c r="G141" s="2" t="str" cm="1">
        <f t="array" ref="G141">IF(_xlfn.XLOOKUP(C141,customers!A140:$A$1001,customers!C140:$C$1001,,0)=0,"",_xlfn.XLOOKUP(C141,customers!A140:$A$1001,customers!C140:$C$1001,,0))</f>
        <v/>
      </c>
      <c r="H141" s="2" t="str" cm="1">
        <f t="array" ref="H141">_xlfn.XLOOKUP(C141,customers!A140:$A$1001,customers!G140:$G$1001,"Ireland",0)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2"/>
        <v>77.699999999999989</v>
      </c>
      <c r="N141" t="str" cm="1">
        <f t="array" ref="N141">_xlfn.IFS(I141="Rob","Robusta",I141="Exc","Excelsa",I141="Ara","Arabica",I141="Lib","Liberica")</f>
        <v>Liberica</v>
      </c>
      <c r="O141" t="str" cm="1">
        <f t="array" ref="O141">_xlfn.IFS(J141="M","Midium",J141="L","Light",J141="D","Dark")</f>
        <v>Dark</v>
      </c>
      <c r="P141" t="str">
        <f>_xlfn.XLOOKUP(Orders[[#This Row],[Customer ID]],customers!A:A,customers!I:I,,0)</f>
        <v>Yes</v>
      </c>
      <c r="Q141" t="str">
        <f>_xlfn.XLOOKUP(C142,customers!A:A,customers!B:B,"مش موجود")</f>
        <v>Vallie Kundt</v>
      </c>
    </row>
    <row r="142" spans="1:17" x14ac:dyDescent="0.25">
      <c r="A142" s="2" t="s">
        <v>1276</v>
      </c>
      <c r="B142" s="3">
        <v>44694</v>
      </c>
      <c r="C142" s="2" t="s">
        <v>1277</v>
      </c>
      <c r="D142" t="s">
        <v>6165</v>
      </c>
      <c r="E142" s="2">
        <v>1</v>
      </c>
      <c r="F142" s="2" t="str">
        <f>_xlfn.XLOOKUP(Orders[[#This Row],[Customer ID]],customers!A:A,customers!B:B)</f>
        <v>Vallie Kundt</v>
      </c>
      <c r="G142" s="2" t="str" cm="1">
        <f t="array" ref="G142">IF(_xlfn.XLOOKUP(C142,customers!A141:$A$1001,customers!C141:$C$1001,,0)=0,"",_xlfn.XLOOKUP(C142,customers!A141:$A$1001,customers!C141:$C$1001,,0))</f>
        <v>vkundt3w@bigcartel.com</v>
      </c>
      <c r="H142" s="2" t="str" cm="1">
        <f t="array" ref="H142">_xlfn.XLOOKUP(C142,customers!A141:$A$1001,customers!G141:$G$1001,"Ireland",0)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2"/>
        <v>29.784999999999997</v>
      </c>
      <c r="N142" t="str" cm="1">
        <f t="array" ref="N142">_xlfn.IFS(I142="Rob","Robusta",I142="Exc","Excelsa",I142="Ara","Arabica",I142="Lib","Liberica")</f>
        <v>Liberica</v>
      </c>
      <c r="O142" t="str" cm="1">
        <f t="array" ref="O142">_xlfn.IFS(J142="M","Midium",J142="L","Light",J142="D","Dark")</f>
        <v>Dark</v>
      </c>
      <c r="P142" t="str">
        <f>_xlfn.XLOOKUP(Orders[[#This Row],[Customer ID]],customers!A:A,customers!I:I,,0)</f>
        <v>Yes</v>
      </c>
      <c r="Q142" t="str">
        <f>_xlfn.XLOOKUP(C143,customers!A:A,customers!B:B,"مش موجود")</f>
        <v>Boyd Bett</v>
      </c>
    </row>
    <row r="143" spans="1:17" x14ac:dyDescent="0.25">
      <c r="A143" s="2" t="s">
        <v>1283</v>
      </c>
      <c r="B143" s="3">
        <v>43970</v>
      </c>
      <c r="C143" s="2" t="s">
        <v>1284</v>
      </c>
      <c r="D143" t="s">
        <v>6167</v>
      </c>
      <c r="E143" s="2">
        <v>4</v>
      </c>
      <c r="F143" s="2" t="str">
        <f>_xlfn.XLOOKUP(Orders[[#This Row],[Customer ID]],customers!A:A,customers!B:B)</f>
        <v>Boyd Bett</v>
      </c>
      <c r="G143" s="2" t="str" cm="1">
        <f t="array" ref="G143">IF(_xlfn.XLOOKUP(C143,customers!A142:$A$1001,customers!C142:$C$1001,,0)=0,"",_xlfn.XLOOKUP(C143,customers!A142:$A$1001,customers!C142:$C$1001,,0))</f>
        <v>bbett3x@google.de</v>
      </c>
      <c r="H143" s="2" t="str" cm="1">
        <f t="array" ref="H143">_xlfn.XLOOKUP(C143,customers!A142:$A$1001,customers!G142:$G$1001,"Ireland",0)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2"/>
        <v>15.54</v>
      </c>
      <c r="N143" t="str" cm="1">
        <f t="array" ref="N143">_xlfn.IFS(I143="Rob","Robusta",I143="Exc","Excelsa",I143="Ara","Arabica",I143="Lib","Liberica")</f>
        <v>Arabica</v>
      </c>
      <c r="O143" t="str" cm="1">
        <f t="array" ref="O143">_xlfn.IFS(J143="M","Midium",J143="L","Light",J143="D","Dark")</f>
        <v>Light</v>
      </c>
      <c r="P143" t="str">
        <f>_xlfn.XLOOKUP(Orders[[#This Row],[Customer ID]],customers!A:A,customers!I:I,,0)</f>
        <v>Yes</v>
      </c>
      <c r="Q143" t="str">
        <f>_xlfn.XLOOKUP(C144,customers!A:A,customers!B:B,"مش موجود")</f>
        <v>Julio Armytage</v>
      </c>
    </row>
    <row r="144" spans="1:17" x14ac:dyDescent="0.25">
      <c r="A144" s="2" t="s">
        <v>1289</v>
      </c>
      <c r="B144" s="3">
        <v>44678</v>
      </c>
      <c r="C144" s="2" t="s">
        <v>1290</v>
      </c>
      <c r="D144" t="s">
        <v>6148</v>
      </c>
      <c r="E144" s="2">
        <v>4</v>
      </c>
      <c r="F144" s="2" t="str">
        <f>_xlfn.XLOOKUP(Orders[[#This Row],[Customer ID]],customers!A:A,customers!B:B)</f>
        <v>Julio Armytage</v>
      </c>
      <c r="G144" s="2" t="str" cm="1">
        <f t="array" ref="G144">IF(_xlfn.XLOOKUP(C144,customers!A143:$A$1001,customers!C143:$C$1001,,0)=0,"",_xlfn.XLOOKUP(C144,customers!A143:$A$1001,customers!C143:$C$1001,,0))</f>
        <v/>
      </c>
      <c r="H144" s="2" t="str" cm="1">
        <f t="array" ref="H144">_xlfn.XLOOKUP(C144,customers!A143:$A$1001,customers!G143:$G$1001,"Ireland",0)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2"/>
        <v>136.61999999999998</v>
      </c>
      <c r="N144" t="str" cm="1">
        <f t="array" ref="N144">_xlfn.IFS(I144="Rob","Robusta",I144="Exc","Excelsa",I144="Ara","Arabica",I144="Lib","Liberica")</f>
        <v>Excelsa</v>
      </c>
      <c r="O144" t="str" cm="1">
        <f t="array" ref="O144">_xlfn.IFS(J144="M","Midium",J144="L","Light",J144="D","Dark")</f>
        <v>Light</v>
      </c>
      <c r="P144" t="str">
        <f>_xlfn.XLOOKUP(Orders[[#This Row],[Customer ID]],customers!A:A,customers!I:I,,0)</f>
        <v>Yes</v>
      </c>
      <c r="Q144" t="str">
        <f>_xlfn.XLOOKUP(C145,customers!A:A,customers!B:B,"مش موجود")</f>
        <v>Deana Staite</v>
      </c>
    </row>
    <row r="145" spans="1:17" x14ac:dyDescent="0.25">
      <c r="A145" s="2" t="s">
        <v>1293</v>
      </c>
      <c r="B145" s="3">
        <v>44083</v>
      </c>
      <c r="C145" s="2" t="s">
        <v>1294</v>
      </c>
      <c r="D145" t="s">
        <v>6160</v>
      </c>
      <c r="E145" s="2">
        <v>2</v>
      </c>
      <c r="F145" s="2" t="str">
        <f>_xlfn.XLOOKUP(Orders[[#This Row],[Customer ID]],customers!A:A,customers!B:B)</f>
        <v>Deana Staite</v>
      </c>
      <c r="G145" s="2" t="str" cm="1">
        <f t="array" ref="G145">IF(_xlfn.XLOOKUP(C145,customers!A144:$A$1001,customers!C144:$C$1001,,0)=0,"",_xlfn.XLOOKUP(C145,customers!A144:$A$1001,customers!C144:$C$1001,,0))</f>
        <v>dstaite3z@scientificamerican.com</v>
      </c>
      <c r="H145" s="2" t="str" cm="1">
        <f t="array" ref="H145">_xlfn.XLOOKUP(C145,customers!A144:$A$1001,customers!G144:$G$1001,"Ireland",0)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2"/>
        <v>17.46</v>
      </c>
      <c r="N145" t="str" cm="1">
        <f t="array" ref="N145">_xlfn.IFS(I145="Rob","Robusta",I145="Exc","Excelsa",I145="Ara","Arabica",I145="Lib","Liberica")</f>
        <v>Liberica</v>
      </c>
      <c r="O145" t="str" cm="1">
        <f t="array" ref="O145">_xlfn.IFS(J145="M","Midium",J145="L","Light",J145="D","Dark")</f>
        <v>Midium</v>
      </c>
      <c r="P145" t="str">
        <f>_xlfn.XLOOKUP(Orders[[#This Row],[Customer ID]],customers!A:A,customers!I:I,,0)</f>
        <v>No</v>
      </c>
      <c r="Q145" t="str">
        <f>_xlfn.XLOOKUP(C146,customers!A:A,customers!B:B,"مش موجود")</f>
        <v>Winn Keyse</v>
      </c>
    </row>
    <row r="146" spans="1:17" x14ac:dyDescent="0.25">
      <c r="A146" s="2" t="s">
        <v>1299</v>
      </c>
      <c r="B146" s="3">
        <v>44265</v>
      </c>
      <c r="C146" s="2" t="s">
        <v>1300</v>
      </c>
      <c r="D146" t="s">
        <v>6148</v>
      </c>
      <c r="E146" s="2">
        <v>2</v>
      </c>
      <c r="F146" s="2" t="str">
        <f>_xlfn.XLOOKUP(Orders[[#This Row],[Customer ID]],customers!A:A,customers!B:B)</f>
        <v>Winn Keyse</v>
      </c>
      <c r="G146" s="2" t="str" cm="1">
        <f t="array" ref="G146">IF(_xlfn.XLOOKUP(C146,customers!A145:$A$1001,customers!C145:$C$1001,,0)=0,"",_xlfn.XLOOKUP(C146,customers!A145:$A$1001,customers!C145:$C$1001,,0))</f>
        <v>wkeyse40@apple.com</v>
      </c>
      <c r="H146" s="2" t="str" cm="1">
        <f t="array" ref="H146">_xlfn.XLOOKUP(C146,customers!A145:$A$1001,customers!G145:$G$1001,"Ireland",0)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2"/>
        <v>68.309999999999988</v>
      </c>
      <c r="N146" t="str" cm="1">
        <f t="array" ref="N146">_xlfn.IFS(I146="Rob","Robusta",I146="Exc","Excelsa",I146="Ara","Arabica",I146="Lib","Liberica")</f>
        <v>Excelsa</v>
      </c>
      <c r="O146" t="str" cm="1">
        <f t="array" ref="O146">_xlfn.IFS(J146="M","Midium",J146="L","Light",J146="D","Dark")</f>
        <v>Light</v>
      </c>
      <c r="P146" t="str">
        <f>_xlfn.XLOOKUP(Orders[[#This Row],[Customer ID]],customers!A:A,customers!I:I,,0)</f>
        <v>Yes</v>
      </c>
      <c r="Q146" t="str">
        <f>_xlfn.XLOOKUP(C147,customers!A:A,customers!B:B,"مش موجود")</f>
        <v>Osmund Clausen-Thue</v>
      </c>
    </row>
    <row r="147" spans="1:17" x14ac:dyDescent="0.25">
      <c r="A147" s="2" t="s">
        <v>1305</v>
      </c>
      <c r="B147" s="3">
        <v>43562</v>
      </c>
      <c r="C147" s="2" t="s">
        <v>1306</v>
      </c>
      <c r="D147" t="s">
        <v>6159</v>
      </c>
      <c r="E147" s="2">
        <v>4</v>
      </c>
      <c r="F147" s="2" t="str">
        <f>_xlfn.XLOOKUP(Orders[[#This Row],[Customer ID]],customers!A:A,customers!B:B)</f>
        <v>Osmund Clausen-Thue</v>
      </c>
      <c r="G147" s="2" t="str" cm="1">
        <f t="array" ref="G147">IF(_xlfn.XLOOKUP(C147,customers!A146:$A$1001,customers!C146:$C$1001,,0)=0,"",_xlfn.XLOOKUP(C147,customers!A146:$A$1001,customers!C146:$C$1001,,0))</f>
        <v>oclausenthue41@marriott.com</v>
      </c>
      <c r="H147" s="2" t="str" cm="1">
        <f t="array" ref="H147">_xlfn.XLOOKUP(C147,customers!A146:$A$1001,customers!G146:$G$1001,"Ireland",0)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2"/>
        <v>17.46</v>
      </c>
      <c r="N147" t="str" cm="1">
        <f t="array" ref="N147">_xlfn.IFS(I147="Rob","Robusta",I147="Exc","Excelsa",I147="Ara","Arabica",I147="Lib","Liberica")</f>
        <v>Liberica</v>
      </c>
      <c r="O147" t="str" cm="1">
        <f t="array" ref="O147">_xlfn.IFS(J147="M","Midium",J147="L","Light",J147="D","Dark")</f>
        <v>Midium</v>
      </c>
      <c r="P147" t="str">
        <f>_xlfn.XLOOKUP(Orders[[#This Row],[Customer ID]],customers!A:A,customers!I:I,,0)</f>
        <v>No</v>
      </c>
      <c r="Q147" t="str">
        <f>_xlfn.XLOOKUP(C148,customers!A:A,customers!B:B,"مش موجود")</f>
        <v>Leonore Francisco</v>
      </c>
    </row>
    <row r="148" spans="1:17" x14ac:dyDescent="0.25">
      <c r="A148" s="2" t="s">
        <v>1311</v>
      </c>
      <c r="B148" s="3">
        <v>44024</v>
      </c>
      <c r="C148" s="2" t="s">
        <v>1312</v>
      </c>
      <c r="D148" t="s">
        <v>6162</v>
      </c>
      <c r="E148" s="2">
        <v>3</v>
      </c>
      <c r="F148" s="2" t="str">
        <f>_xlfn.XLOOKUP(Orders[[#This Row],[Customer ID]],customers!A:A,customers!B:B)</f>
        <v>Leonore Francisco</v>
      </c>
      <c r="G148" s="2" t="str" cm="1">
        <f t="array" ref="G148">IF(_xlfn.XLOOKUP(C148,customers!A147:$A$1001,customers!C147:$C$1001,,0)=0,"",_xlfn.XLOOKUP(C148,customers!A147:$A$1001,customers!C147:$C$1001,,0))</f>
        <v>lfrancisco42@fema.gov</v>
      </c>
      <c r="H148" s="2" t="str" cm="1">
        <f t="array" ref="H148">_xlfn.XLOOKUP(C148,customers!A147:$A$1001,customers!G147:$G$1001,"Ireland",0)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2"/>
        <v>43.650000000000006</v>
      </c>
      <c r="N148" t="str" cm="1">
        <f t="array" ref="N148">_xlfn.IFS(I148="Rob","Robusta",I148="Exc","Excelsa",I148="Ara","Arabica",I148="Lib","Liberica")</f>
        <v>Liberica</v>
      </c>
      <c r="O148" t="str" cm="1">
        <f t="array" ref="O148">_xlfn.IFS(J148="M","Midium",J148="L","Light",J148="D","Dark")</f>
        <v>Midium</v>
      </c>
      <c r="P148" t="str">
        <f>_xlfn.XLOOKUP(Orders[[#This Row],[Customer ID]],customers!A:A,customers!I:I,,0)</f>
        <v>No</v>
      </c>
      <c r="Q148" t="str">
        <f>_xlfn.XLOOKUP(C149,customers!A:A,customers!B:B,"مش موجود")</f>
        <v>Leonore Francisco</v>
      </c>
    </row>
    <row r="149" spans="1:17" x14ac:dyDescent="0.25">
      <c r="A149" s="2" t="s">
        <v>1311</v>
      </c>
      <c r="B149" s="3">
        <v>44024</v>
      </c>
      <c r="C149" s="2" t="s">
        <v>1312</v>
      </c>
      <c r="D149" t="s">
        <v>6141</v>
      </c>
      <c r="E149" s="2">
        <v>2</v>
      </c>
      <c r="F149" s="2" t="str">
        <f>_xlfn.XLOOKUP(Orders[[#This Row],[Customer ID]],customers!A:A,customers!B:B)</f>
        <v>Leonore Francisco</v>
      </c>
      <c r="G149" s="2" t="str" cm="1">
        <f t="array" ref="G149">IF(_xlfn.XLOOKUP(C149,customers!A148:$A$1001,customers!C148:$C$1001,,0)=0,"",_xlfn.XLOOKUP(C149,customers!A148:$A$1001,customers!C148:$C$1001,,0))</f>
        <v>lfrancisco42@fema.gov</v>
      </c>
      <c r="H149" s="2" t="str" cm="1">
        <f t="array" ref="H149">_xlfn.XLOOKUP(C149,customers!A148:$A$1001,customers!G148:$G$1001,"Ireland",0)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2"/>
        <v>27.5</v>
      </c>
      <c r="N149" t="str" cm="1">
        <f t="array" ref="N149">_xlfn.IFS(I149="Rob","Robusta",I149="Exc","Excelsa",I149="Ara","Arabica",I149="Lib","Liberica")</f>
        <v>Excelsa</v>
      </c>
      <c r="O149" t="str" cm="1">
        <f t="array" ref="O149">_xlfn.IFS(J149="M","Midium",J149="L","Light",J149="D","Dark")</f>
        <v>Midium</v>
      </c>
      <c r="P149" t="str">
        <f>_xlfn.XLOOKUP(Orders[[#This Row],[Customer ID]],customers!A:A,customers!I:I,,0)</f>
        <v>No</v>
      </c>
      <c r="Q149" t="str">
        <f>_xlfn.XLOOKUP(C150,customers!A:A,customers!B:B,"مش موجود")</f>
        <v>Giacobo Skingle</v>
      </c>
    </row>
    <row r="150" spans="1:17" x14ac:dyDescent="0.25">
      <c r="A150" s="2" t="s">
        <v>1322</v>
      </c>
      <c r="B150" s="3">
        <v>44551</v>
      </c>
      <c r="C150" s="2" t="s">
        <v>1323</v>
      </c>
      <c r="D150" t="s">
        <v>6153</v>
      </c>
      <c r="E150" s="2">
        <v>5</v>
      </c>
      <c r="F150" s="2" t="str">
        <f>_xlfn.XLOOKUP(Orders[[#This Row],[Customer ID]],customers!A:A,customers!B:B)</f>
        <v>Giacobo Skingle</v>
      </c>
      <c r="G150" s="2" t="str" cm="1">
        <f t="array" ref="G150">IF(_xlfn.XLOOKUP(C150,customers!A149:$A$1001,customers!C149:$C$1001,,0)=0,"",_xlfn.XLOOKUP(C150,customers!A149:$A$1001,customers!C149:$C$1001,,0))</f>
        <v>gskingle44@clickbank.net</v>
      </c>
      <c r="H150" s="2" t="str" cm="1">
        <f t="array" ref="H150">_xlfn.XLOOKUP(C150,customers!A149:$A$1001,customers!G149:$G$1001,"Ireland",0)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2"/>
        <v>18.225000000000001</v>
      </c>
      <c r="N150" t="str" cm="1">
        <f t="array" ref="N150">_xlfn.IFS(I150="Rob","Robusta",I150="Exc","Excelsa",I150="Ara","Arabica",I150="Lib","Liberica")</f>
        <v>Excelsa</v>
      </c>
      <c r="O150" t="str" cm="1">
        <f t="array" ref="O150">_xlfn.IFS(J150="M","Midium",J150="L","Light",J150="D","Dark")</f>
        <v>Dark</v>
      </c>
      <c r="P150" t="str">
        <f>_xlfn.XLOOKUP(Orders[[#This Row],[Customer ID]],customers!A:A,customers!I:I,,0)</f>
        <v>Yes</v>
      </c>
      <c r="Q150" t="str">
        <f>_xlfn.XLOOKUP(C151,customers!A:A,customers!B:B,"مش موجود")</f>
        <v>Gerard Pirdy</v>
      </c>
    </row>
    <row r="151" spans="1:17" x14ac:dyDescent="0.25">
      <c r="A151" s="2" t="s">
        <v>1328</v>
      </c>
      <c r="B151" s="3">
        <v>44108</v>
      </c>
      <c r="C151" s="2" t="s">
        <v>1329</v>
      </c>
      <c r="D151" t="s">
        <v>6175</v>
      </c>
      <c r="E151" s="2">
        <v>2</v>
      </c>
      <c r="F151" s="2" t="str">
        <f>_xlfn.XLOOKUP(Orders[[#This Row],[Customer ID]],customers!A:A,customers!B:B)</f>
        <v>Gerard Pirdy</v>
      </c>
      <c r="G151" s="2" t="str" cm="1">
        <f t="array" ref="G151">IF(_xlfn.XLOOKUP(C151,customers!A150:$A$1001,customers!C150:$C$1001,,0)=0,"",_xlfn.XLOOKUP(C151,customers!A150:$A$1001,customers!C150:$C$1001,,0))</f>
        <v/>
      </c>
      <c r="H151" s="2" t="str" cm="1">
        <f t="array" ref="H151">_xlfn.XLOOKUP(C151,customers!A150:$A$1001,customers!G150:$G$1001,"Ireland",0)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2"/>
        <v>51.749999999999993</v>
      </c>
      <c r="N151" t="str" cm="1">
        <f t="array" ref="N151">_xlfn.IFS(I151="Rob","Robusta",I151="Exc","Excelsa",I151="Ara","Arabica",I151="Lib","Liberica")</f>
        <v>Arabica</v>
      </c>
      <c r="O151" t="str" cm="1">
        <f t="array" ref="O151">_xlfn.IFS(J151="M","Midium",J151="L","Light",J151="D","Dark")</f>
        <v>Midium</v>
      </c>
      <c r="P151" t="str">
        <f>_xlfn.XLOOKUP(Orders[[#This Row],[Customer ID]],customers!A:A,customers!I:I,,0)</f>
        <v>Yes</v>
      </c>
      <c r="Q151" t="str">
        <f>_xlfn.XLOOKUP(C152,customers!A:A,customers!B:B,"مش موجود")</f>
        <v>Jacinthe Balsillie</v>
      </c>
    </row>
    <row r="152" spans="1:17" x14ac:dyDescent="0.25">
      <c r="A152" s="2" t="s">
        <v>1333</v>
      </c>
      <c r="B152" s="3">
        <v>44051</v>
      </c>
      <c r="C152" s="2" t="s">
        <v>1334</v>
      </c>
      <c r="D152" t="s">
        <v>6143</v>
      </c>
      <c r="E152" s="2">
        <v>1</v>
      </c>
      <c r="F152" s="2" t="str">
        <f>_xlfn.XLOOKUP(Orders[[#This Row],[Customer ID]],customers!A:A,customers!B:B)</f>
        <v>Jacinthe Balsillie</v>
      </c>
      <c r="G152" s="2" t="str" cm="1">
        <f t="array" ref="G152">IF(_xlfn.XLOOKUP(C152,customers!A151:$A$1001,customers!C151:$C$1001,,0)=0,"",_xlfn.XLOOKUP(C152,customers!A151:$A$1001,customers!C151:$C$1001,,0))</f>
        <v>jbalsillie46@princeton.edu</v>
      </c>
      <c r="H152" s="2" t="str" cm="1">
        <f t="array" ref="H152">_xlfn.XLOOKUP(C152,customers!A151:$A$1001,customers!G151:$G$1001,"Ireland",0)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2"/>
        <v>12.95</v>
      </c>
      <c r="N152" t="str" cm="1">
        <f t="array" ref="N152">_xlfn.IFS(I152="Rob","Robusta",I152="Exc","Excelsa",I152="Ara","Arabica",I152="Lib","Liberica")</f>
        <v>Liberica</v>
      </c>
      <c r="O152" t="str" cm="1">
        <f t="array" ref="O152">_xlfn.IFS(J152="M","Midium",J152="L","Light",J152="D","Dark")</f>
        <v>Dark</v>
      </c>
      <c r="P152" t="str">
        <f>_xlfn.XLOOKUP(Orders[[#This Row],[Customer ID]],customers!A:A,customers!I:I,,0)</f>
        <v>Yes</v>
      </c>
      <c r="Q152" t="str">
        <f>_xlfn.XLOOKUP(C153,customers!A:A,customers!B:B,"مش موجود")</f>
        <v>Quinton Fouracres</v>
      </c>
    </row>
    <row r="153" spans="1:17" x14ac:dyDescent="0.25">
      <c r="A153" s="2" t="s">
        <v>1339</v>
      </c>
      <c r="B153" s="3">
        <v>44115</v>
      </c>
      <c r="C153" s="2" t="s">
        <v>1340</v>
      </c>
      <c r="D153" t="s">
        <v>6155</v>
      </c>
      <c r="E153" s="2">
        <v>3</v>
      </c>
      <c r="F153" s="2" t="str">
        <f>_xlfn.XLOOKUP(Orders[[#This Row],[Customer ID]],customers!A:A,customers!B:B)</f>
        <v>Quinton Fouracres</v>
      </c>
      <c r="G153" s="2" t="str" cm="1">
        <f t="array" ref="G153">IF(_xlfn.XLOOKUP(C153,customers!A152:$A$1001,customers!C152:$C$1001,,0)=0,"",_xlfn.XLOOKUP(C153,customers!A152:$A$1001,customers!C152:$C$1001,,0))</f>
        <v/>
      </c>
      <c r="H153" s="2" t="str" cm="1">
        <f t="array" ref="H153">_xlfn.XLOOKUP(C153,customers!A152:$A$1001,customers!G152:$G$1001,"Ireland",0)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2"/>
        <v>33.75</v>
      </c>
      <c r="N153" t="str" cm="1">
        <f t="array" ref="N153">_xlfn.IFS(I153="Rob","Robusta",I153="Exc","Excelsa",I153="Ara","Arabica",I153="Lib","Liberica")</f>
        <v>Arabica</v>
      </c>
      <c r="O153" t="str" cm="1">
        <f t="array" ref="O153">_xlfn.IFS(J153="M","Midium",J153="L","Light",J153="D","Dark")</f>
        <v>Midium</v>
      </c>
      <c r="P153" t="str">
        <f>_xlfn.XLOOKUP(Orders[[#This Row],[Customer ID]],customers!A:A,customers!I:I,,0)</f>
        <v>Yes</v>
      </c>
      <c r="Q153" t="str">
        <f>_xlfn.XLOOKUP(C154,customers!A:A,customers!B:B,"مش موجود")</f>
        <v>Bettina Leffek</v>
      </c>
    </row>
    <row r="154" spans="1:17" x14ac:dyDescent="0.25">
      <c r="A154" s="2" t="s">
        <v>1344</v>
      </c>
      <c r="B154" s="3">
        <v>44510</v>
      </c>
      <c r="C154" s="2" t="s">
        <v>1345</v>
      </c>
      <c r="D154" t="s">
        <v>6151</v>
      </c>
      <c r="E154" s="2">
        <v>3</v>
      </c>
      <c r="F154" s="2" t="str">
        <f>_xlfn.XLOOKUP(Orders[[#This Row],[Customer ID]],customers!A:A,customers!B:B)</f>
        <v>Bettina Leffek</v>
      </c>
      <c r="G154" s="2" t="str" cm="1">
        <f t="array" ref="G154">IF(_xlfn.XLOOKUP(C154,customers!A153:$A$1001,customers!C153:$C$1001,,0)=0,"",_xlfn.XLOOKUP(C154,customers!A153:$A$1001,customers!C153:$C$1001,,0))</f>
        <v>bleffek48@ning.com</v>
      </c>
      <c r="H154" s="2" t="str" cm="1">
        <f t="array" ref="H154">_xlfn.XLOOKUP(C154,customers!A153:$A$1001,customers!G153:$G$1001,"Ireland",0)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2"/>
        <v>68.655000000000001</v>
      </c>
      <c r="N154" t="str" cm="1">
        <f t="array" ref="N154">_xlfn.IFS(I154="Rob","Robusta",I154="Exc","Excelsa",I154="Ara","Arabica",I154="Lib","Liberica")</f>
        <v>Robusta</v>
      </c>
      <c r="O154" t="str" cm="1">
        <f t="array" ref="O154">_xlfn.IFS(J154="M","Midium",J154="L","Light",J154="D","Dark")</f>
        <v>Midium</v>
      </c>
      <c r="P154" t="str">
        <f>_xlfn.XLOOKUP(Orders[[#This Row],[Customer ID]],customers!A:A,customers!I:I,,0)</f>
        <v>Yes</v>
      </c>
      <c r="Q154" t="str">
        <f>_xlfn.XLOOKUP(C155,customers!A:A,customers!B:B,"مش موجود")</f>
        <v>Hetti Penson</v>
      </c>
    </row>
    <row r="155" spans="1:17" x14ac:dyDescent="0.25">
      <c r="A155" s="2" t="s">
        <v>1350</v>
      </c>
      <c r="B155" s="3">
        <v>44367</v>
      </c>
      <c r="C155" s="2" t="s">
        <v>1351</v>
      </c>
      <c r="D155" t="s">
        <v>6163</v>
      </c>
      <c r="E155" s="2">
        <v>1</v>
      </c>
      <c r="F155" s="2" t="str">
        <f>_xlfn.XLOOKUP(Orders[[#This Row],[Customer ID]],customers!A:A,customers!B:B)</f>
        <v>Hetti Penson</v>
      </c>
      <c r="G155" s="2" t="str" cm="1">
        <f t="array" ref="G155">IF(_xlfn.XLOOKUP(C155,customers!A154:$A$1001,customers!C154:$C$1001,,0)=0,"",_xlfn.XLOOKUP(C155,customers!A154:$A$1001,customers!C154:$C$1001,,0))</f>
        <v/>
      </c>
      <c r="H155" s="2" t="str" cm="1">
        <f t="array" ref="H155">_xlfn.XLOOKUP(C155,customers!A154:$A$1001,customers!G154:$G$1001,"Ireland",0)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2"/>
        <v>2.6849999999999996</v>
      </c>
      <c r="N155" t="str" cm="1">
        <f t="array" ref="N155">_xlfn.IFS(I155="Rob","Robusta",I155="Exc","Excelsa",I155="Ara","Arabica",I155="Lib","Liberica")</f>
        <v>Robusta</v>
      </c>
      <c r="O155" t="str" cm="1">
        <f t="array" ref="O155">_xlfn.IFS(J155="M","Midium",J155="L","Light",J155="D","Dark")</f>
        <v>Dark</v>
      </c>
      <c r="P155" t="str">
        <f>_xlfn.XLOOKUP(Orders[[#This Row],[Customer ID]],customers!A:A,customers!I:I,,0)</f>
        <v>No</v>
      </c>
      <c r="Q155" t="str">
        <f>_xlfn.XLOOKUP(C156,customers!A:A,customers!B:B,"مش موجود")</f>
        <v>Jocko Pray</v>
      </c>
    </row>
    <row r="156" spans="1:17" x14ac:dyDescent="0.25">
      <c r="A156" s="2" t="s">
        <v>1355</v>
      </c>
      <c r="B156" s="3">
        <v>44473</v>
      </c>
      <c r="C156" s="2" t="s">
        <v>1356</v>
      </c>
      <c r="D156" t="s">
        <v>6168</v>
      </c>
      <c r="E156" s="2">
        <v>5</v>
      </c>
      <c r="F156" s="2" t="str">
        <f>_xlfn.XLOOKUP(Orders[[#This Row],[Customer ID]],customers!A:A,customers!B:B)</f>
        <v>Jocko Pray</v>
      </c>
      <c r="G156" s="2" t="str" cm="1">
        <f t="array" ref="G156">IF(_xlfn.XLOOKUP(C156,customers!A155:$A$1001,customers!C155:$C$1001,,0)=0,"",_xlfn.XLOOKUP(C156,customers!A155:$A$1001,customers!C155:$C$1001,,0))</f>
        <v>jpray4a@youtube.com</v>
      </c>
      <c r="H156" s="2" t="str" cm="1">
        <f t="array" ref="H156">_xlfn.XLOOKUP(C156,customers!A155:$A$1001,customers!G155:$G$1001,"Ireland",0)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2"/>
        <v>114.42499999999998</v>
      </c>
      <c r="N156" t="str" cm="1">
        <f t="array" ref="N156">_xlfn.IFS(I156="Rob","Robusta",I156="Exc","Excelsa",I156="Ara","Arabica",I156="Lib","Liberica")</f>
        <v>Arabica</v>
      </c>
      <c r="O156" t="str" cm="1">
        <f t="array" ref="O156">_xlfn.IFS(J156="M","Midium",J156="L","Light",J156="D","Dark")</f>
        <v>Dark</v>
      </c>
      <c r="P156" t="str">
        <f>_xlfn.XLOOKUP(Orders[[#This Row],[Customer ID]],customers!A:A,customers!I:I,,0)</f>
        <v>No</v>
      </c>
      <c r="Q156" t="str">
        <f>_xlfn.XLOOKUP(C157,customers!A:A,customers!B:B,"مش موجود")</f>
        <v>Grete Holborn</v>
      </c>
    </row>
    <row r="157" spans="1:17" x14ac:dyDescent="0.25">
      <c r="A157" s="2" t="s">
        <v>1361</v>
      </c>
      <c r="B157" s="3">
        <v>43640</v>
      </c>
      <c r="C157" s="2" t="s">
        <v>1362</v>
      </c>
      <c r="D157" t="s">
        <v>6175</v>
      </c>
      <c r="E157" s="2">
        <v>6</v>
      </c>
      <c r="F157" s="2" t="str">
        <f>_xlfn.XLOOKUP(Orders[[#This Row],[Customer ID]],customers!A:A,customers!B:B)</f>
        <v>Grete Holborn</v>
      </c>
      <c r="G157" s="2" t="str" cm="1">
        <f t="array" ref="G157">IF(_xlfn.XLOOKUP(C157,customers!A156:$A$1001,customers!C156:$C$1001,,0)=0,"",_xlfn.XLOOKUP(C157,customers!A156:$A$1001,customers!C156:$C$1001,,0))</f>
        <v>gholborn4b@ow.ly</v>
      </c>
      <c r="H157" s="2" t="str" cm="1">
        <f t="array" ref="H157">_xlfn.XLOOKUP(C157,customers!A156:$A$1001,customers!G156:$G$1001,"Ireland",0)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2"/>
        <v>155.24999999999997</v>
      </c>
      <c r="N157" t="str" cm="1">
        <f t="array" ref="N157">_xlfn.IFS(I157="Rob","Robusta",I157="Exc","Excelsa",I157="Ara","Arabica",I157="Lib","Liberica")</f>
        <v>Arabica</v>
      </c>
      <c r="O157" t="str" cm="1">
        <f t="array" ref="O157">_xlfn.IFS(J157="M","Midium",J157="L","Light",J157="D","Dark")</f>
        <v>Midium</v>
      </c>
      <c r="P157" t="str">
        <f>_xlfn.XLOOKUP(Orders[[#This Row],[Customer ID]],customers!A:A,customers!I:I,,0)</f>
        <v>Yes</v>
      </c>
      <c r="Q157" t="str">
        <f>_xlfn.XLOOKUP(C158,customers!A:A,customers!B:B,"مش موجود")</f>
        <v>Fielding Keinrat</v>
      </c>
    </row>
    <row r="158" spans="1:17" x14ac:dyDescent="0.25">
      <c r="A158" s="2" t="s">
        <v>1367</v>
      </c>
      <c r="B158" s="3">
        <v>43764</v>
      </c>
      <c r="C158" s="2" t="s">
        <v>1368</v>
      </c>
      <c r="D158" t="s">
        <v>6175</v>
      </c>
      <c r="E158" s="2">
        <v>3</v>
      </c>
      <c r="F158" s="2" t="str">
        <f>_xlfn.XLOOKUP(Orders[[#This Row],[Customer ID]],customers!A:A,customers!B:B)</f>
        <v>Fielding Keinrat</v>
      </c>
      <c r="G158" s="2" t="str" cm="1">
        <f t="array" ref="G158">IF(_xlfn.XLOOKUP(C158,customers!A157:$A$1001,customers!C157:$C$1001,,0)=0,"",_xlfn.XLOOKUP(C158,customers!A157:$A$1001,customers!C157:$C$1001,,0))</f>
        <v>fkeinrat4c@dailymail.co.uk</v>
      </c>
      <c r="H158" s="2" t="str" cm="1">
        <f t="array" ref="H158">_xlfn.XLOOKUP(C158,customers!A157:$A$1001,customers!G157:$G$1001,"Ireland",0)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2"/>
        <v>77.624999999999986</v>
      </c>
      <c r="N158" t="str" cm="1">
        <f t="array" ref="N158">_xlfn.IFS(I158="Rob","Robusta",I158="Exc","Excelsa",I158="Ara","Arabica",I158="Lib","Liberica")</f>
        <v>Arabica</v>
      </c>
      <c r="O158" t="str" cm="1">
        <f t="array" ref="O158">_xlfn.IFS(J158="M","Midium",J158="L","Light",J158="D","Dark")</f>
        <v>Midium</v>
      </c>
      <c r="P158" t="str">
        <f>_xlfn.XLOOKUP(Orders[[#This Row],[Customer ID]],customers!A:A,customers!I:I,,0)</f>
        <v>Yes</v>
      </c>
      <c r="Q158" t="str">
        <f>_xlfn.XLOOKUP(C159,customers!A:A,customers!B:B,"مش موجود")</f>
        <v>Paulo Yea</v>
      </c>
    </row>
    <row r="159" spans="1:17" x14ac:dyDescent="0.25">
      <c r="A159" s="2" t="s">
        <v>1373</v>
      </c>
      <c r="B159" s="3">
        <v>44374</v>
      </c>
      <c r="C159" s="2" t="s">
        <v>1374</v>
      </c>
      <c r="D159" t="s">
        <v>6149</v>
      </c>
      <c r="E159" s="2">
        <v>3</v>
      </c>
      <c r="F159" s="2" t="str">
        <f>_xlfn.XLOOKUP(Orders[[#This Row],[Customer ID]],customers!A:A,customers!B:B)</f>
        <v>Paulo Yea</v>
      </c>
      <c r="G159" s="2" t="str" cm="1">
        <f t="array" ref="G159">IF(_xlfn.XLOOKUP(C159,customers!A158:$A$1001,customers!C158:$C$1001,,0)=0,"",_xlfn.XLOOKUP(C159,customers!A158:$A$1001,customers!C158:$C$1001,,0))</f>
        <v>pyea4d@aol.com</v>
      </c>
      <c r="H159" s="2" t="str" cm="1">
        <f t="array" ref="H159">_xlfn.XLOOKUP(C159,customers!A158:$A$1001,customers!G158:$G$1001,"Ireland",0)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2"/>
        <v>61.754999999999995</v>
      </c>
      <c r="N159" t="str" cm="1">
        <f t="array" ref="N159">_xlfn.IFS(I159="Rob","Robusta",I159="Exc","Excelsa",I159="Ara","Arabica",I159="Lib","Liberica")</f>
        <v>Robusta</v>
      </c>
      <c r="O159" t="str" cm="1">
        <f t="array" ref="O159">_xlfn.IFS(J159="M","Midium",J159="L","Light",J159="D","Dark")</f>
        <v>Dark</v>
      </c>
      <c r="P159" t="str">
        <f>_xlfn.XLOOKUP(Orders[[#This Row],[Customer ID]],customers!A:A,customers!I:I,,0)</f>
        <v>No</v>
      </c>
      <c r="Q159" t="str">
        <f>_xlfn.XLOOKUP(C160,customers!A:A,customers!B:B,"مش موجود")</f>
        <v>Say Risborough</v>
      </c>
    </row>
    <row r="160" spans="1:17" x14ac:dyDescent="0.25">
      <c r="A160" s="2" t="s">
        <v>1379</v>
      </c>
      <c r="B160" s="3">
        <v>43714</v>
      </c>
      <c r="C160" s="2" t="s">
        <v>1380</v>
      </c>
      <c r="D160" t="s">
        <v>6149</v>
      </c>
      <c r="E160" s="2">
        <v>6</v>
      </c>
      <c r="F160" s="2" t="str">
        <f>_xlfn.XLOOKUP(Orders[[#This Row],[Customer ID]],customers!A:A,customers!B:B)</f>
        <v>Say Risborough</v>
      </c>
      <c r="G160" s="2" t="str" cm="1">
        <f t="array" ref="G160">IF(_xlfn.XLOOKUP(C160,customers!A159:$A$1001,customers!C159:$C$1001,,0)=0,"",_xlfn.XLOOKUP(C160,customers!A159:$A$1001,customers!C159:$C$1001,,0))</f>
        <v/>
      </c>
      <c r="H160" s="2" t="str" cm="1">
        <f t="array" ref="H160">_xlfn.XLOOKUP(C160,customers!A159:$A$1001,customers!G159:$G$1001,"Ireland",0)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2"/>
        <v>123.50999999999999</v>
      </c>
      <c r="N160" t="str" cm="1">
        <f t="array" ref="N160">_xlfn.IFS(I160="Rob","Robusta",I160="Exc","Excelsa",I160="Ara","Arabica",I160="Lib","Liberica")</f>
        <v>Robusta</v>
      </c>
      <c r="O160" t="str" cm="1">
        <f t="array" ref="O160">_xlfn.IFS(J160="M","Midium",J160="L","Light",J160="D","Dark")</f>
        <v>Dark</v>
      </c>
      <c r="P160" t="str">
        <f>_xlfn.XLOOKUP(Orders[[#This Row],[Customer ID]],customers!A:A,customers!I:I,,0)</f>
        <v>Yes</v>
      </c>
      <c r="Q160" t="str">
        <f>_xlfn.XLOOKUP(C161,customers!A:A,customers!B:B,"مش موجود")</f>
        <v>Alexa Sizey</v>
      </c>
    </row>
    <row r="161" spans="1:17" x14ac:dyDescent="0.25">
      <c r="A161" s="2" t="s">
        <v>1384</v>
      </c>
      <c r="B161" s="3">
        <v>44316</v>
      </c>
      <c r="C161" s="2" t="s">
        <v>1385</v>
      </c>
      <c r="D161" t="s">
        <v>6164</v>
      </c>
      <c r="E161" s="2">
        <v>6</v>
      </c>
      <c r="F161" s="2" t="str">
        <f>_xlfn.XLOOKUP(Orders[[#This Row],[Customer ID]],customers!A:A,customers!B:B)</f>
        <v>Alexa Sizey</v>
      </c>
      <c r="G161" s="2" t="str" cm="1">
        <f t="array" ref="G161">IF(_xlfn.XLOOKUP(C161,customers!A160:$A$1001,customers!C160:$C$1001,,0)=0,"",_xlfn.XLOOKUP(C161,customers!A160:$A$1001,customers!C160:$C$1001,,0))</f>
        <v/>
      </c>
      <c r="H161" s="2" t="str" cm="1">
        <f t="array" ref="H161">_xlfn.XLOOKUP(C161,customers!A160:$A$1001,customers!G160:$G$1001,"Ireland",0)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2"/>
        <v>218.73</v>
      </c>
      <c r="N161" t="str" cm="1">
        <f t="array" ref="N161">_xlfn.IFS(I161="Rob","Robusta",I161="Exc","Excelsa",I161="Ara","Arabica",I161="Lib","Liberica")</f>
        <v>Liberica</v>
      </c>
      <c r="O161" t="str" cm="1">
        <f t="array" ref="O161">_xlfn.IFS(J161="M","Midium",J161="L","Light",J161="D","Dark")</f>
        <v>Light</v>
      </c>
      <c r="P161" t="str">
        <f>_xlfn.XLOOKUP(Orders[[#This Row],[Customer ID]],customers!A:A,customers!I:I,,0)</f>
        <v>No</v>
      </c>
      <c r="Q161" t="str">
        <f>_xlfn.XLOOKUP(C162,customers!A:A,customers!B:B,"مش موجود")</f>
        <v>Kari Swede</v>
      </c>
    </row>
    <row r="162" spans="1:17" x14ac:dyDescent="0.25">
      <c r="A162" s="2" t="s">
        <v>1389</v>
      </c>
      <c r="B162" s="3">
        <v>43837</v>
      </c>
      <c r="C162" s="2" t="s">
        <v>1390</v>
      </c>
      <c r="D162" t="s">
        <v>6139</v>
      </c>
      <c r="E162" s="2">
        <v>4</v>
      </c>
      <c r="F162" s="2" t="str">
        <f>_xlfn.XLOOKUP(Orders[[#This Row],[Customer ID]],customers!A:A,customers!B:B)</f>
        <v>Kari Swede</v>
      </c>
      <c r="G162" s="2" t="str" cm="1">
        <f t="array" ref="G162">IF(_xlfn.XLOOKUP(C162,customers!A161:$A$1001,customers!C161:$C$1001,,0)=0,"",_xlfn.XLOOKUP(C162,customers!A161:$A$1001,customers!C161:$C$1001,,0))</f>
        <v>kswede4g@addthis.com</v>
      </c>
      <c r="H162" s="2" t="str" cm="1">
        <f t="array" ref="H162">_xlfn.XLOOKUP(C162,customers!A161:$A$1001,customers!G161:$G$1001,"Ireland",0)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2"/>
        <v>33</v>
      </c>
      <c r="N162" t="str" cm="1">
        <f t="array" ref="N162">_xlfn.IFS(I162="Rob","Robusta",I162="Exc","Excelsa",I162="Ara","Arabica",I162="Lib","Liberica")</f>
        <v>Excelsa</v>
      </c>
      <c r="O162" t="str" cm="1">
        <f t="array" ref="O162">_xlfn.IFS(J162="M","Midium",J162="L","Light",J162="D","Dark")</f>
        <v>Midium</v>
      </c>
      <c r="P162" t="str">
        <f>_xlfn.XLOOKUP(Orders[[#This Row],[Customer ID]],customers!A:A,customers!I:I,,0)</f>
        <v>No</v>
      </c>
      <c r="Q162" t="str">
        <f>_xlfn.XLOOKUP(C163,customers!A:A,customers!B:B,"مش موجود")</f>
        <v>Leontine Rubrow</v>
      </c>
    </row>
    <row r="163" spans="1:17" x14ac:dyDescent="0.25">
      <c r="A163" s="2" t="s">
        <v>1395</v>
      </c>
      <c r="B163" s="3">
        <v>44207</v>
      </c>
      <c r="C163" s="2" t="s">
        <v>1396</v>
      </c>
      <c r="D163" t="s">
        <v>6180</v>
      </c>
      <c r="E163" s="2">
        <v>3</v>
      </c>
      <c r="F163" s="2" t="str">
        <f>_xlfn.XLOOKUP(Orders[[#This Row],[Customer ID]],customers!A:A,customers!B:B)</f>
        <v>Leontine Rubrow</v>
      </c>
      <c r="G163" s="2" t="str" cm="1">
        <f t="array" ref="G163">IF(_xlfn.XLOOKUP(C163,customers!A162:$A$1001,customers!C162:$C$1001,,0)=0,"",_xlfn.XLOOKUP(C163,customers!A162:$A$1001,customers!C162:$C$1001,,0))</f>
        <v>lrubrow4h@microsoft.com</v>
      </c>
      <c r="H163" s="2" t="str" cm="1">
        <f t="array" ref="H163">_xlfn.XLOOKUP(C163,customers!A162:$A$1001,customers!G162:$G$1001,"Ireland",0)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2"/>
        <v>23.31</v>
      </c>
      <c r="N163" t="str" cm="1">
        <f t="array" ref="N163">_xlfn.IFS(I163="Rob","Robusta",I163="Exc","Excelsa",I163="Ara","Arabica",I163="Lib","Liberica")</f>
        <v>Arabica</v>
      </c>
      <c r="O163" t="str" cm="1">
        <f t="array" ref="O163">_xlfn.IFS(J163="M","Midium",J163="L","Light",J163="D","Dark")</f>
        <v>Light</v>
      </c>
      <c r="P163" t="str">
        <f>_xlfn.XLOOKUP(Orders[[#This Row],[Customer ID]],customers!A:A,customers!I:I,,0)</f>
        <v>No</v>
      </c>
      <c r="Q163" t="str">
        <f>_xlfn.XLOOKUP(C164,customers!A:A,customers!B:B,"مش موجود")</f>
        <v>Dottie Tift</v>
      </c>
    </row>
    <row r="164" spans="1:17" x14ac:dyDescent="0.25">
      <c r="A164" s="2" t="s">
        <v>1401</v>
      </c>
      <c r="B164" s="3">
        <v>44515</v>
      </c>
      <c r="C164" s="2" t="s">
        <v>1402</v>
      </c>
      <c r="D164" t="s">
        <v>6144</v>
      </c>
      <c r="E164" s="2">
        <v>3</v>
      </c>
      <c r="F164" s="2" t="str">
        <f>_xlfn.XLOOKUP(Orders[[#This Row],[Customer ID]],customers!A:A,customers!B:B)</f>
        <v>Dottie Tift</v>
      </c>
      <c r="G164" s="2" t="str" cm="1">
        <f t="array" ref="G164">IF(_xlfn.XLOOKUP(C164,customers!A163:$A$1001,customers!C163:$C$1001,,0)=0,"",_xlfn.XLOOKUP(C164,customers!A163:$A$1001,customers!C163:$C$1001,,0))</f>
        <v>dtift4i@netvibes.com</v>
      </c>
      <c r="H164" s="2" t="str" cm="1">
        <f t="array" ref="H164">_xlfn.XLOOKUP(C164,customers!A163:$A$1001,customers!G163:$G$1001,"Ireland",0)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2"/>
        <v>21.87</v>
      </c>
      <c r="N164" t="str" cm="1">
        <f t="array" ref="N164">_xlfn.IFS(I164="Rob","Robusta",I164="Exc","Excelsa",I164="Ara","Arabica",I164="Lib","Liberica")</f>
        <v>Excelsa</v>
      </c>
      <c r="O164" t="str" cm="1">
        <f t="array" ref="O164">_xlfn.IFS(J164="M","Midium",J164="L","Light",J164="D","Dark")</f>
        <v>Dark</v>
      </c>
      <c r="P164" t="str">
        <f>_xlfn.XLOOKUP(Orders[[#This Row],[Customer ID]],customers!A:A,customers!I:I,,0)</f>
        <v>Yes</v>
      </c>
      <c r="Q164" t="str">
        <f>_xlfn.XLOOKUP(C165,customers!A:A,customers!B:B,"مش موجود")</f>
        <v>Gerardo Schonfeld</v>
      </c>
    </row>
    <row r="165" spans="1:17" x14ac:dyDescent="0.25">
      <c r="A165" s="2" t="s">
        <v>1407</v>
      </c>
      <c r="B165" s="3">
        <v>43619</v>
      </c>
      <c r="C165" s="2" t="s">
        <v>1408</v>
      </c>
      <c r="D165" t="s">
        <v>6163</v>
      </c>
      <c r="E165" s="2">
        <v>6</v>
      </c>
      <c r="F165" s="2" t="str">
        <f>_xlfn.XLOOKUP(Orders[[#This Row],[Customer ID]],customers!A:A,customers!B:B)</f>
        <v>Gerardo Schonfeld</v>
      </c>
      <c r="G165" s="2" t="str" cm="1">
        <f t="array" ref="G165">IF(_xlfn.XLOOKUP(C165,customers!A164:$A$1001,customers!C164:$C$1001,,0)=0,"",_xlfn.XLOOKUP(C165,customers!A164:$A$1001,customers!C164:$C$1001,,0))</f>
        <v>gschonfeld4j@oracle.com</v>
      </c>
      <c r="H165" s="2" t="str" cm="1">
        <f t="array" ref="H165">_xlfn.XLOOKUP(C165,customers!A164:$A$1001,customers!G164:$G$1001,"Ireland",0)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2"/>
        <v>16.11</v>
      </c>
      <c r="N165" t="str" cm="1">
        <f t="array" ref="N165">_xlfn.IFS(I165="Rob","Robusta",I165="Exc","Excelsa",I165="Ara","Arabica",I165="Lib","Liberica")</f>
        <v>Robusta</v>
      </c>
      <c r="O165" t="str" cm="1">
        <f t="array" ref="O165">_xlfn.IFS(J165="M","Midium",J165="L","Light",J165="D","Dark")</f>
        <v>Dark</v>
      </c>
      <c r="P165" t="str">
        <f>_xlfn.XLOOKUP(Orders[[#This Row],[Customer ID]],customers!A:A,customers!I:I,,0)</f>
        <v>No</v>
      </c>
      <c r="Q165" t="str">
        <f>_xlfn.XLOOKUP(C166,customers!A:A,customers!B:B,"مش موجود")</f>
        <v>Claiborne Feye</v>
      </c>
    </row>
    <row r="166" spans="1:17" x14ac:dyDescent="0.25">
      <c r="A166" s="2" t="s">
        <v>1413</v>
      </c>
      <c r="B166" s="3">
        <v>44182</v>
      </c>
      <c r="C166" s="2" t="s">
        <v>1414</v>
      </c>
      <c r="D166" t="s">
        <v>6144</v>
      </c>
      <c r="E166" s="2">
        <v>4</v>
      </c>
      <c r="F166" s="2" t="str">
        <f>_xlfn.XLOOKUP(Orders[[#This Row],[Customer ID]],customers!A:A,customers!B:B)</f>
        <v>Claiborne Feye</v>
      </c>
      <c r="G166" s="2" t="str" cm="1">
        <f t="array" ref="G166">IF(_xlfn.XLOOKUP(C166,customers!A165:$A$1001,customers!C165:$C$1001,,0)=0,"",_xlfn.XLOOKUP(C166,customers!A165:$A$1001,customers!C165:$C$1001,,0))</f>
        <v>cfeye4k@google.co.jp</v>
      </c>
      <c r="H166" s="2" t="str" cm="1">
        <f t="array" ref="H166">_xlfn.XLOOKUP(C166,customers!A165:$A$1001,customers!G165:$G$1001,"Ireland",0)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2"/>
        <v>29.16</v>
      </c>
      <c r="N166" t="str" cm="1">
        <f t="array" ref="N166">_xlfn.IFS(I166="Rob","Robusta",I166="Exc","Excelsa",I166="Ara","Arabica",I166="Lib","Liberica")</f>
        <v>Excelsa</v>
      </c>
      <c r="O166" t="str" cm="1">
        <f t="array" ref="O166">_xlfn.IFS(J166="M","Midium",J166="L","Light",J166="D","Dark")</f>
        <v>Dark</v>
      </c>
      <c r="P166" t="str">
        <f>_xlfn.XLOOKUP(Orders[[#This Row],[Customer ID]],customers!A:A,customers!I:I,,0)</f>
        <v>No</v>
      </c>
      <c r="Q166" t="str">
        <f>_xlfn.XLOOKUP(C167,customers!A:A,customers!B:B,"مش موجود")</f>
        <v>Mina Elstone</v>
      </c>
    </row>
    <row r="167" spans="1:17" x14ac:dyDescent="0.25">
      <c r="A167" s="2" t="s">
        <v>1420</v>
      </c>
      <c r="B167" s="3">
        <v>44234</v>
      </c>
      <c r="C167" s="2" t="s">
        <v>1421</v>
      </c>
      <c r="D167" t="s">
        <v>6177</v>
      </c>
      <c r="E167" s="2">
        <v>6</v>
      </c>
      <c r="F167" s="2" t="str">
        <f>_xlfn.XLOOKUP(Orders[[#This Row],[Customer ID]],customers!A:A,customers!B:B)</f>
        <v>Mina Elstone</v>
      </c>
      <c r="G167" s="2" t="str" cm="1">
        <f t="array" ref="G167">IF(_xlfn.XLOOKUP(C167,customers!A166:$A$1001,customers!C166:$C$1001,,0)=0,"",_xlfn.XLOOKUP(C167,customers!A166:$A$1001,customers!C166:$C$1001,,0))</f>
        <v/>
      </c>
      <c r="H167" s="2" t="str" cm="1">
        <f t="array" ref="H167">_xlfn.XLOOKUP(C167,customers!A166:$A$1001,customers!G166:$G$1001,"Ireland",0)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2"/>
        <v>53.699999999999996</v>
      </c>
      <c r="N167" t="str" cm="1">
        <f t="array" ref="N167">_xlfn.IFS(I167="Rob","Robusta",I167="Exc","Excelsa",I167="Ara","Arabica",I167="Lib","Liberica")</f>
        <v>Robusta</v>
      </c>
      <c r="O167" t="str" cm="1">
        <f t="array" ref="O167">_xlfn.IFS(J167="M","Midium",J167="L","Light",J167="D","Dark")</f>
        <v>Dark</v>
      </c>
      <c r="P167" t="str">
        <f>_xlfn.XLOOKUP(Orders[[#This Row],[Customer ID]],customers!A:A,customers!I:I,,0)</f>
        <v>Yes</v>
      </c>
      <c r="Q167" t="str">
        <f>_xlfn.XLOOKUP(C168,customers!A:A,customers!B:B,"مش موجود")</f>
        <v>Sherman Mewrcik</v>
      </c>
    </row>
    <row r="168" spans="1:17" x14ac:dyDescent="0.25">
      <c r="A168" s="2" t="s">
        <v>1425</v>
      </c>
      <c r="B168" s="3">
        <v>44270</v>
      </c>
      <c r="C168" s="2" t="s">
        <v>1426</v>
      </c>
      <c r="D168" t="s">
        <v>6172</v>
      </c>
      <c r="E168" s="2">
        <v>5</v>
      </c>
      <c r="F168" s="2" t="str">
        <f>_xlfn.XLOOKUP(Orders[[#This Row],[Customer ID]],customers!A:A,customers!B:B)</f>
        <v>Sherman Mewrcik</v>
      </c>
      <c r="G168" s="2" t="str" cm="1">
        <f t="array" ref="G168">IF(_xlfn.XLOOKUP(C168,customers!A167:$A$1001,customers!C167:$C$1001,,0)=0,"",_xlfn.XLOOKUP(C168,customers!A167:$A$1001,customers!C167:$C$1001,,0))</f>
        <v/>
      </c>
      <c r="H168" s="2" t="str" cm="1">
        <f t="array" ref="H168">_xlfn.XLOOKUP(C168,customers!A167:$A$1001,customers!G167:$G$1001,"Ireland",0)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2"/>
        <v>26.849999999999994</v>
      </c>
      <c r="N168" t="str" cm="1">
        <f t="array" ref="N168">_xlfn.IFS(I168="Rob","Robusta",I168="Exc","Excelsa",I168="Ara","Arabica",I168="Lib","Liberica")</f>
        <v>Robusta</v>
      </c>
      <c r="O168" t="str" cm="1">
        <f t="array" ref="O168">_xlfn.IFS(J168="M","Midium",J168="L","Light",J168="D","Dark")</f>
        <v>Dark</v>
      </c>
      <c r="P168" t="str">
        <f>_xlfn.XLOOKUP(Orders[[#This Row],[Customer ID]],customers!A:A,customers!I:I,,0)</f>
        <v>Yes</v>
      </c>
      <c r="Q168" t="str">
        <f>_xlfn.XLOOKUP(C169,customers!A:A,customers!B:B,"مش موجود")</f>
        <v>Tamarah Fero</v>
      </c>
    </row>
    <row r="169" spans="1:17" x14ac:dyDescent="0.25">
      <c r="A169" s="2" t="s">
        <v>1430</v>
      </c>
      <c r="B169" s="3">
        <v>44777</v>
      </c>
      <c r="C169" s="2" t="s">
        <v>1431</v>
      </c>
      <c r="D169" t="s">
        <v>6139</v>
      </c>
      <c r="E169" s="2">
        <v>5</v>
      </c>
      <c r="F169" s="2" t="str">
        <f>_xlfn.XLOOKUP(Orders[[#This Row],[Customer ID]],customers!A:A,customers!B:B)</f>
        <v>Tamarah Fero</v>
      </c>
      <c r="G169" s="2" t="str" cm="1">
        <f t="array" ref="G169">IF(_xlfn.XLOOKUP(C169,customers!A168:$A$1001,customers!C168:$C$1001,,0)=0,"",_xlfn.XLOOKUP(C169,customers!A168:$A$1001,customers!C168:$C$1001,,0))</f>
        <v>tfero4n@comsenz.com</v>
      </c>
      <c r="H169" s="2" t="str" cm="1">
        <f t="array" ref="H169">_xlfn.XLOOKUP(C169,customers!A168:$A$1001,customers!G168:$G$1001,"Ireland",0)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2"/>
        <v>41.25</v>
      </c>
      <c r="N169" t="str" cm="1">
        <f t="array" ref="N169">_xlfn.IFS(I169="Rob","Robusta",I169="Exc","Excelsa",I169="Ara","Arabica",I169="Lib","Liberica")</f>
        <v>Excelsa</v>
      </c>
      <c r="O169" t="str" cm="1">
        <f t="array" ref="O169">_xlfn.IFS(J169="M","Midium",J169="L","Light",J169="D","Dark")</f>
        <v>Midium</v>
      </c>
      <c r="P169" t="str">
        <f>_xlfn.XLOOKUP(Orders[[#This Row],[Customer ID]],customers!A:A,customers!I:I,,0)</f>
        <v>Yes</v>
      </c>
      <c r="Q169" t="str">
        <f>_xlfn.XLOOKUP(C170,customers!A:A,customers!B:B,"مش موجود")</f>
        <v>Stanislaus Valsler</v>
      </c>
    </row>
    <row r="170" spans="1:17" x14ac:dyDescent="0.25">
      <c r="A170" s="2" t="s">
        <v>1436</v>
      </c>
      <c r="B170" s="3">
        <v>43484</v>
      </c>
      <c r="C170" s="2" t="s">
        <v>1437</v>
      </c>
      <c r="D170" t="s">
        <v>6157</v>
      </c>
      <c r="E170" s="2">
        <v>6</v>
      </c>
      <c r="F170" s="2" t="str">
        <f>_xlfn.XLOOKUP(Orders[[#This Row],[Customer ID]],customers!A:A,customers!B:B)</f>
        <v>Stanislaus Valsler</v>
      </c>
      <c r="G170" s="2" t="str" cm="1">
        <f t="array" ref="G170">IF(_xlfn.XLOOKUP(C170,customers!A169:$A$1001,customers!C169:$C$1001,,0)=0,"",_xlfn.XLOOKUP(C170,customers!A169:$A$1001,customers!C169:$C$1001,,0))</f>
        <v/>
      </c>
      <c r="H170" s="2" t="str" cm="1">
        <f t="array" ref="H170">_xlfn.XLOOKUP(C170,customers!A169:$A$1001,customers!G169:$G$1001,"Ireland",0)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2"/>
        <v>40.5</v>
      </c>
      <c r="N170" t="str" cm="1">
        <f t="array" ref="N170">_xlfn.IFS(I170="Rob","Robusta",I170="Exc","Excelsa",I170="Ara","Arabica",I170="Lib","Liberica")</f>
        <v>Arabica</v>
      </c>
      <c r="O170" t="str" cm="1">
        <f t="array" ref="O170">_xlfn.IFS(J170="M","Midium",J170="L","Light",J170="D","Dark")</f>
        <v>Midium</v>
      </c>
      <c r="P170" t="str">
        <f>_xlfn.XLOOKUP(Orders[[#This Row],[Customer ID]],customers!A:A,customers!I:I,,0)</f>
        <v>No</v>
      </c>
      <c r="Q170" t="str">
        <f>_xlfn.XLOOKUP(C171,customers!A:A,customers!B:B,"مش موجود")</f>
        <v>Felita Dauney</v>
      </c>
    </row>
    <row r="171" spans="1:17" x14ac:dyDescent="0.25">
      <c r="A171" s="2" t="s">
        <v>1441</v>
      </c>
      <c r="B171" s="3">
        <v>44643</v>
      </c>
      <c r="C171" s="2" t="s">
        <v>1442</v>
      </c>
      <c r="D171" t="s">
        <v>6177</v>
      </c>
      <c r="E171" s="2">
        <v>2</v>
      </c>
      <c r="F171" s="2" t="str">
        <f>_xlfn.XLOOKUP(Orders[[#This Row],[Customer ID]],customers!A:A,customers!B:B)</f>
        <v>Felita Dauney</v>
      </c>
      <c r="G171" s="2" t="str" cm="1">
        <f t="array" ref="G171">IF(_xlfn.XLOOKUP(C171,customers!A170:$A$1001,customers!C170:$C$1001,,0)=0,"",_xlfn.XLOOKUP(C171,customers!A170:$A$1001,customers!C170:$C$1001,,0))</f>
        <v>fdauney4p@sphinn.com</v>
      </c>
      <c r="H171" s="2" t="str" cm="1">
        <f t="array" ref="H171">_xlfn.XLOOKUP(C171,customers!A170:$A$1001,customers!G170:$G$1001,"Ireland",0)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2"/>
        <v>17.899999999999999</v>
      </c>
      <c r="N171" t="str" cm="1">
        <f t="array" ref="N171">_xlfn.IFS(I171="Rob","Robusta",I171="Exc","Excelsa",I171="Ara","Arabica",I171="Lib","Liberica")</f>
        <v>Robusta</v>
      </c>
      <c r="O171" t="str" cm="1">
        <f t="array" ref="O171">_xlfn.IFS(J171="M","Midium",J171="L","Light",J171="D","Dark")</f>
        <v>Dark</v>
      </c>
      <c r="P171" t="str">
        <f>_xlfn.XLOOKUP(Orders[[#This Row],[Customer ID]],customers!A:A,customers!I:I,,0)</f>
        <v>No</v>
      </c>
      <c r="Q171" t="str">
        <f>_xlfn.XLOOKUP(C172,customers!A:A,customers!B:B,"مش موجود")</f>
        <v>Serena Earley</v>
      </c>
    </row>
    <row r="172" spans="1:17" x14ac:dyDescent="0.25">
      <c r="A172" s="2" t="s">
        <v>1448</v>
      </c>
      <c r="B172" s="3">
        <v>44476</v>
      </c>
      <c r="C172" s="2" t="s">
        <v>1449</v>
      </c>
      <c r="D172" t="s">
        <v>6148</v>
      </c>
      <c r="E172" s="2">
        <v>2</v>
      </c>
      <c r="F172" s="2" t="str">
        <f>_xlfn.XLOOKUP(Orders[[#This Row],[Customer ID]],customers!A:A,customers!B:B)</f>
        <v>Serena Earley</v>
      </c>
      <c r="G172" s="2" t="str" cm="1">
        <f t="array" ref="G172">IF(_xlfn.XLOOKUP(C172,customers!A171:$A$1001,customers!C171:$C$1001,,0)=0,"",_xlfn.XLOOKUP(C172,customers!A171:$A$1001,customers!C171:$C$1001,,0))</f>
        <v>searley4q@youku.com</v>
      </c>
      <c r="H172" s="2" t="str" cm="1">
        <f t="array" ref="H172">_xlfn.XLOOKUP(C172,customers!A171:$A$1001,customers!G171:$G$1001,"Ireland",0)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2"/>
        <v>68.309999999999988</v>
      </c>
      <c r="N172" t="str" cm="1">
        <f t="array" ref="N172">_xlfn.IFS(I172="Rob","Robusta",I172="Exc","Excelsa",I172="Ara","Arabica",I172="Lib","Liberica")</f>
        <v>Excelsa</v>
      </c>
      <c r="O172" t="str" cm="1">
        <f t="array" ref="O172">_xlfn.IFS(J172="M","Midium",J172="L","Light",J172="D","Dark")</f>
        <v>Light</v>
      </c>
      <c r="P172" t="str">
        <f>_xlfn.XLOOKUP(Orders[[#This Row],[Customer ID]],customers!A:A,customers!I:I,,0)</f>
        <v>No</v>
      </c>
      <c r="Q172" t="str">
        <f>_xlfn.XLOOKUP(C173,customers!A:A,customers!B:B,"مش موجود")</f>
        <v>Minny Chamberlayne</v>
      </c>
    </row>
    <row r="173" spans="1:17" x14ac:dyDescent="0.25">
      <c r="A173" s="2" t="s">
        <v>1453</v>
      </c>
      <c r="B173" s="3">
        <v>43544</v>
      </c>
      <c r="C173" s="2" t="s">
        <v>1454</v>
      </c>
      <c r="D173" t="s">
        <v>6166</v>
      </c>
      <c r="E173" s="2">
        <v>2</v>
      </c>
      <c r="F173" s="2" t="str">
        <f>_xlfn.XLOOKUP(Orders[[#This Row],[Customer ID]],customers!A:A,customers!B:B)</f>
        <v>Minny Chamberlayne</v>
      </c>
      <c r="G173" s="2" t="str" cm="1">
        <f t="array" ref="G173">IF(_xlfn.XLOOKUP(C173,customers!A172:$A$1001,customers!C172:$C$1001,,0)=0,"",_xlfn.XLOOKUP(C173,customers!A172:$A$1001,customers!C172:$C$1001,,0))</f>
        <v>mchamberlayne4r@bigcartel.com</v>
      </c>
      <c r="H173" s="2" t="str" cm="1">
        <f t="array" ref="H173">_xlfn.XLOOKUP(C173,customers!A172:$A$1001,customers!G172:$G$1001,"Ireland",0)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2"/>
        <v>63.249999999999993</v>
      </c>
      <c r="N173" t="str" cm="1">
        <f t="array" ref="N173">_xlfn.IFS(I173="Rob","Robusta",I173="Exc","Excelsa",I173="Ara","Arabica",I173="Lib","Liberica")</f>
        <v>Excelsa</v>
      </c>
      <c r="O173" t="str" cm="1">
        <f t="array" ref="O173">_xlfn.IFS(J173="M","Midium",J173="L","Light",J173="D","Dark")</f>
        <v>Midium</v>
      </c>
      <c r="P173" t="str">
        <f>_xlfn.XLOOKUP(Orders[[#This Row],[Customer ID]],customers!A:A,customers!I:I,,0)</f>
        <v>Yes</v>
      </c>
      <c r="Q173" t="str">
        <f>_xlfn.XLOOKUP(C174,customers!A:A,customers!B:B,"مش موجود")</f>
        <v>Bartholemy Flaherty</v>
      </c>
    </row>
    <row r="174" spans="1:17" x14ac:dyDescent="0.25">
      <c r="A174" s="2" t="s">
        <v>1459</v>
      </c>
      <c r="B174" s="3">
        <v>44545</v>
      </c>
      <c r="C174" s="2" t="s">
        <v>1460</v>
      </c>
      <c r="D174" t="s">
        <v>6144</v>
      </c>
      <c r="E174" s="2">
        <v>3</v>
      </c>
      <c r="F174" s="2" t="str">
        <f>_xlfn.XLOOKUP(Orders[[#This Row],[Customer ID]],customers!A:A,customers!B:B)</f>
        <v>Bartholemy Flaherty</v>
      </c>
      <c r="G174" s="2" t="str" cm="1">
        <f t="array" ref="G174">IF(_xlfn.XLOOKUP(C174,customers!A173:$A$1001,customers!C173:$C$1001,,0)=0,"",_xlfn.XLOOKUP(C174,customers!A173:$A$1001,customers!C173:$C$1001,,0))</f>
        <v>bflaherty4s@moonfruit.com</v>
      </c>
      <c r="H174" s="2" t="str" cm="1">
        <f t="array" ref="H174">_xlfn.XLOOKUP(C174,customers!A173:$A$1001,customers!G173:$G$1001,"Ireland",0)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2"/>
        <v>21.87</v>
      </c>
      <c r="N174" t="str" cm="1">
        <f t="array" ref="N174">_xlfn.IFS(I174="Rob","Robusta",I174="Exc","Excelsa",I174="Ara","Arabica",I174="Lib","Liberica")</f>
        <v>Excelsa</v>
      </c>
      <c r="O174" t="str" cm="1">
        <f t="array" ref="O174">_xlfn.IFS(J174="M","Midium",J174="L","Light",J174="D","Dark")</f>
        <v>Dark</v>
      </c>
      <c r="P174" t="str">
        <f>_xlfn.XLOOKUP(Orders[[#This Row],[Customer ID]],customers!A:A,customers!I:I,,0)</f>
        <v>No</v>
      </c>
      <c r="Q174" t="str">
        <f>_xlfn.XLOOKUP(C175,customers!A:A,customers!B:B,"مش موجود")</f>
        <v>Oran Colbeck</v>
      </c>
    </row>
    <row r="175" spans="1:17" x14ac:dyDescent="0.25">
      <c r="A175" s="2" t="s">
        <v>1464</v>
      </c>
      <c r="B175" s="3">
        <v>44720</v>
      </c>
      <c r="C175" s="2" t="s">
        <v>1465</v>
      </c>
      <c r="D175" t="s">
        <v>6151</v>
      </c>
      <c r="E175" s="2">
        <v>4</v>
      </c>
      <c r="F175" s="2" t="str">
        <f>_xlfn.XLOOKUP(Orders[[#This Row],[Customer ID]],customers!A:A,customers!B:B)</f>
        <v>Oran Colbeck</v>
      </c>
      <c r="G175" s="2" t="str" cm="1">
        <f t="array" ref="G175">IF(_xlfn.XLOOKUP(C175,customers!A174:$A$1001,customers!C174:$C$1001,,0)=0,"",_xlfn.XLOOKUP(C175,customers!A174:$A$1001,customers!C174:$C$1001,,0))</f>
        <v>ocolbeck4t@sina.com.cn</v>
      </c>
      <c r="H175" s="2" t="str" cm="1">
        <f t="array" ref="H175">_xlfn.XLOOKUP(C175,customers!A174:$A$1001,customers!G174:$G$1001,"Ireland",0)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2"/>
        <v>91.539999999999992</v>
      </c>
      <c r="N175" t="str" cm="1">
        <f t="array" ref="N175">_xlfn.IFS(I175="Rob","Robusta",I175="Exc","Excelsa",I175="Ara","Arabica",I175="Lib","Liberica")</f>
        <v>Robusta</v>
      </c>
      <c r="O175" t="str" cm="1">
        <f t="array" ref="O175">_xlfn.IFS(J175="M","Midium",J175="L","Light",J175="D","Dark")</f>
        <v>Midium</v>
      </c>
      <c r="P175" t="str">
        <f>_xlfn.XLOOKUP(Orders[[#This Row],[Customer ID]],customers!A:A,customers!I:I,,0)</f>
        <v>No</v>
      </c>
      <c r="Q175" t="str">
        <f>_xlfn.XLOOKUP(C176,customers!A:A,customers!B:B,"مش موجود")</f>
        <v>Elysee Sketch</v>
      </c>
    </row>
    <row r="176" spans="1:17" x14ac:dyDescent="0.25">
      <c r="A176" s="2" t="s">
        <v>1470</v>
      </c>
      <c r="B176" s="3">
        <v>43813</v>
      </c>
      <c r="C176" s="2" t="s">
        <v>1471</v>
      </c>
      <c r="D176" t="s">
        <v>6148</v>
      </c>
      <c r="E176" s="2">
        <v>6</v>
      </c>
      <c r="F176" s="2" t="str">
        <f>_xlfn.XLOOKUP(Orders[[#This Row],[Customer ID]],customers!A:A,customers!B:B)</f>
        <v>Elysee Sketch</v>
      </c>
      <c r="G176" s="2" t="str" cm="1">
        <f t="array" ref="G176">IF(_xlfn.XLOOKUP(C176,customers!A175:$A$1001,customers!C175:$C$1001,,0)=0,"",_xlfn.XLOOKUP(C176,customers!A175:$A$1001,customers!C175:$C$1001,,0))</f>
        <v/>
      </c>
      <c r="H176" s="2" t="str" cm="1">
        <f t="array" ref="H176">_xlfn.XLOOKUP(C176,customers!A175:$A$1001,customers!G175:$G$1001,"Ireland",0)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2"/>
        <v>204.92999999999995</v>
      </c>
      <c r="N176" t="str" cm="1">
        <f t="array" ref="N176">_xlfn.IFS(I176="Rob","Robusta",I176="Exc","Excelsa",I176="Ara","Arabica",I176="Lib","Liberica")</f>
        <v>Excelsa</v>
      </c>
      <c r="O176" t="str" cm="1">
        <f t="array" ref="O176">_xlfn.IFS(J176="M","Midium",J176="L","Light",J176="D","Dark")</f>
        <v>Light</v>
      </c>
      <c r="P176" t="str">
        <f>_xlfn.XLOOKUP(Orders[[#This Row],[Customer ID]],customers!A:A,customers!I:I,,0)</f>
        <v>Yes</v>
      </c>
      <c r="Q176" t="str">
        <f>_xlfn.XLOOKUP(C177,customers!A:A,customers!B:B,"مش موجود")</f>
        <v>Ethelda Hobbing</v>
      </c>
    </row>
    <row r="177" spans="1:17" x14ac:dyDescent="0.25">
      <c r="A177" s="2" t="s">
        <v>1475</v>
      </c>
      <c r="B177" s="3">
        <v>44296</v>
      </c>
      <c r="C177" s="2" t="s">
        <v>1476</v>
      </c>
      <c r="D177" t="s">
        <v>6166</v>
      </c>
      <c r="E177" s="2">
        <v>2</v>
      </c>
      <c r="F177" s="2" t="str">
        <f>_xlfn.XLOOKUP(Orders[[#This Row],[Customer ID]],customers!A:A,customers!B:B)</f>
        <v>Ethelda Hobbing</v>
      </c>
      <c r="G177" s="2" t="str" cm="1">
        <f t="array" ref="G177">IF(_xlfn.XLOOKUP(C177,customers!A176:$A$1001,customers!C176:$C$1001,,0)=0,"",_xlfn.XLOOKUP(C177,customers!A176:$A$1001,customers!C176:$C$1001,,0))</f>
        <v>ehobbing4v@nsw.gov.au</v>
      </c>
      <c r="H177" s="2" t="str" cm="1">
        <f t="array" ref="H177">_xlfn.XLOOKUP(C177,customers!A176:$A$1001,customers!G176:$G$1001,"Ireland",0)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2"/>
        <v>63.249999999999993</v>
      </c>
      <c r="N177" t="str" cm="1">
        <f t="array" ref="N177">_xlfn.IFS(I177="Rob","Robusta",I177="Exc","Excelsa",I177="Ara","Arabica",I177="Lib","Liberica")</f>
        <v>Excelsa</v>
      </c>
      <c r="O177" t="str" cm="1">
        <f t="array" ref="O177">_xlfn.IFS(J177="M","Midium",J177="L","Light",J177="D","Dark")</f>
        <v>Midium</v>
      </c>
      <c r="P177" t="str">
        <f>_xlfn.XLOOKUP(Orders[[#This Row],[Customer ID]],customers!A:A,customers!I:I,,0)</f>
        <v>Yes</v>
      </c>
      <c r="Q177" t="str">
        <f>_xlfn.XLOOKUP(C178,customers!A:A,customers!B:B,"مش موجود")</f>
        <v>Odille Thynne</v>
      </c>
    </row>
    <row r="178" spans="1:17" x14ac:dyDescent="0.25">
      <c r="A178" s="2" t="s">
        <v>1481</v>
      </c>
      <c r="B178" s="3">
        <v>43900</v>
      </c>
      <c r="C178" s="2" t="s">
        <v>1482</v>
      </c>
      <c r="D178" t="s">
        <v>6148</v>
      </c>
      <c r="E178" s="2">
        <v>1</v>
      </c>
      <c r="F178" s="2" t="str">
        <f>_xlfn.XLOOKUP(Orders[[#This Row],[Customer ID]],customers!A:A,customers!B:B)</f>
        <v>Odille Thynne</v>
      </c>
      <c r="G178" s="2" t="str" cm="1">
        <f t="array" ref="G178">IF(_xlfn.XLOOKUP(C178,customers!A177:$A$1001,customers!C177:$C$1001,,0)=0,"",_xlfn.XLOOKUP(C178,customers!A177:$A$1001,customers!C177:$C$1001,,0))</f>
        <v>othynne4w@auda.org.au</v>
      </c>
      <c r="H178" s="2" t="str" cm="1">
        <f t="array" ref="H178">_xlfn.XLOOKUP(C178,customers!A177:$A$1001,customers!G177:$G$1001,"Ireland",0)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2"/>
        <v>34.154999999999994</v>
      </c>
      <c r="N178" t="str" cm="1">
        <f t="array" ref="N178">_xlfn.IFS(I178="Rob","Robusta",I178="Exc","Excelsa",I178="Ara","Arabica",I178="Lib","Liberica")</f>
        <v>Excelsa</v>
      </c>
      <c r="O178" t="str" cm="1">
        <f t="array" ref="O178">_xlfn.IFS(J178="M","Midium",J178="L","Light",J178="D","Dark")</f>
        <v>Light</v>
      </c>
      <c r="P178" t="str">
        <f>_xlfn.XLOOKUP(Orders[[#This Row],[Customer ID]],customers!A:A,customers!I:I,,0)</f>
        <v>Yes</v>
      </c>
      <c r="Q178" t="str">
        <f>_xlfn.XLOOKUP(C179,customers!A:A,customers!B:B,"مش موجود")</f>
        <v>Emlynne Heining</v>
      </c>
    </row>
    <row r="179" spans="1:17" x14ac:dyDescent="0.25">
      <c r="A179" s="2" t="s">
        <v>1487</v>
      </c>
      <c r="B179" s="3">
        <v>44120</v>
      </c>
      <c r="C179" s="2" t="s">
        <v>1488</v>
      </c>
      <c r="D179" t="s">
        <v>6142</v>
      </c>
      <c r="E179" s="2">
        <v>4</v>
      </c>
      <c r="F179" s="2" t="str">
        <f>_xlfn.XLOOKUP(Orders[[#This Row],[Customer ID]],customers!A:A,customers!B:B)</f>
        <v>Emlynne Heining</v>
      </c>
      <c r="G179" s="2" t="str" cm="1">
        <f t="array" ref="G179">IF(_xlfn.XLOOKUP(C179,customers!A178:$A$1001,customers!C178:$C$1001,,0)=0,"",_xlfn.XLOOKUP(C179,customers!A178:$A$1001,customers!C178:$C$1001,,0))</f>
        <v>eheining4x@flickr.com</v>
      </c>
      <c r="H179" s="2" t="str" cm="1">
        <f t="array" ref="H179">_xlfn.XLOOKUP(C179,customers!A178:$A$1001,customers!G178:$G$1001,"Ireland",0)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2"/>
        <v>109.93999999999998</v>
      </c>
      <c r="N179" t="str" cm="1">
        <f t="array" ref="N179">_xlfn.IFS(I179="Rob","Robusta",I179="Exc","Excelsa",I179="Ara","Arabica",I179="Lib","Liberica")</f>
        <v>Robusta</v>
      </c>
      <c r="O179" t="str" cm="1">
        <f t="array" ref="O179">_xlfn.IFS(J179="M","Midium",J179="L","Light",J179="D","Dark")</f>
        <v>Light</v>
      </c>
      <c r="P179" t="str">
        <f>_xlfn.XLOOKUP(Orders[[#This Row],[Customer ID]],customers!A:A,customers!I:I,,0)</f>
        <v>Yes</v>
      </c>
      <c r="Q179" t="str">
        <f>_xlfn.XLOOKUP(C180,customers!A:A,customers!B:B,"مش موجود")</f>
        <v>Katerina Melloi</v>
      </c>
    </row>
    <row r="180" spans="1:17" x14ac:dyDescent="0.25">
      <c r="A180" s="2" t="s">
        <v>1492</v>
      </c>
      <c r="B180" s="3">
        <v>43746</v>
      </c>
      <c r="C180" s="2" t="s">
        <v>1493</v>
      </c>
      <c r="D180" t="s">
        <v>6140</v>
      </c>
      <c r="E180" s="2">
        <v>2</v>
      </c>
      <c r="F180" s="2" t="str">
        <f>_xlfn.XLOOKUP(Orders[[#This Row],[Customer ID]],customers!A:A,customers!B:B)</f>
        <v>Katerina Melloi</v>
      </c>
      <c r="G180" s="2" t="str" cm="1">
        <f t="array" ref="G180">IF(_xlfn.XLOOKUP(C180,customers!A179:$A$1001,customers!C179:$C$1001,,0)=0,"",_xlfn.XLOOKUP(C180,customers!A179:$A$1001,customers!C179:$C$1001,,0))</f>
        <v>kmelloi4y@imdb.com</v>
      </c>
      <c r="H180" s="2" t="str" cm="1">
        <f t="array" ref="H180">_xlfn.XLOOKUP(C180,customers!A179:$A$1001,customers!G179:$G$1001,"Ireland",0)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2"/>
        <v>25.9</v>
      </c>
      <c r="N180" t="str" cm="1">
        <f t="array" ref="N180">_xlfn.IFS(I180="Rob","Robusta",I180="Exc","Excelsa",I180="Ara","Arabica",I180="Lib","Liberica")</f>
        <v>Arabica</v>
      </c>
      <c r="O180" t="str" cm="1">
        <f t="array" ref="O180">_xlfn.IFS(J180="M","Midium",J180="L","Light",J180="D","Dark")</f>
        <v>Light</v>
      </c>
      <c r="P180" t="str">
        <f>_xlfn.XLOOKUP(Orders[[#This Row],[Customer ID]],customers!A:A,customers!I:I,,0)</f>
        <v>No</v>
      </c>
      <c r="Q180" t="str">
        <f>_xlfn.XLOOKUP(C181,customers!A:A,customers!B:B,"مش موجود")</f>
        <v>Tiffany Scardafield</v>
      </c>
    </row>
    <row r="181" spans="1:17" x14ac:dyDescent="0.25">
      <c r="A181" s="2" t="s">
        <v>1498</v>
      </c>
      <c r="B181" s="3">
        <v>43830</v>
      </c>
      <c r="C181" s="2" t="s">
        <v>1499</v>
      </c>
      <c r="D181" t="s">
        <v>6154</v>
      </c>
      <c r="E181" s="2">
        <v>1</v>
      </c>
      <c r="F181" s="2" t="str">
        <f>_xlfn.XLOOKUP(Orders[[#This Row],[Customer ID]],customers!A:A,customers!B:B)</f>
        <v>Tiffany Scardafield</v>
      </c>
      <c r="G181" s="2" t="str" cm="1">
        <f t="array" ref="G181">IF(_xlfn.XLOOKUP(C181,customers!A180:$A$1001,customers!C180:$C$1001,,0)=0,"",_xlfn.XLOOKUP(C181,customers!A180:$A$1001,customers!C180:$C$1001,,0))</f>
        <v/>
      </c>
      <c r="H181" s="2" t="str" cm="1">
        <f t="array" ref="H181">_xlfn.XLOOKUP(C181,customers!A180:$A$1001,customers!G180:$G$1001,"Ireland",0)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2"/>
        <v>2.9849999999999999</v>
      </c>
      <c r="N181" t="str" cm="1">
        <f t="array" ref="N181">_xlfn.IFS(I181="Rob","Robusta",I181="Exc","Excelsa",I181="Ara","Arabica",I181="Lib","Liberica")</f>
        <v>Arabica</v>
      </c>
      <c r="O181" t="str" cm="1">
        <f t="array" ref="O181">_xlfn.IFS(J181="M","Midium",J181="L","Light",J181="D","Dark")</f>
        <v>Dark</v>
      </c>
      <c r="P181" t="str">
        <f>_xlfn.XLOOKUP(Orders[[#This Row],[Customer ID]],customers!A:A,customers!I:I,,0)</f>
        <v>No</v>
      </c>
      <c r="Q181" t="str">
        <f>_xlfn.XLOOKUP(C182,customers!A:A,customers!B:B,"مش موجود")</f>
        <v>Abrahan Mussen</v>
      </c>
    </row>
    <row r="182" spans="1:17" x14ac:dyDescent="0.25">
      <c r="A182" s="2" t="s">
        <v>1503</v>
      </c>
      <c r="B182" s="3">
        <v>43910</v>
      </c>
      <c r="C182" s="2" t="s">
        <v>1504</v>
      </c>
      <c r="D182" t="s">
        <v>6184</v>
      </c>
      <c r="E182" s="2">
        <v>5</v>
      </c>
      <c r="F182" s="2" t="str">
        <f>_xlfn.XLOOKUP(Orders[[#This Row],[Customer ID]],customers!A:A,customers!B:B)</f>
        <v>Abrahan Mussen</v>
      </c>
      <c r="G182" s="2" t="str" cm="1">
        <f t="array" ref="G182">IF(_xlfn.XLOOKUP(C182,customers!A181:$A$1001,customers!C181:$C$1001,,0)=0,"",_xlfn.XLOOKUP(C182,customers!A181:$A$1001,customers!C181:$C$1001,,0))</f>
        <v>amussen50@51.la</v>
      </c>
      <c r="H182" s="2" t="str" cm="1">
        <f t="array" ref="H182">_xlfn.XLOOKUP(C182,customers!A181:$A$1001,customers!G181:$G$1001,"Ireland",0)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2"/>
        <v>22.274999999999999</v>
      </c>
      <c r="N182" t="str" cm="1">
        <f t="array" ref="N182">_xlfn.IFS(I182="Rob","Robusta",I182="Exc","Excelsa",I182="Ara","Arabica",I182="Lib","Liberica")</f>
        <v>Excelsa</v>
      </c>
      <c r="O182" t="str" cm="1">
        <f t="array" ref="O182">_xlfn.IFS(J182="M","Midium",J182="L","Light",J182="D","Dark")</f>
        <v>Light</v>
      </c>
      <c r="P182" t="str">
        <f>_xlfn.XLOOKUP(Orders[[#This Row],[Customer ID]],customers!A:A,customers!I:I,,0)</f>
        <v>No</v>
      </c>
      <c r="Q182" t="str">
        <f>_xlfn.XLOOKUP(C183,customers!A:A,customers!B:B,"مش موجود")</f>
        <v>Abrahan Mussen</v>
      </c>
    </row>
    <row r="183" spans="1:17" x14ac:dyDescent="0.25">
      <c r="A183" s="2" t="s">
        <v>1503</v>
      </c>
      <c r="B183" s="3">
        <v>43910</v>
      </c>
      <c r="C183" s="2" t="s">
        <v>1504</v>
      </c>
      <c r="D183" t="s">
        <v>6158</v>
      </c>
      <c r="E183" s="2">
        <v>5</v>
      </c>
      <c r="F183" s="2" t="str">
        <f>_xlfn.XLOOKUP(Orders[[#This Row],[Customer ID]],customers!A:A,customers!B:B)</f>
        <v>Abrahan Mussen</v>
      </c>
      <c r="G183" s="2" t="str" cm="1">
        <f t="array" ref="G183">IF(_xlfn.XLOOKUP(C183,customers!A182:$A$1001,customers!C182:$C$1001,,0)=0,"",_xlfn.XLOOKUP(C183,customers!A182:$A$1001,customers!C182:$C$1001,,0))</f>
        <v>amussen50@51.la</v>
      </c>
      <c r="H183" s="2" t="str" cm="1">
        <f t="array" ref="H183">_xlfn.XLOOKUP(C183,customers!A182:$A$1001,customers!G182:$G$1001,"Ireland",0)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2"/>
        <v>29.849999999999998</v>
      </c>
      <c r="N183" t="str" cm="1">
        <f t="array" ref="N183">_xlfn.IFS(I183="Rob","Robusta",I183="Exc","Excelsa",I183="Ara","Arabica",I183="Lib","Liberica")</f>
        <v>Arabica</v>
      </c>
      <c r="O183" t="str" cm="1">
        <f t="array" ref="O183">_xlfn.IFS(J183="M","Midium",J183="L","Light",J183="D","Dark")</f>
        <v>Dark</v>
      </c>
      <c r="P183" t="str">
        <f>_xlfn.XLOOKUP(Orders[[#This Row],[Customer ID]],customers!A:A,customers!I:I,,0)</f>
        <v>No</v>
      </c>
      <c r="Q183" t="str">
        <f>_xlfn.XLOOKUP(C184,customers!A:A,customers!B:B,"مش موجود")</f>
        <v>Anny Mundford</v>
      </c>
    </row>
    <row r="184" spans="1:17" x14ac:dyDescent="0.25">
      <c r="A184" s="2" t="s">
        <v>1514</v>
      </c>
      <c r="B184" s="3">
        <v>44284</v>
      </c>
      <c r="C184" s="2" t="s">
        <v>1515</v>
      </c>
      <c r="D184" t="s">
        <v>6172</v>
      </c>
      <c r="E184" s="2">
        <v>6</v>
      </c>
      <c r="F184" s="2" t="str">
        <f>_xlfn.XLOOKUP(Orders[[#This Row],[Customer ID]],customers!A:A,customers!B:B)</f>
        <v>Anny Mundford</v>
      </c>
      <c r="G184" s="2" t="str" cm="1">
        <f t="array" ref="G184">IF(_xlfn.XLOOKUP(C184,customers!A183:$A$1001,customers!C183:$C$1001,,0)=0,"",_xlfn.XLOOKUP(C184,customers!A183:$A$1001,customers!C183:$C$1001,,0))</f>
        <v>amundford52@nbcnews.com</v>
      </c>
      <c r="H184" s="2" t="str" cm="1">
        <f t="array" ref="H184">_xlfn.XLOOKUP(C184,customers!A183:$A$1001,customers!G183:$G$1001,"Ireland",0)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2"/>
        <v>32.22</v>
      </c>
      <c r="N184" t="str" cm="1">
        <f t="array" ref="N184">_xlfn.IFS(I184="Rob","Robusta",I184="Exc","Excelsa",I184="Ara","Arabica",I184="Lib","Liberica")</f>
        <v>Robusta</v>
      </c>
      <c r="O184" t="str" cm="1">
        <f t="array" ref="O184">_xlfn.IFS(J184="M","Midium",J184="L","Light",J184="D","Dark")</f>
        <v>Dark</v>
      </c>
      <c r="P184" t="str">
        <f>_xlfn.XLOOKUP(Orders[[#This Row],[Customer ID]],customers!A:A,customers!I:I,,0)</f>
        <v>No</v>
      </c>
      <c r="Q184" t="str">
        <f>_xlfn.XLOOKUP(C185,customers!A:A,customers!B:B,"مش موجود")</f>
        <v>Tory Walas</v>
      </c>
    </row>
    <row r="185" spans="1:17" x14ac:dyDescent="0.25">
      <c r="A185" s="2" t="s">
        <v>1520</v>
      </c>
      <c r="B185" s="3">
        <v>44512</v>
      </c>
      <c r="C185" s="2" t="s">
        <v>1521</v>
      </c>
      <c r="D185" t="s">
        <v>6156</v>
      </c>
      <c r="E185" s="2">
        <v>2</v>
      </c>
      <c r="F185" s="2" t="str">
        <f>_xlfn.XLOOKUP(Orders[[#This Row],[Customer ID]],customers!A:A,customers!B:B)</f>
        <v>Tory Walas</v>
      </c>
      <c r="G185" s="2" t="str" cm="1">
        <f t="array" ref="G185">IF(_xlfn.XLOOKUP(C185,customers!A184:$A$1001,customers!C184:$C$1001,,0)=0,"",_xlfn.XLOOKUP(C185,customers!A184:$A$1001,customers!C184:$C$1001,,0))</f>
        <v>twalas53@google.ca</v>
      </c>
      <c r="H185" s="2" t="str" cm="1">
        <f t="array" ref="H185">_xlfn.XLOOKUP(C185,customers!A184:$A$1001,customers!G184:$G$1001,"Ireland",0)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2"/>
        <v>8.25</v>
      </c>
      <c r="N185" t="str" cm="1">
        <f t="array" ref="N185">_xlfn.IFS(I185="Rob","Robusta",I185="Exc","Excelsa",I185="Ara","Arabica",I185="Lib","Liberica")</f>
        <v>Excelsa</v>
      </c>
      <c r="O185" t="str" cm="1">
        <f t="array" ref="O185">_xlfn.IFS(J185="M","Midium",J185="L","Light",J185="D","Dark")</f>
        <v>Midium</v>
      </c>
      <c r="P185" t="str">
        <f>_xlfn.XLOOKUP(Orders[[#This Row],[Customer ID]],customers!A:A,customers!I:I,,0)</f>
        <v>No</v>
      </c>
      <c r="Q185" t="str">
        <f>_xlfn.XLOOKUP(C186,customers!A:A,customers!B:B,"مش موجود")</f>
        <v>Isa Blazewicz</v>
      </c>
    </row>
    <row r="186" spans="1:17" x14ac:dyDescent="0.25">
      <c r="A186" s="2" t="s">
        <v>1526</v>
      </c>
      <c r="B186" s="3">
        <v>44397</v>
      </c>
      <c r="C186" s="2" t="s">
        <v>1527</v>
      </c>
      <c r="D186" t="s">
        <v>6180</v>
      </c>
      <c r="E186" s="2">
        <v>4</v>
      </c>
      <c r="F186" s="2" t="str">
        <f>_xlfn.XLOOKUP(Orders[[#This Row],[Customer ID]],customers!A:A,customers!B:B)</f>
        <v>Isa Blazewicz</v>
      </c>
      <c r="G186" s="2" t="str" cm="1">
        <f t="array" ref="G186">IF(_xlfn.XLOOKUP(C186,customers!A185:$A$1001,customers!C185:$C$1001,,0)=0,"",_xlfn.XLOOKUP(C186,customers!A185:$A$1001,customers!C185:$C$1001,,0))</f>
        <v>iblazewicz54@thetimes.co.uk</v>
      </c>
      <c r="H186" s="2" t="str" cm="1">
        <f t="array" ref="H186">_xlfn.XLOOKUP(C186,customers!A185:$A$1001,customers!G185:$G$1001,"Ireland",0)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2"/>
        <v>31.08</v>
      </c>
      <c r="N186" t="str" cm="1">
        <f t="array" ref="N186">_xlfn.IFS(I186="Rob","Robusta",I186="Exc","Excelsa",I186="Ara","Arabica",I186="Lib","Liberica")</f>
        <v>Arabica</v>
      </c>
      <c r="O186" t="str" cm="1">
        <f t="array" ref="O186">_xlfn.IFS(J186="M","Midium",J186="L","Light",J186="D","Dark")</f>
        <v>Light</v>
      </c>
      <c r="P186" t="str">
        <f>_xlfn.XLOOKUP(Orders[[#This Row],[Customer ID]],customers!A:A,customers!I:I,,0)</f>
        <v>No</v>
      </c>
      <c r="Q186" t="str">
        <f>_xlfn.XLOOKUP(C187,customers!A:A,customers!B:B,"مش موجود")</f>
        <v>Angie Rizzetti</v>
      </c>
    </row>
    <row r="187" spans="1:17" x14ac:dyDescent="0.25">
      <c r="A187" s="2" t="s">
        <v>1532</v>
      </c>
      <c r="B187" s="3">
        <v>43483</v>
      </c>
      <c r="C187" s="2" t="s">
        <v>1533</v>
      </c>
      <c r="D187" t="s">
        <v>6144</v>
      </c>
      <c r="E187" s="2">
        <v>5</v>
      </c>
      <c r="F187" s="2" t="str">
        <f>_xlfn.XLOOKUP(Orders[[#This Row],[Customer ID]],customers!A:A,customers!B:B)</f>
        <v>Angie Rizzetti</v>
      </c>
      <c r="G187" s="2" t="str" cm="1">
        <f t="array" ref="G187">IF(_xlfn.XLOOKUP(C187,customers!A186:$A$1001,customers!C186:$C$1001,,0)=0,"",_xlfn.XLOOKUP(C187,customers!A186:$A$1001,customers!C186:$C$1001,,0))</f>
        <v>arizzetti55@naver.com</v>
      </c>
      <c r="H187" s="2" t="str" cm="1">
        <f t="array" ref="H187">_xlfn.XLOOKUP(C187,customers!A186:$A$1001,customers!G186:$G$1001,"Ireland",0)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2"/>
        <v>36.450000000000003</v>
      </c>
      <c r="N187" t="str" cm="1">
        <f t="array" ref="N187">_xlfn.IFS(I187="Rob","Robusta",I187="Exc","Excelsa",I187="Ara","Arabica",I187="Lib","Liberica")</f>
        <v>Excelsa</v>
      </c>
      <c r="O187" t="str" cm="1">
        <f t="array" ref="O187">_xlfn.IFS(J187="M","Midium",J187="L","Light",J187="D","Dark")</f>
        <v>Dark</v>
      </c>
      <c r="P187" t="str">
        <f>_xlfn.XLOOKUP(Orders[[#This Row],[Customer ID]],customers!A:A,customers!I:I,,0)</f>
        <v>Yes</v>
      </c>
      <c r="Q187" t="str">
        <f>_xlfn.XLOOKUP(C188,customers!A:A,customers!B:B,"مش موجود")</f>
        <v>Mord Meriet</v>
      </c>
    </row>
    <row r="188" spans="1:17" x14ac:dyDescent="0.25">
      <c r="A188" s="2" t="s">
        <v>1538</v>
      </c>
      <c r="B188" s="3">
        <v>43684</v>
      </c>
      <c r="C188" s="2" t="s">
        <v>1539</v>
      </c>
      <c r="D188" t="s">
        <v>6151</v>
      </c>
      <c r="E188" s="2">
        <v>3</v>
      </c>
      <c r="F188" s="2" t="str">
        <f>_xlfn.XLOOKUP(Orders[[#This Row],[Customer ID]],customers!A:A,customers!B:B)</f>
        <v>Mord Meriet</v>
      </c>
      <c r="G188" s="2" t="str" cm="1">
        <f t="array" ref="G188">IF(_xlfn.XLOOKUP(C188,customers!A187:$A$1001,customers!C187:$C$1001,,0)=0,"",_xlfn.XLOOKUP(C188,customers!A187:$A$1001,customers!C187:$C$1001,,0))</f>
        <v>mmeriet56@noaa.gov</v>
      </c>
      <c r="H188" s="2" t="str" cm="1">
        <f t="array" ref="H188">_xlfn.XLOOKUP(C188,customers!A187:$A$1001,customers!G187:$G$1001,"Ireland",0)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2"/>
        <v>68.655000000000001</v>
      </c>
      <c r="N188" t="str" cm="1">
        <f t="array" ref="N188">_xlfn.IFS(I188="Rob","Robusta",I188="Exc","Excelsa",I188="Ara","Arabica",I188="Lib","Liberica")</f>
        <v>Robusta</v>
      </c>
      <c r="O188" t="str" cm="1">
        <f t="array" ref="O188">_xlfn.IFS(J188="M","Midium",J188="L","Light",J188="D","Dark")</f>
        <v>Midium</v>
      </c>
      <c r="P188" t="str">
        <f>_xlfn.XLOOKUP(Orders[[#This Row],[Customer ID]],customers!A:A,customers!I:I,,0)</f>
        <v>No</v>
      </c>
      <c r="Q188" t="str">
        <f>_xlfn.XLOOKUP(C189,customers!A:A,customers!B:B,"مش موجود")</f>
        <v>Lawrence Pratt</v>
      </c>
    </row>
    <row r="189" spans="1:17" x14ac:dyDescent="0.25">
      <c r="A189" s="2" t="s">
        <v>1544</v>
      </c>
      <c r="B189" s="3">
        <v>44633</v>
      </c>
      <c r="C189" s="2" t="s">
        <v>1545</v>
      </c>
      <c r="D189" t="s">
        <v>6160</v>
      </c>
      <c r="E189" s="2">
        <v>5</v>
      </c>
      <c r="F189" s="2" t="str">
        <f>_xlfn.XLOOKUP(Orders[[#This Row],[Customer ID]],customers!A:A,customers!B:B)</f>
        <v>Lawrence Pratt</v>
      </c>
      <c r="G189" s="2" t="str" cm="1">
        <f t="array" ref="G189">IF(_xlfn.XLOOKUP(C189,customers!A188:$A$1001,customers!C188:$C$1001,,0)=0,"",_xlfn.XLOOKUP(C189,customers!A188:$A$1001,customers!C188:$C$1001,,0))</f>
        <v>lpratt57@netvibes.com</v>
      </c>
      <c r="H189" s="2" t="str" cm="1">
        <f t="array" ref="H189">_xlfn.XLOOKUP(C189,customers!A188:$A$1001,customers!G188:$G$1001,"Ireland",0)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2"/>
        <v>43.650000000000006</v>
      </c>
      <c r="N189" t="str" cm="1">
        <f t="array" ref="N189">_xlfn.IFS(I189="Rob","Robusta",I189="Exc","Excelsa",I189="Ara","Arabica",I189="Lib","Liberica")</f>
        <v>Liberica</v>
      </c>
      <c r="O189" t="str" cm="1">
        <f t="array" ref="O189">_xlfn.IFS(J189="M","Midium",J189="L","Light",J189="D","Dark")</f>
        <v>Midium</v>
      </c>
      <c r="P189" t="str">
        <f>_xlfn.XLOOKUP(Orders[[#This Row],[Customer ID]],customers!A:A,customers!I:I,,0)</f>
        <v>Yes</v>
      </c>
      <c r="Q189" t="str">
        <f>_xlfn.XLOOKUP(C190,customers!A:A,customers!B:B,"مش موجود")</f>
        <v>Astrix Kitchingham</v>
      </c>
    </row>
    <row r="190" spans="1:17" x14ac:dyDescent="0.25">
      <c r="A190" s="2" t="s">
        <v>1549</v>
      </c>
      <c r="B190" s="3">
        <v>44698</v>
      </c>
      <c r="C190" s="2" t="s">
        <v>1550</v>
      </c>
      <c r="D190" t="s">
        <v>6184</v>
      </c>
      <c r="E190" s="2">
        <v>1</v>
      </c>
      <c r="F190" s="2" t="str">
        <f>_xlfn.XLOOKUP(Orders[[#This Row],[Customer ID]],customers!A:A,customers!B:B)</f>
        <v>Astrix Kitchingham</v>
      </c>
      <c r="G190" s="2" t="str" cm="1">
        <f t="array" ref="G190">IF(_xlfn.XLOOKUP(C190,customers!A189:$A$1001,customers!C189:$C$1001,,0)=0,"",_xlfn.XLOOKUP(C190,customers!A189:$A$1001,customers!C189:$C$1001,,0))</f>
        <v>akitchingham58@com.com</v>
      </c>
      <c r="H190" s="2" t="str" cm="1">
        <f t="array" ref="H190">_xlfn.XLOOKUP(C190,customers!A189:$A$1001,customers!G189:$G$1001,"Ireland",0)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2"/>
        <v>4.4550000000000001</v>
      </c>
      <c r="N190" t="str" cm="1">
        <f t="array" ref="N190">_xlfn.IFS(I190="Rob","Robusta",I190="Exc","Excelsa",I190="Ara","Arabica",I190="Lib","Liberica")</f>
        <v>Excelsa</v>
      </c>
      <c r="O190" t="str" cm="1">
        <f t="array" ref="O190">_xlfn.IFS(J190="M","Midium",J190="L","Light",J190="D","Dark")</f>
        <v>Light</v>
      </c>
      <c r="P190" t="str">
        <f>_xlfn.XLOOKUP(Orders[[#This Row],[Customer ID]],customers!A:A,customers!I:I,,0)</f>
        <v>Yes</v>
      </c>
      <c r="Q190" t="str">
        <f>_xlfn.XLOOKUP(C191,customers!A:A,customers!B:B,"مش موجود")</f>
        <v>Burnard Bartholin</v>
      </c>
    </row>
    <row r="191" spans="1:17" x14ac:dyDescent="0.25">
      <c r="A191" s="2" t="s">
        <v>1555</v>
      </c>
      <c r="B191" s="3">
        <v>43813</v>
      </c>
      <c r="C191" s="2" t="s">
        <v>1556</v>
      </c>
      <c r="D191" t="s">
        <v>6162</v>
      </c>
      <c r="E191" s="2">
        <v>3</v>
      </c>
      <c r="F191" s="2" t="str">
        <f>_xlfn.XLOOKUP(Orders[[#This Row],[Customer ID]],customers!A:A,customers!B:B)</f>
        <v>Burnard Bartholin</v>
      </c>
      <c r="G191" s="2" t="str" cm="1">
        <f t="array" ref="G191">IF(_xlfn.XLOOKUP(C191,customers!A190:$A$1001,customers!C190:$C$1001,,0)=0,"",_xlfn.XLOOKUP(C191,customers!A190:$A$1001,customers!C190:$C$1001,,0))</f>
        <v>bbartholin59@xinhuanet.com</v>
      </c>
      <c r="H191" s="2" t="str" cm="1">
        <f t="array" ref="H191">_xlfn.XLOOKUP(C191,customers!A190:$A$1001,customers!G190:$G$1001,"Ireland",0)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2"/>
        <v>43.650000000000006</v>
      </c>
      <c r="N191" t="str" cm="1">
        <f t="array" ref="N191">_xlfn.IFS(I191="Rob","Robusta",I191="Exc","Excelsa",I191="Ara","Arabica",I191="Lib","Liberica")</f>
        <v>Liberica</v>
      </c>
      <c r="O191" t="str" cm="1">
        <f t="array" ref="O191">_xlfn.IFS(J191="M","Midium",J191="L","Light",J191="D","Dark")</f>
        <v>Midium</v>
      </c>
      <c r="P191" t="str">
        <f>_xlfn.XLOOKUP(Orders[[#This Row],[Customer ID]],customers!A:A,customers!I:I,,0)</f>
        <v>Yes</v>
      </c>
      <c r="Q191" t="str">
        <f>_xlfn.XLOOKUP(C192,customers!A:A,customers!B:B,"مش موجود")</f>
        <v>Madelene Prinn</v>
      </c>
    </row>
    <row r="192" spans="1:17" x14ac:dyDescent="0.25">
      <c r="A192" s="2" t="s">
        <v>1561</v>
      </c>
      <c r="B192" s="3">
        <v>43845</v>
      </c>
      <c r="C192" s="2" t="s">
        <v>1562</v>
      </c>
      <c r="D192" t="s">
        <v>6181</v>
      </c>
      <c r="E192" s="2">
        <v>1</v>
      </c>
      <c r="F192" s="2" t="str">
        <f>_xlfn.XLOOKUP(Orders[[#This Row],[Customer ID]],customers!A:A,customers!B:B)</f>
        <v>Madelene Prinn</v>
      </c>
      <c r="G192" s="2" t="str" cm="1">
        <f t="array" ref="G192">IF(_xlfn.XLOOKUP(C192,customers!A191:$A$1001,customers!C191:$C$1001,,0)=0,"",_xlfn.XLOOKUP(C192,customers!A191:$A$1001,customers!C191:$C$1001,,0))</f>
        <v>mprinn5a@usa.gov</v>
      </c>
      <c r="H192" s="2" t="str" cm="1">
        <f t="array" ref="H192">_xlfn.XLOOKUP(C192,customers!A191:$A$1001,customers!G191:$G$1001,"Ireland",0)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2"/>
        <v>33.464999999999996</v>
      </c>
      <c r="N192" t="str" cm="1">
        <f t="array" ref="N192">_xlfn.IFS(I192="Rob","Robusta",I192="Exc","Excelsa",I192="Ara","Arabica",I192="Lib","Liberica")</f>
        <v>Liberica</v>
      </c>
      <c r="O192" t="str" cm="1">
        <f t="array" ref="O192">_xlfn.IFS(J192="M","Midium",J192="L","Light",J192="D","Dark")</f>
        <v>Midium</v>
      </c>
      <c r="P192" t="str">
        <f>_xlfn.XLOOKUP(Orders[[#This Row],[Customer ID]],customers!A:A,customers!I:I,,0)</f>
        <v>Yes</v>
      </c>
      <c r="Q192" t="str">
        <f>_xlfn.XLOOKUP(C193,customers!A:A,customers!B:B,"مش موجود")</f>
        <v>Alisun Baudino</v>
      </c>
    </row>
    <row r="193" spans="1:17" x14ac:dyDescent="0.25">
      <c r="A193" s="2" t="s">
        <v>1567</v>
      </c>
      <c r="B193" s="3">
        <v>43567</v>
      </c>
      <c r="C193" s="2" t="s">
        <v>1568</v>
      </c>
      <c r="D193" t="s">
        <v>6150</v>
      </c>
      <c r="E193" s="2">
        <v>5</v>
      </c>
      <c r="F193" s="2" t="str">
        <f>_xlfn.XLOOKUP(Orders[[#This Row],[Customer ID]],customers!A:A,customers!B:B)</f>
        <v>Alisun Baudino</v>
      </c>
      <c r="G193" s="2" t="str" cm="1">
        <f t="array" ref="G193">IF(_xlfn.XLOOKUP(C193,customers!A192:$A$1001,customers!C192:$C$1001,,0)=0,"",_xlfn.XLOOKUP(C193,customers!A192:$A$1001,customers!C192:$C$1001,,0))</f>
        <v>abaudino5b@netvibes.com</v>
      </c>
      <c r="H193" s="2" t="str" cm="1">
        <f t="array" ref="H193">_xlfn.XLOOKUP(C193,customers!A192:$A$1001,customers!G192:$G$1001,"Ireland",0)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2"/>
        <v>19.424999999999997</v>
      </c>
      <c r="N193" t="str" cm="1">
        <f t="array" ref="N193">_xlfn.IFS(I193="Rob","Robusta",I193="Exc","Excelsa",I193="Ara","Arabica",I193="Lib","Liberica")</f>
        <v>Liberica</v>
      </c>
      <c r="O193" t="str" cm="1">
        <f t="array" ref="O193">_xlfn.IFS(J193="M","Midium",J193="L","Light",J193="D","Dark")</f>
        <v>Dark</v>
      </c>
      <c r="P193" t="str">
        <f>_xlfn.XLOOKUP(Orders[[#This Row],[Customer ID]],customers!A:A,customers!I:I,,0)</f>
        <v>Yes</v>
      </c>
      <c r="Q193" t="str">
        <f>_xlfn.XLOOKUP(C194,customers!A:A,customers!B:B,"مش موجود")</f>
        <v>Philipa Petrushanko</v>
      </c>
    </row>
    <row r="194" spans="1:17" x14ac:dyDescent="0.25">
      <c r="A194" s="2" t="s">
        <v>1573</v>
      </c>
      <c r="B194" s="3">
        <v>43919</v>
      </c>
      <c r="C194" s="2" t="s">
        <v>1574</v>
      </c>
      <c r="D194" t="s">
        <v>6183</v>
      </c>
      <c r="E194" s="2">
        <v>6</v>
      </c>
      <c r="F194" s="2" t="str">
        <f>_xlfn.XLOOKUP(Orders[[#This Row],[Customer ID]],customers!A:A,customers!B:B)</f>
        <v>Philipa Petrushanko</v>
      </c>
      <c r="G194" s="2" t="str" cm="1">
        <f t="array" ref="G194">IF(_xlfn.XLOOKUP(C194,customers!A193:$A$1001,customers!C193:$C$1001,,0)=0,"",_xlfn.XLOOKUP(C194,customers!A193:$A$1001,customers!C193:$C$1001,,0))</f>
        <v>ppetrushanko5c@blinklist.com</v>
      </c>
      <c r="H194" s="2" t="str" cm="1">
        <f t="array" ref="H194">_xlfn.XLOOKUP(C194,customers!A193:$A$1001,customers!G193:$G$1001,"Ireland",0)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2"/>
        <v>72.900000000000006</v>
      </c>
      <c r="N194" t="str" cm="1">
        <f t="array" ref="N194">_xlfn.IFS(I194="Rob","Robusta",I194="Exc","Excelsa",I194="Ara","Arabica",I194="Lib","Liberica")</f>
        <v>Excelsa</v>
      </c>
      <c r="O194" t="str" cm="1">
        <f t="array" ref="O194">_xlfn.IFS(J194="M","Midium",J194="L","Light",J194="D","Dark")</f>
        <v>Dark</v>
      </c>
      <c r="P194" t="str">
        <f>_xlfn.XLOOKUP(Orders[[#This Row],[Customer ID]],customers!A:A,customers!I:I,,0)</f>
        <v>Yes</v>
      </c>
      <c r="Q194" t="str">
        <f>_xlfn.XLOOKUP(C195,customers!A:A,customers!B:B,"مش موجود")</f>
        <v>Kimberli Mustchin</v>
      </c>
    </row>
    <row r="195" spans="1:17" x14ac:dyDescent="0.25">
      <c r="A195" s="2" t="s">
        <v>1579</v>
      </c>
      <c r="B195" s="3">
        <v>44644</v>
      </c>
      <c r="C195" s="2" t="s">
        <v>1580</v>
      </c>
      <c r="D195" t="s">
        <v>6171</v>
      </c>
      <c r="E195" s="2">
        <v>3</v>
      </c>
      <c r="F195" s="2" t="str">
        <f>_xlfn.XLOOKUP(Orders[[#This Row],[Customer ID]],customers!A:A,customers!B:B)</f>
        <v>Kimberli Mustchin</v>
      </c>
      <c r="G195" s="2" t="str" cm="1">
        <f t="array" ref="G195">IF(_xlfn.XLOOKUP(C195,customers!A194:$A$1001,customers!C194:$C$1001,,0)=0,"",_xlfn.XLOOKUP(C195,customers!A194:$A$1001,customers!C194:$C$1001,,0))</f>
        <v/>
      </c>
      <c r="H195" s="2" t="str" cm="1">
        <f t="array" ref="H195">_xlfn.XLOOKUP(C195,customers!A194:$A$1001,customers!G194:$G$1001,"Ireland",0)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3">L195*E195</f>
        <v>44.55</v>
      </c>
      <c r="N195" t="str" cm="1">
        <f t="array" ref="N195">_xlfn.IFS(I195="Rob","Robusta",I195="Exc","Excelsa",I195="Ara","Arabica",I195="Lib","Liberica")</f>
        <v>Excelsa</v>
      </c>
      <c r="O195" t="str" cm="1">
        <f t="array" ref="O195">_xlfn.IFS(J195="M","Midium",J195="L","Light",J195="D","Dark")</f>
        <v>Light</v>
      </c>
      <c r="P195" t="str">
        <f>_xlfn.XLOOKUP(Orders[[#This Row],[Customer ID]],customers!A:A,customers!I:I,,0)</f>
        <v>No</v>
      </c>
      <c r="Q195" t="str">
        <f>_xlfn.XLOOKUP(C196,customers!A:A,customers!B:B,"مش موجود")</f>
        <v>Emlynne Laird</v>
      </c>
    </row>
    <row r="196" spans="1:17" x14ac:dyDescent="0.25">
      <c r="A196" s="2" t="s">
        <v>1584</v>
      </c>
      <c r="B196" s="3">
        <v>44398</v>
      </c>
      <c r="C196" s="2" t="s">
        <v>1585</v>
      </c>
      <c r="D196" t="s">
        <v>6144</v>
      </c>
      <c r="E196" s="2">
        <v>5</v>
      </c>
      <c r="F196" s="2" t="str">
        <f>_xlfn.XLOOKUP(Orders[[#This Row],[Customer ID]],customers!A:A,customers!B:B)</f>
        <v>Emlynne Laird</v>
      </c>
      <c r="G196" s="2" t="str" cm="1">
        <f t="array" ref="G196">IF(_xlfn.XLOOKUP(C196,customers!A195:$A$1001,customers!C195:$C$1001,,0)=0,"",_xlfn.XLOOKUP(C196,customers!A195:$A$1001,customers!C195:$C$1001,,0))</f>
        <v>elaird5e@bing.com</v>
      </c>
      <c r="H196" s="2" t="str" cm="1">
        <f t="array" ref="H196">_xlfn.XLOOKUP(C196,customers!A195:$A$1001,customers!G195:$G$1001,"Ireland",0)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3"/>
        <v>36.450000000000003</v>
      </c>
      <c r="N196" t="str" cm="1">
        <f t="array" ref="N196">_xlfn.IFS(I196="Rob","Robusta",I196="Exc","Excelsa",I196="Ara","Arabica",I196="Lib","Liberica")</f>
        <v>Excelsa</v>
      </c>
      <c r="O196" t="str" cm="1">
        <f t="array" ref="O196">_xlfn.IFS(J196="M","Midium",J196="L","Light",J196="D","Dark")</f>
        <v>Dark</v>
      </c>
      <c r="P196" t="str">
        <f>_xlfn.XLOOKUP(Orders[[#This Row],[Customer ID]],customers!A:A,customers!I:I,,0)</f>
        <v>No</v>
      </c>
      <c r="Q196" t="str">
        <f>_xlfn.XLOOKUP(C197,customers!A:A,customers!B:B,"مش موجود")</f>
        <v>Marlena Howsden</v>
      </c>
    </row>
    <row r="197" spans="1:17" x14ac:dyDescent="0.25">
      <c r="A197" s="2" t="s">
        <v>1590</v>
      </c>
      <c r="B197" s="3">
        <v>43683</v>
      </c>
      <c r="C197" s="2" t="s">
        <v>1591</v>
      </c>
      <c r="D197" t="s">
        <v>6140</v>
      </c>
      <c r="E197" s="2">
        <v>3</v>
      </c>
      <c r="F197" s="2" t="str">
        <f>_xlfn.XLOOKUP(Orders[[#This Row],[Customer ID]],customers!A:A,customers!B:B)</f>
        <v>Marlena Howsden</v>
      </c>
      <c r="G197" s="2" t="str" cm="1">
        <f t="array" ref="G197">IF(_xlfn.XLOOKUP(C197,customers!A196:$A$1001,customers!C196:$C$1001,,0)=0,"",_xlfn.XLOOKUP(C197,customers!A196:$A$1001,customers!C196:$C$1001,,0))</f>
        <v>mhowsden5f@infoseek.co.jp</v>
      </c>
      <c r="H197" s="2" t="str" cm="1">
        <f t="array" ref="H197">_xlfn.XLOOKUP(C197,customers!A196:$A$1001,customers!G196:$G$1001,"Ireland",0)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3"/>
        <v>38.849999999999994</v>
      </c>
      <c r="N197" t="str" cm="1">
        <f t="array" ref="N197">_xlfn.IFS(I197="Rob","Robusta",I197="Exc","Excelsa",I197="Ara","Arabica",I197="Lib","Liberica")</f>
        <v>Arabica</v>
      </c>
      <c r="O197" t="str" cm="1">
        <f t="array" ref="O197">_xlfn.IFS(J197="M","Midium",J197="L","Light",J197="D","Dark")</f>
        <v>Light</v>
      </c>
      <c r="P197" t="str">
        <f>_xlfn.XLOOKUP(Orders[[#This Row],[Customer ID]],customers!A:A,customers!I:I,,0)</f>
        <v>No</v>
      </c>
      <c r="Q197" t="str">
        <f>_xlfn.XLOOKUP(C198,customers!A:A,customers!B:B,"مش موجود")</f>
        <v>Nealson Cuttler</v>
      </c>
    </row>
    <row r="198" spans="1:17" x14ac:dyDescent="0.25">
      <c r="A198" s="2" t="s">
        <v>1596</v>
      </c>
      <c r="B198" s="3">
        <v>44339</v>
      </c>
      <c r="C198" s="2" t="s">
        <v>1597</v>
      </c>
      <c r="D198" t="s">
        <v>6176</v>
      </c>
      <c r="E198" s="2">
        <v>6</v>
      </c>
      <c r="F198" s="2" t="str">
        <f>_xlfn.XLOOKUP(Orders[[#This Row],[Customer ID]],customers!A:A,customers!B:B)</f>
        <v>Nealson Cuttler</v>
      </c>
      <c r="G198" s="2" t="str" cm="1">
        <f t="array" ref="G198">IF(_xlfn.XLOOKUP(C198,customers!A197:$A$1001,customers!C197:$C$1001,,0)=0,"",_xlfn.XLOOKUP(C198,customers!A197:$A$1001,customers!C197:$C$1001,,0))</f>
        <v>ncuttler5g@parallels.com</v>
      </c>
      <c r="H198" s="2" t="str" cm="1">
        <f t="array" ref="H198">_xlfn.XLOOKUP(C198,customers!A197:$A$1001,customers!G197:$G$1001,"Ireland",0)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3"/>
        <v>53.46</v>
      </c>
      <c r="N198" t="str" cm="1">
        <f t="array" ref="N198">_xlfn.IFS(I198="Rob","Robusta",I198="Exc","Excelsa",I198="Ara","Arabica",I198="Lib","Liberica")</f>
        <v>Excelsa</v>
      </c>
      <c r="O198" t="str" cm="1">
        <f t="array" ref="O198">_xlfn.IFS(J198="M","Midium",J198="L","Light",J198="D","Dark")</f>
        <v>Light</v>
      </c>
      <c r="P198" t="str">
        <f>_xlfn.XLOOKUP(Orders[[#This Row],[Customer ID]],customers!A:A,customers!I:I,,0)</f>
        <v>No</v>
      </c>
      <c r="Q198" t="str">
        <f>_xlfn.XLOOKUP(C199,customers!A:A,customers!B:B,"مش موجود")</f>
        <v>Nealson Cuttler</v>
      </c>
    </row>
    <row r="199" spans="1:17" x14ac:dyDescent="0.25">
      <c r="A199" s="2" t="s">
        <v>1596</v>
      </c>
      <c r="B199" s="3">
        <v>44339</v>
      </c>
      <c r="C199" s="2" t="s">
        <v>1597</v>
      </c>
      <c r="D199" t="s">
        <v>6165</v>
      </c>
      <c r="E199" s="2">
        <v>2</v>
      </c>
      <c r="F199" s="2" t="str">
        <f>_xlfn.XLOOKUP(Orders[[#This Row],[Customer ID]],customers!A:A,customers!B:B)</f>
        <v>Nealson Cuttler</v>
      </c>
      <c r="G199" s="2" t="str" cm="1">
        <f t="array" ref="G199">IF(_xlfn.XLOOKUP(C199,customers!A198:$A$1001,customers!C198:$C$1001,,0)=0,"",_xlfn.XLOOKUP(C199,customers!A198:$A$1001,customers!C198:$C$1001,,0))</f>
        <v>ncuttler5g@parallels.com</v>
      </c>
      <c r="H199" s="2" t="str" cm="1">
        <f t="array" ref="H199">_xlfn.XLOOKUP(C199,customers!A198:$A$1001,customers!G198:$G$1001,"Ireland",0)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3"/>
        <v>59.569999999999993</v>
      </c>
      <c r="N199" t="str" cm="1">
        <f t="array" ref="N199">_xlfn.IFS(I199="Rob","Robusta",I199="Exc","Excelsa",I199="Ara","Arabica",I199="Lib","Liberica")</f>
        <v>Liberica</v>
      </c>
      <c r="O199" t="str" cm="1">
        <f t="array" ref="O199">_xlfn.IFS(J199="M","Midium",J199="L","Light",J199="D","Dark")</f>
        <v>Dark</v>
      </c>
      <c r="P199" t="str">
        <f>_xlfn.XLOOKUP(Orders[[#This Row],[Customer ID]],customers!A:A,customers!I:I,,0)</f>
        <v>No</v>
      </c>
      <c r="Q199" t="str">
        <f>_xlfn.XLOOKUP(C200,customers!A:A,customers!B:B,"مش موجود")</f>
        <v>Nealson Cuttler</v>
      </c>
    </row>
    <row r="200" spans="1:17" x14ac:dyDescent="0.25">
      <c r="A200" s="2" t="s">
        <v>1596</v>
      </c>
      <c r="B200" s="3">
        <v>44339</v>
      </c>
      <c r="C200" s="2" t="s">
        <v>1597</v>
      </c>
      <c r="D200" t="s">
        <v>6165</v>
      </c>
      <c r="E200" s="2">
        <v>3</v>
      </c>
      <c r="F200" s="2" t="str">
        <f>_xlfn.XLOOKUP(Orders[[#This Row],[Customer ID]],customers!A:A,customers!B:B)</f>
        <v>Nealson Cuttler</v>
      </c>
      <c r="G200" s="2" t="e" cm="1">
        <f t="array" ref="G200">IF(_xlfn.XLOOKUP(C200,customers!A199:$A$1001,customers!C199:$C$1001,,0)=0,"",_xlfn.XLOOKUP(C200,customers!A199:$A$1001,customers!C199:$C$1001,,0))</f>
        <v>#N/A</v>
      </c>
      <c r="H200" s="2" t="str" cm="1">
        <f t="array" ref="H200">_xlfn.XLOOKUP(C200,customers!A199:$A$1001,customers!G199:$G$1001,"Ireland",0)</f>
        <v>Ireland</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3"/>
        <v>89.35499999999999</v>
      </c>
      <c r="N200" t="str" cm="1">
        <f t="array" ref="N200">_xlfn.IFS(I200="Rob","Robusta",I200="Exc","Excelsa",I200="Ara","Arabica",I200="Lib","Liberica")</f>
        <v>Liberica</v>
      </c>
      <c r="O200" t="str" cm="1">
        <f t="array" ref="O200">_xlfn.IFS(J200="M","Midium",J200="L","Light",J200="D","Dark")</f>
        <v>Dark</v>
      </c>
      <c r="P200" t="str">
        <f>_xlfn.XLOOKUP(Orders[[#This Row],[Customer ID]],customers!A:A,customers!I:I,,0)</f>
        <v>No</v>
      </c>
      <c r="Q200" t="str">
        <f>_xlfn.XLOOKUP(C201,customers!A:A,customers!B:B,"مش موجود")</f>
        <v>Nealson Cuttler</v>
      </c>
    </row>
    <row r="201" spans="1:17" x14ac:dyDescent="0.25">
      <c r="A201" s="2" t="s">
        <v>1596</v>
      </c>
      <c r="B201" s="3">
        <v>44339</v>
      </c>
      <c r="C201" s="2" t="s">
        <v>1597</v>
      </c>
      <c r="D201" t="s">
        <v>6161</v>
      </c>
      <c r="E201" s="2">
        <v>4</v>
      </c>
      <c r="F201" s="2" t="str">
        <f>_xlfn.XLOOKUP(Orders[[#This Row],[Customer ID]],customers!A:A,customers!B:B)</f>
        <v>Nealson Cuttler</v>
      </c>
      <c r="G201" s="2" t="e" cm="1">
        <f t="array" ref="G201">IF(_xlfn.XLOOKUP(C201,customers!A200:$A$1001,customers!C200:$C$1001,,0)=0,"",_xlfn.XLOOKUP(C201,customers!A200:$A$1001,customers!C200:$C$1001,,0))</f>
        <v>#N/A</v>
      </c>
      <c r="H201" s="2" t="str" cm="1">
        <f t="array" ref="H201">_xlfn.XLOOKUP(C201,customers!A200:$A$1001,customers!G200:$G$1001,"Ireland",0)</f>
        <v>Ireland</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3"/>
        <v>38.04</v>
      </c>
      <c r="N201" t="str" cm="1">
        <f t="array" ref="N201">_xlfn.IFS(I201="Rob","Robusta",I201="Exc","Excelsa",I201="Ara","Arabica",I201="Lib","Liberica")</f>
        <v>Liberica</v>
      </c>
      <c r="O201" t="str" cm="1">
        <f t="array" ref="O201">_xlfn.IFS(J201="M","Midium",J201="L","Light",J201="D","Dark")</f>
        <v>Light</v>
      </c>
      <c r="P201" t="str">
        <f>_xlfn.XLOOKUP(Orders[[#This Row],[Customer ID]],customers!A:A,customers!I:I,,0)</f>
        <v>No</v>
      </c>
      <c r="Q201" t="str">
        <f>_xlfn.XLOOKUP(C202,customers!A:A,customers!B:B,"مش موجود")</f>
        <v>Nealson Cuttler</v>
      </c>
    </row>
    <row r="202" spans="1:17" x14ac:dyDescent="0.25">
      <c r="A202" s="2" t="s">
        <v>1596</v>
      </c>
      <c r="B202" s="3">
        <v>44339</v>
      </c>
      <c r="C202" s="2" t="s">
        <v>1597</v>
      </c>
      <c r="D202" t="s">
        <v>6141</v>
      </c>
      <c r="E202" s="2">
        <v>3</v>
      </c>
      <c r="F202" s="2" t="str">
        <f>_xlfn.XLOOKUP(Orders[[#This Row],[Customer ID]],customers!A:A,customers!B:B)</f>
        <v>Nealson Cuttler</v>
      </c>
      <c r="G202" s="2" t="e" cm="1">
        <f t="array" ref="G202">IF(_xlfn.XLOOKUP(C202,customers!A201:$A$1001,customers!C201:$C$1001,,0)=0,"",_xlfn.XLOOKUP(C202,customers!A201:$A$1001,customers!C201:$C$1001,,0))</f>
        <v>#N/A</v>
      </c>
      <c r="H202" s="2" t="str" cm="1">
        <f t="array" ref="H202">_xlfn.XLOOKUP(C202,customers!A201:$A$1001,customers!G201:$G$1001,"Ireland",0)</f>
        <v>Ireland</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3"/>
        <v>41.25</v>
      </c>
      <c r="N202" t="str" cm="1">
        <f t="array" ref="N202">_xlfn.IFS(I202="Rob","Robusta",I202="Exc","Excelsa",I202="Ara","Arabica",I202="Lib","Liberica")</f>
        <v>Excelsa</v>
      </c>
      <c r="O202" t="str" cm="1">
        <f t="array" ref="O202">_xlfn.IFS(J202="M","Midium",J202="L","Light",J202="D","Dark")</f>
        <v>Midium</v>
      </c>
      <c r="P202" t="str">
        <f>_xlfn.XLOOKUP(Orders[[#This Row],[Customer ID]],customers!A:A,customers!I:I,,0)</f>
        <v>No</v>
      </c>
      <c r="Q202" t="str">
        <f>_xlfn.XLOOKUP(C203,customers!A:A,customers!B:B,"مش موجود")</f>
        <v>Adriana Lazarus</v>
      </c>
    </row>
    <row r="203" spans="1:17" x14ac:dyDescent="0.25">
      <c r="A203" s="2" t="s">
        <v>1621</v>
      </c>
      <c r="B203" s="3">
        <v>44294</v>
      </c>
      <c r="C203" s="2" t="s">
        <v>1622</v>
      </c>
      <c r="D203" t="s">
        <v>6161</v>
      </c>
      <c r="E203" s="2">
        <v>6</v>
      </c>
      <c r="F203" s="2" t="str">
        <f>_xlfn.XLOOKUP(Orders[[#This Row],[Customer ID]],customers!A:A,customers!B:B)</f>
        <v>Adriana Lazarus</v>
      </c>
      <c r="G203" s="2" t="str" cm="1">
        <f t="array" ref="G203">IF(_xlfn.XLOOKUP(C203,customers!A202:$A$1001,customers!C202:$C$1001,,0)=0,"",_xlfn.XLOOKUP(C203,customers!A202:$A$1001,customers!C202:$C$1001,,0))</f>
        <v/>
      </c>
      <c r="H203" s="2" t="str" cm="1">
        <f t="array" ref="H203">_xlfn.XLOOKUP(C203,customers!A202:$A$1001,customers!G202:$G$1001,"Ireland",0)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3"/>
        <v>57.06</v>
      </c>
      <c r="N203" t="str" cm="1">
        <f t="array" ref="N203">_xlfn.IFS(I203="Rob","Robusta",I203="Exc","Excelsa",I203="Ara","Arabica",I203="Lib","Liberica")</f>
        <v>Liberica</v>
      </c>
      <c r="O203" t="str" cm="1">
        <f t="array" ref="O203">_xlfn.IFS(J203="M","Midium",J203="L","Light",J203="D","Dark")</f>
        <v>Light</v>
      </c>
      <c r="P203" t="str">
        <f>_xlfn.XLOOKUP(Orders[[#This Row],[Customer ID]],customers!A:A,customers!I:I,,0)</f>
        <v>No</v>
      </c>
      <c r="Q203" t="str">
        <f>_xlfn.XLOOKUP(C204,customers!A:A,customers!B:B,"مش موجود")</f>
        <v>Tallie felip</v>
      </c>
    </row>
    <row r="204" spans="1:17" x14ac:dyDescent="0.25">
      <c r="A204" s="2" t="s">
        <v>1626</v>
      </c>
      <c r="B204" s="3">
        <v>44486</v>
      </c>
      <c r="C204" s="2" t="s">
        <v>1627</v>
      </c>
      <c r="D204" t="s">
        <v>6165</v>
      </c>
      <c r="E204" s="2">
        <v>6</v>
      </c>
      <c r="F204" s="2" t="str">
        <f>_xlfn.XLOOKUP(Orders[[#This Row],[Customer ID]],customers!A:A,customers!B:B)</f>
        <v>Tallie felip</v>
      </c>
      <c r="G204" s="2" t="str" cm="1">
        <f t="array" ref="G204">IF(_xlfn.XLOOKUP(C204,customers!A203:$A$1001,customers!C203:$C$1001,,0)=0,"",_xlfn.XLOOKUP(C204,customers!A203:$A$1001,customers!C203:$C$1001,,0))</f>
        <v>tfelip5m@typepad.com</v>
      </c>
      <c r="H204" s="2" t="str" cm="1">
        <f t="array" ref="H204">_xlfn.XLOOKUP(C204,customers!A203:$A$1001,customers!G203:$G$1001,"Ireland",0)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3"/>
        <v>178.70999999999998</v>
      </c>
      <c r="N204" t="str" cm="1">
        <f t="array" ref="N204">_xlfn.IFS(I204="Rob","Robusta",I204="Exc","Excelsa",I204="Ara","Arabica",I204="Lib","Liberica")</f>
        <v>Liberica</v>
      </c>
      <c r="O204" t="str" cm="1">
        <f t="array" ref="O204">_xlfn.IFS(J204="M","Midium",J204="L","Light",J204="D","Dark")</f>
        <v>Dark</v>
      </c>
      <c r="P204" t="str">
        <f>_xlfn.XLOOKUP(Orders[[#This Row],[Customer ID]],customers!A:A,customers!I:I,,0)</f>
        <v>Yes</v>
      </c>
      <c r="Q204" t="str">
        <f>_xlfn.XLOOKUP(C205,customers!A:A,customers!B:B,"مش موجود")</f>
        <v>Vanna Le - Count</v>
      </c>
    </row>
    <row r="205" spans="1:17" x14ac:dyDescent="0.25">
      <c r="A205" s="2" t="s">
        <v>1632</v>
      </c>
      <c r="B205" s="3">
        <v>44608</v>
      </c>
      <c r="C205" s="2" t="s">
        <v>1633</v>
      </c>
      <c r="D205" t="s">
        <v>6145</v>
      </c>
      <c r="E205" s="2">
        <v>1</v>
      </c>
      <c r="F205" s="2" t="str">
        <f>_xlfn.XLOOKUP(Orders[[#This Row],[Customer ID]],customers!A:A,customers!B:B)</f>
        <v>Vanna Le - Count</v>
      </c>
      <c r="G205" s="2" t="str" cm="1">
        <f t="array" ref="G205">IF(_xlfn.XLOOKUP(C205,customers!A204:$A$1001,customers!C204:$C$1001,,0)=0,"",_xlfn.XLOOKUP(C205,customers!A204:$A$1001,customers!C204:$C$1001,,0))</f>
        <v>vle5n@disqus.com</v>
      </c>
      <c r="H205" s="2" t="str" cm="1">
        <f t="array" ref="H205">_xlfn.XLOOKUP(C205,customers!A204:$A$1001,customers!G204:$G$1001,"Ireland",0)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3"/>
        <v>4.7549999999999999</v>
      </c>
      <c r="N205" t="str" cm="1">
        <f t="array" ref="N205">_xlfn.IFS(I205="Rob","Robusta",I205="Exc","Excelsa",I205="Ara","Arabica",I205="Lib","Liberica")</f>
        <v>Liberica</v>
      </c>
      <c r="O205" t="str" cm="1">
        <f t="array" ref="O205">_xlfn.IFS(J205="M","Midium",J205="L","Light",J205="D","Dark")</f>
        <v>Light</v>
      </c>
      <c r="P205" t="str">
        <f>_xlfn.XLOOKUP(Orders[[#This Row],[Customer ID]],customers!A:A,customers!I:I,,0)</f>
        <v>No</v>
      </c>
      <c r="Q205" t="str">
        <f>_xlfn.XLOOKUP(C206,customers!A:A,customers!B:B,"مش موجود")</f>
        <v>Sarette Ducarel</v>
      </c>
    </row>
    <row r="206" spans="1:17" x14ac:dyDescent="0.25">
      <c r="A206" s="2" t="s">
        <v>1638</v>
      </c>
      <c r="B206" s="3">
        <v>44027</v>
      </c>
      <c r="C206" s="2" t="s">
        <v>1639</v>
      </c>
      <c r="D206" t="s">
        <v>6141</v>
      </c>
      <c r="E206" s="2">
        <v>6</v>
      </c>
      <c r="F206" s="2" t="str">
        <f>_xlfn.XLOOKUP(Orders[[#This Row],[Customer ID]],customers!A:A,customers!B:B)</f>
        <v>Sarette Ducarel</v>
      </c>
      <c r="G206" s="2" t="str" cm="1">
        <f t="array" ref="G206">IF(_xlfn.XLOOKUP(C206,customers!A205:$A$1001,customers!C205:$C$1001,,0)=0,"",_xlfn.XLOOKUP(C206,customers!A205:$A$1001,customers!C205:$C$1001,,0))</f>
        <v/>
      </c>
      <c r="H206" s="2" t="str" cm="1">
        <f t="array" ref="H206">_xlfn.XLOOKUP(C206,customers!A205:$A$1001,customers!G205:$G$1001,"Ireland",0)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3"/>
        <v>82.5</v>
      </c>
      <c r="N206" t="str" cm="1">
        <f t="array" ref="N206">_xlfn.IFS(I206="Rob","Robusta",I206="Exc","Excelsa",I206="Ara","Arabica",I206="Lib","Liberica")</f>
        <v>Excelsa</v>
      </c>
      <c r="O206" t="str" cm="1">
        <f t="array" ref="O206">_xlfn.IFS(J206="M","Midium",J206="L","Light",J206="D","Dark")</f>
        <v>Midium</v>
      </c>
      <c r="P206" t="str">
        <f>_xlfn.XLOOKUP(Orders[[#This Row],[Customer ID]],customers!A:A,customers!I:I,,0)</f>
        <v>No</v>
      </c>
      <c r="Q206" t="str">
        <f>_xlfn.XLOOKUP(C207,customers!A:A,customers!B:B,"مش موجود")</f>
        <v>Kendra Glison</v>
      </c>
    </row>
    <row r="207" spans="1:17" x14ac:dyDescent="0.25">
      <c r="A207" s="2" t="s">
        <v>1643</v>
      </c>
      <c r="B207" s="3">
        <v>43883</v>
      </c>
      <c r="C207" s="2" t="s">
        <v>1644</v>
      </c>
      <c r="D207" t="s">
        <v>6163</v>
      </c>
      <c r="E207" s="2">
        <v>3</v>
      </c>
      <c r="F207" s="2" t="str">
        <f>_xlfn.XLOOKUP(Orders[[#This Row],[Customer ID]],customers!A:A,customers!B:B)</f>
        <v>Kendra Glison</v>
      </c>
      <c r="G207" s="2" t="str" cm="1">
        <f t="array" ref="G207">IF(_xlfn.XLOOKUP(C207,customers!A206:$A$1001,customers!C206:$C$1001,,0)=0,"",_xlfn.XLOOKUP(C207,customers!A206:$A$1001,customers!C206:$C$1001,,0))</f>
        <v/>
      </c>
      <c r="H207" s="2" t="str" cm="1">
        <f t="array" ref="H207">_xlfn.XLOOKUP(C207,customers!A206:$A$1001,customers!G206:$G$1001,"Ireland",0)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3"/>
        <v>8.0549999999999997</v>
      </c>
      <c r="N207" t="str" cm="1">
        <f t="array" ref="N207">_xlfn.IFS(I207="Rob","Robusta",I207="Exc","Excelsa",I207="Ara","Arabica",I207="Lib","Liberica")</f>
        <v>Robusta</v>
      </c>
      <c r="O207" t="str" cm="1">
        <f t="array" ref="O207">_xlfn.IFS(J207="M","Midium",J207="L","Light",J207="D","Dark")</f>
        <v>Dark</v>
      </c>
      <c r="P207" t="str">
        <f>_xlfn.XLOOKUP(Orders[[#This Row],[Customer ID]],customers!A:A,customers!I:I,,0)</f>
        <v>Yes</v>
      </c>
      <c r="Q207" t="str">
        <f>_xlfn.XLOOKUP(C208,customers!A:A,customers!B:B,"مش موجود")</f>
        <v>Nertie Poolman</v>
      </c>
    </row>
    <row r="208" spans="1:17" x14ac:dyDescent="0.25">
      <c r="A208" s="2" t="s">
        <v>1648</v>
      </c>
      <c r="B208" s="3">
        <v>44211</v>
      </c>
      <c r="C208" s="2" t="s">
        <v>1649</v>
      </c>
      <c r="D208" t="s">
        <v>6155</v>
      </c>
      <c r="E208" s="2">
        <v>2</v>
      </c>
      <c r="F208" s="2" t="str">
        <f>_xlfn.XLOOKUP(Orders[[#This Row],[Customer ID]],customers!A:A,customers!B:B)</f>
        <v>Nertie Poolman</v>
      </c>
      <c r="G208" s="2" t="str" cm="1">
        <f t="array" ref="G208">IF(_xlfn.XLOOKUP(C208,customers!A207:$A$1001,customers!C207:$C$1001,,0)=0,"",_xlfn.XLOOKUP(C208,customers!A207:$A$1001,customers!C207:$C$1001,,0))</f>
        <v>npoolman5q@howstuffworks.com</v>
      </c>
      <c r="H208" s="2" t="str" cm="1">
        <f t="array" ref="H208">_xlfn.XLOOKUP(C208,customers!A207:$A$1001,customers!G207:$G$1001,"Ireland",0)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3"/>
        <v>22.5</v>
      </c>
      <c r="N208" t="str" cm="1">
        <f t="array" ref="N208">_xlfn.IFS(I208="Rob","Robusta",I208="Exc","Excelsa",I208="Ara","Arabica",I208="Lib","Liberica")</f>
        <v>Arabica</v>
      </c>
      <c r="O208" t="str" cm="1">
        <f t="array" ref="O208">_xlfn.IFS(J208="M","Midium",J208="L","Light",J208="D","Dark")</f>
        <v>Midium</v>
      </c>
      <c r="P208" t="str">
        <f>_xlfn.XLOOKUP(Orders[[#This Row],[Customer ID]],customers!A:A,customers!I:I,,0)</f>
        <v>No</v>
      </c>
      <c r="Q208" t="str">
        <f>_xlfn.XLOOKUP(C209,customers!A:A,customers!B:B,"مش موجود")</f>
        <v>Orbadiah Duny</v>
      </c>
    </row>
    <row r="209" spans="1:17" x14ac:dyDescent="0.25">
      <c r="A209" s="2" t="s">
        <v>1653</v>
      </c>
      <c r="B209" s="3">
        <v>44207</v>
      </c>
      <c r="C209" s="2" t="s">
        <v>1654</v>
      </c>
      <c r="D209" t="s">
        <v>6157</v>
      </c>
      <c r="E209" s="2">
        <v>6</v>
      </c>
      <c r="F209" s="2" t="str">
        <f>_xlfn.XLOOKUP(Orders[[#This Row],[Customer ID]],customers!A:A,customers!B:B)</f>
        <v>Orbadiah Duny</v>
      </c>
      <c r="G209" s="2" t="str" cm="1">
        <f t="array" ref="G209">IF(_xlfn.XLOOKUP(C209,customers!A208:$A$1001,customers!C208:$C$1001,,0)=0,"",_xlfn.XLOOKUP(C209,customers!A208:$A$1001,customers!C208:$C$1001,,0))</f>
        <v>oduny5r@constantcontact.com</v>
      </c>
      <c r="H209" s="2" t="str" cm="1">
        <f t="array" ref="H209">_xlfn.XLOOKUP(C209,customers!A208:$A$1001,customers!G208:$G$1001,"Ireland",0)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3"/>
        <v>40.5</v>
      </c>
      <c r="N209" t="str" cm="1">
        <f t="array" ref="N209">_xlfn.IFS(I209="Rob","Robusta",I209="Exc","Excelsa",I209="Ara","Arabica",I209="Lib","Liberica")</f>
        <v>Arabica</v>
      </c>
      <c r="O209" t="str" cm="1">
        <f t="array" ref="O209">_xlfn.IFS(J209="M","Midium",J209="L","Light",J209="D","Dark")</f>
        <v>Midium</v>
      </c>
      <c r="P209" t="str">
        <f>_xlfn.XLOOKUP(Orders[[#This Row],[Customer ID]],customers!A:A,customers!I:I,,0)</f>
        <v>Yes</v>
      </c>
      <c r="Q209" t="str">
        <f>_xlfn.XLOOKUP(C210,customers!A:A,customers!B:B,"مش موجود")</f>
        <v>Constance Halfhide</v>
      </c>
    </row>
    <row r="210" spans="1:17" x14ac:dyDescent="0.25">
      <c r="A210" s="2" t="s">
        <v>1659</v>
      </c>
      <c r="B210" s="3">
        <v>44659</v>
      </c>
      <c r="C210" s="2" t="s">
        <v>1660</v>
      </c>
      <c r="D210" t="s">
        <v>6144</v>
      </c>
      <c r="E210" s="2">
        <v>4</v>
      </c>
      <c r="F210" s="2" t="str">
        <f>_xlfn.XLOOKUP(Orders[[#This Row],[Customer ID]],customers!A:A,customers!B:B)</f>
        <v>Constance Halfhide</v>
      </c>
      <c r="G210" s="2" t="str" cm="1">
        <f t="array" ref="G210">IF(_xlfn.XLOOKUP(C210,customers!A209:$A$1001,customers!C209:$C$1001,,0)=0,"",_xlfn.XLOOKUP(C210,customers!A209:$A$1001,customers!C209:$C$1001,,0))</f>
        <v>chalfhide5s@google.ru</v>
      </c>
      <c r="H210" s="2" t="str" cm="1">
        <f t="array" ref="H210">_xlfn.XLOOKUP(C210,customers!A209:$A$1001,customers!G209:$G$1001,"Ireland",0)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3"/>
        <v>29.16</v>
      </c>
      <c r="N210" t="str" cm="1">
        <f t="array" ref="N210">_xlfn.IFS(I210="Rob","Robusta",I210="Exc","Excelsa",I210="Ara","Arabica",I210="Lib","Liberica")</f>
        <v>Excelsa</v>
      </c>
      <c r="O210" t="str" cm="1">
        <f t="array" ref="O210">_xlfn.IFS(J210="M","Midium",J210="L","Light",J210="D","Dark")</f>
        <v>Dark</v>
      </c>
      <c r="P210" t="str">
        <f>_xlfn.XLOOKUP(Orders[[#This Row],[Customer ID]],customers!A:A,customers!I:I,,0)</f>
        <v>Yes</v>
      </c>
      <c r="Q210" t="str">
        <f>_xlfn.XLOOKUP(C211,customers!A:A,customers!B:B,"مش موجود")</f>
        <v>Fransisco Malecky</v>
      </c>
    </row>
    <row r="211" spans="1:17" x14ac:dyDescent="0.25">
      <c r="A211" s="2" t="s">
        <v>1665</v>
      </c>
      <c r="B211" s="3">
        <v>44105</v>
      </c>
      <c r="C211" s="2" t="s">
        <v>1666</v>
      </c>
      <c r="D211" t="s">
        <v>6157</v>
      </c>
      <c r="E211" s="2">
        <v>1</v>
      </c>
      <c r="F211" s="2" t="str">
        <f>_xlfn.XLOOKUP(Orders[[#This Row],[Customer ID]],customers!A:A,customers!B:B)</f>
        <v>Fransisco Malecky</v>
      </c>
      <c r="G211" s="2" t="str" cm="1">
        <f t="array" ref="G211">IF(_xlfn.XLOOKUP(C211,customers!A210:$A$1001,customers!C210:$C$1001,,0)=0,"",_xlfn.XLOOKUP(C211,customers!A210:$A$1001,customers!C210:$C$1001,,0))</f>
        <v>fmalecky5t@list-manage.com</v>
      </c>
      <c r="H211" s="2" t="str" cm="1">
        <f t="array" ref="H211">_xlfn.XLOOKUP(C211,customers!A210:$A$1001,customers!G210:$G$1001,"Ireland",0)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3"/>
        <v>6.75</v>
      </c>
      <c r="N211" t="str" cm="1">
        <f t="array" ref="N211">_xlfn.IFS(I211="Rob","Robusta",I211="Exc","Excelsa",I211="Ara","Arabica",I211="Lib","Liberica")</f>
        <v>Arabica</v>
      </c>
      <c r="O211" t="str" cm="1">
        <f t="array" ref="O211">_xlfn.IFS(J211="M","Midium",J211="L","Light",J211="D","Dark")</f>
        <v>Midium</v>
      </c>
      <c r="P211" t="str">
        <f>_xlfn.XLOOKUP(Orders[[#This Row],[Customer ID]],customers!A:A,customers!I:I,,0)</f>
        <v>No</v>
      </c>
      <c r="Q211" t="str">
        <f>_xlfn.XLOOKUP(C212,customers!A:A,customers!B:B,"مش موجود")</f>
        <v>Anselma Attwater</v>
      </c>
    </row>
    <row r="212" spans="1:17" x14ac:dyDescent="0.25">
      <c r="A212" s="2" t="s">
        <v>1671</v>
      </c>
      <c r="B212" s="3">
        <v>43766</v>
      </c>
      <c r="C212" s="2" t="s">
        <v>1672</v>
      </c>
      <c r="D212" t="s">
        <v>6143</v>
      </c>
      <c r="E212" s="2">
        <v>4</v>
      </c>
      <c r="F212" s="2" t="str">
        <f>_xlfn.XLOOKUP(Orders[[#This Row],[Customer ID]],customers!A:A,customers!B:B)</f>
        <v>Anselma Attwater</v>
      </c>
      <c r="G212" s="2" t="str" cm="1">
        <f t="array" ref="G212">IF(_xlfn.XLOOKUP(C212,customers!A211:$A$1001,customers!C211:$C$1001,,0)=0,"",_xlfn.XLOOKUP(C212,customers!A211:$A$1001,customers!C211:$C$1001,,0))</f>
        <v>aattwater5u@wikia.com</v>
      </c>
      <c r="H212" s="2" t="str" cm="1">
        <f t="array" ref="H212">_xlfn.XLOOKUP(C212,customers!A211:$A$1001,customers!G211:$G$1001,"Ireland",0)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3"/>
        <v>51.8</v>
      </c>
      <c r="N212" t="str" cm="1">
        <f t="array" ref="N212">_xlfn.IFS(I212="Rob","Robusta",I212="Exc","Excelsa",I212="Ara","Arabica",I212="Lib","Liberica")</f>
        <v>Liberica</v>
      </c>
      <c r="O212" t="str" cm="1">
        <f t="array" ref="O212">_xlfn.IFS(J212="M","Midium",J212="L","Light",J212="D","Dark")</f>
        <v>Dark</v>
      </c>
      <c r="P212" t="str">
        <f>_xlfn.XLOOKUP(Orders[[#This Row],[Customer ID]],customers!A:A,customers!I:I,,0)</f>
        <v>Yes</v>
      </c>
      <c r="Q212" t="str">
        <f>_xlfn.XLOOKUP(C213,customers!A:A,customers!B:B,"مش موجود")</f>
        <v>Minette Whellans</v>
      </c>
    </row>
    <row r="213" spans="1:17" x14ac:dyDescent="0.25">
      <c r="A213" s="2" t="s">
        <v>1677</v>
      </c>
      <c r="B213" s="3">
        <v>44283</v>
      </c>
      <c r="C213" s="2" t="s">
        <v>1678</v>
      </c>
      <c r="D213" t="s">
        <v>6176</v>
      </c>
      <c r="E213" s="2">
        <v>6</v>
      </c>
      <c r="F213" s="2" t="str">
        <f>_xlfn.XLOOKUP(Orders[[#This Row],[Customer ID]],customers!A:A,customers!B:B)</f>
        <v>Minette Whellans</v>
      </c>
      <c r="G213" s="2" t="str" cm="1">
        <f t="array" ref="G213">IF(_xlfn.XLOOKUP(C213,customers!A212:$A$1001,customers!C212:$C$1001,,0)=0,"",_xlfn.XLOOKUP(C213,customers!A212:$A$1001,customers!C212:$C$1001,,0))</f>
        <v>mwhellans5v@mapquest.com</v>
      </c>
      <c r="H213" s="2" t="str" cm="1">
        <f t="array" ref="H213">_xlfn.XLOOKUP(C213,customers!A212:$A$1001,customers!G212:$G$1001,"Ireland",0)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3"/>
        <v>53.46</v>
      </c>
      <c r="N213" t="str" cm="1">
        <f t="array" ref="N213">_xlfn.IFS(I213="Rob","Robusta",I213="Exc","Excelsa",I213="Ara","Arabica",I213="Lib","Liberica")</f>
        <v>Excelsa</v>
      </c>
      <c r="O213" t="str" cm="1">
        <f t="array" ref="O213">_xlfn.IFS(J213="M","Midium",J213="L","Light",J213="D","Dark")</f>
        <v>Light</v>
      </c>
      <c r="P213" t="str">
        <f>_xlfn.XLOOKUP(Orders[[#This Row],[Customer ID]],customers!A:A,customers!I:I,,0)</f>
        <v>No</v>
      </c>
      <c r="Q213" t="str">
        <f>_xlfn.XLOOKUP(C214,customers!A:A,customers!B:B,"مش موجود")</f>
        <v>Dael Camilletti</v>
      </c>
    </row>
    <row r="214" spans="1:17" x14ac:dyDescent="0.25">
      <c r="A214" s="2" t="s">
        <v>1682</v>
      </c>
      <c r="B214" s="3">
        <v>43921</v>
      </c>
      <c r="C214" s="2" t="s">
        <v>1683</v>
      </c>
      <c r="D214" t="s">
        <v>6153</v>
      </c>
      <c r="E214" s="2">
        <v>4</v>
      </c>
      <c r="F214" s="2" t="str">
        <f>_xlfn.XLOOKUP(Orders[[#This Row],[Customer ID]],customers!A:A,customers!B:B)</f>
        <v>Dael Camilletti</v>
      </c>
      <c r="G214" s="2" t="str" cm="1">
        <f t="array" ref="G214">IF(_xlfn.XLOOKUP(C214,customers!A213:$A$1001,customers!C213:$C$1001,,0)=0,"",_xlfn.XLOOKUP(C214,customers!A213:$A$1001,customers!C213:$C$1001,,0))</f>
        <v>dcamilletti5w@businesswire.com</v>
      </c>
      <c r="H214" s="2" t="str" cm="1">
        <f t="array" ref="H214">_xlfn.XLOOKUP(C214,customers!A213:$A$1001,customers!G213:$G$1001,"Ireland",0)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3"/>
        <v>14.58</v>
      </c>
      <c r="N214" t="str" cm="1">
        <f t="array" ref="N214">_xlfn.IFS(I214="Rob","Robusta",I214="Exc","Excelsa",I214="Ara","Arabica",I214="Lib","Liberica")</f>
        <v>Excelsa</v>
      </c>
      <c r="O214" t="str" cm="1">
        <f t="array" ref="O214">_xlfn.IFS(J214="M","Midium",J214="L","Light",J214="D","Dark")</f>
        <v>Dark</v>
      </c>
      <c r="P214" t="str">
        <f>_xlfn.XLOOKUP(Orders[[#This Row],[Customer ID]],customers!A:A,customers!I:I,,0)</f>
        <v>Yes</v>
      </c>
      <c r="Q214" t="str">
        <f>_xlfn.XLOOKUP(C215,customers!A:A,customers!B:B,"مش موجود")</f>
        <v>Emiline Galgey</v>
      </c>
    </row>
    <row r="215" spans="1:17" x14ac:dyDescent="0.25">
      <c r="A215" s="2" t="s">
        <v>1688</v>
      </c>
      <c r="B215" s="3">
        <v>44646</v>
      </c>
      <c r="C215" s="2" t="s">
        <v>1689</v>
      </c>
      <c r="D215" t="s">
        <v>6149</v>
      </c>
      <c r="E215" s="2">
        <v>1</v>
      </c>
      <c r="F215" s="2" t="str">
        <f>_xlfn.XLOOKUP(Orders[[#This Row],[Customer ID]],customers!A:A,customers!B:B)</f>
        <v>Emiline Galgey</v>
      </c>
      <c r="G215" s="2" t="str" cm="1">
        <f t="array" ref="G215">IF(_xlfn.XLOOKUP(C215,customers!A214:$A$1001,customers!C214:$C$1001,,0)=0,"",_xlfn.XLOOKUP(C215,customers!A214:$A$1001,customers!C214:$C$1001,,0))</f>
        <v>egalgey5x@wufoo.com</v>
      </c>
      <c r="H215" s="2" t="str" cm="1">
        <f t="array" ref="H215">_xlfn.XLOOKUP(C215,customers!A214:$A$1001,customers!G214:$G$1001,"Ireland",0)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3"/>
        <v>20.584999999999997</v>
      </c>
      <c r="N215" t="str" cm="1">
        <f t="array" ref="N215">_xlfn.IFS(I215="Rob","Robusta",I215="Exc","Excelsa",I215="Ara","Arabica",I215="Lib","Liberica")</f>
        <v>Robusta</v>
      </c>
      <c r="O215" t="str" cm="1">
        <f t="array" ref="O215">_xlfn.IFS(J215="M","Midium",J215="L","Light",J215="D","Dark")</f>
        <v>Dark</v>
      </c>
      <c r="P215" t="str">
        <f>_xlfn.XLOOKUP(Orders[[#This Row],[Customer ID]],customers!A:A,customers!I:I,,0)</f>
        <v>No</v>
      </c>
      <c r="Q215" t="str">
        <f>_xlfn.XLOOKUP(C216,customers!A:A,customers!B:B,"مش موجود")</f>
        <v>Murdock Hame</v>
      </c>
    </row>
    <row r="216" spans="1:17" x14ac:dyDescent="0.25">
      <c r="A216" s="2" t="s">
        <v>1694</v>
      </c>
      <c r="B216" s="3">
        <v>43775</v>
      </c>
      <c r="C216" s="2" t="s">
        <v>1695</v>
      </c>
      <c r="D216" t="s">
        <v>6170</v>
      </c>
      <c r="E216" s="2">
        <v>2</v>
      </c>
      <c r="F216" s="2" t="str">
        <f>_xlfn.XLOOKUP(Orders[[#This Row],[Customer ID]],customers!A:A,customers!B:B)</f>
        <v>Murdock Hame</v>
      </c>
      <c r="G216" s="2" t="str" cm="1">
        <f t="array" ref="G216">IF(_xlfn.XLOOKUP(C216,customers!A215:$A$1001,customers!C215:$C$1001,,0)=0,"",_xlfn.XLOOKUP(C216,customers!A215:$A$1001,customers!C215:$C$1001,,0))</f>
        <v>mhame5y@newsvine.com</v>
      </c>
      <c r="H216" s="2" t="str" cm="1">
        <f t="array" ref="H216">_xlfn.XLOOKUP(C216,customers!A215:$A$1001,customers!G215:$G$1001,"Ireland",0)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3"/>
        <v>31.7</v>
      </c>
      <c r="N216" t="str" cm="1">
        <f t="array" ref="N216">_xlfn.IFS(I216="Rob","Robusta",I216="Exc","Excelsa",I216="Ara","Arabica",I216="Lib","Liberica")</f>
        <v>Liberica</v>
      </c>
      <c r="O216" t="str" cm="1">
        <f t="array" ref="O216">_xlfn.IFS(J216="M","Midium",J216="L","Light",J216="D","Dark")</f>
        <v>Light</v>
      </c>
      <c r="P216" t="str">
        <f>_xlfn.XLOOKUP(Orders[[#This Row],[Customer ID]],customers!A:A,customers!I:I,,0)</f>
        <v>No</v>
      </c>
      <c r="Q216" t="str">
        <f>_xlfn.XLOOKUP(C217,customers!A:A,customers!B:B,"مش موجود")</f>
        <v>Ilka Gurnee</v>
      </c>
    </row>
    <row r="217" spans="1:17" x14ac:dyDescent="0.25">
      <c r="A217" s="2" t="s">
        <v>1701</v>
      </c>
      <c r="B217" s="3">
        <v>43829</v>
      </c>
      <c r="C217" s="2" t="s">
        <v>1702</v>
      </c>
      <c r="D217" t="s">
        <v>6150</v>
      </c>
      <c r="E217" s="2">
        <v>6</v>
      </c>
      <c r="F217" s="2" t="str">
        <f>_xlfn.XLOOKUP(Orders[[#This Row],[Customer ID]],customers!A:A,customers!B:B)</f>
        <v>Ilka Gurnee</v>
      </c>
      <c r="G217" s="2" t="str" cm="1">
        <f t="array" ref="G217">IF(_xlfn.XLOOKUP(C217,customers!A216:$A$1001,customers!C216:$C$1001,,0)=0,"",_xlfn.XLOOKUP(C217,customers!A216:$A$1001,customers!C216:$C$1001,,0))</f>
        <v>igurnee5z@usnews.com</v>
      </c>
      <c r="H217" s="2" t="str" cm="1">
        <f t="array" ref="H217">_xlfn.XLOOKUP(C217,customers!A216:$A$1001,customers!G216:$G$1001,"Ireland",0)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3"/>
        <v>23.31</v>
      </c>
      <c r="N217" t="str" cm="1">
        <f t="array" ref="N217">_xlfn.IFS(I217="Rob","Robusta",I217="Exc","Excelsa",I217="Ara","Arabica",I217="Lib","Liberica")</f>
        <v>Liberica</v>
      </c>
      <c r="O217" t="str" cm="1">
        <f t="array" ref="O217">_xlfn.IFS(J217="M","Midium",J217="L","Light",J217="D","Dark")</f>
        <v>Dark</v>
      </c>
      <c r="P217" t="str">
        <f>_xlfn.XLOOKUP(Orders[[#This Row],[Customer ID]],customers!A:A,customers!I:I,,0)</f>
        <v>No</v>
      </c>
      <c r="Q217" t="str">
        <f>_xlfn.XLOOKUP(C218,customers!A:A,customers!B:B,"مش موجود")</f>
        <v>Alfy Snowding</v>
      </c>
    </row>
    <row r="218" spans="1:17" x14ac:dyDescent="0.25">
      <c r="A218" s="2" t="s">
        <v>1707</v>
      </c>
      <c r="B218" s="3">
        <v>44470</v>
      </c>
      <c r="C218" s="2" t="s">
        <v>1708</v>
      </c>
      <c r="D218" t="s">
        <v>6162</v>
      </c>
      <c r="E218" s="2">
        <v>4</v>
      </c>
      <c r="F218" s="2" t="str">
        <f>_xlfn.XLOOKUP(Orders[[#This Row],[Customer ID]],customers!A:A,customers!B:B)</f>
        <v>Alfy Snowding</v>
      </c>
      <c r="G218" s="2" t="str" cm="1">
        <f t="array" ref="G218">IF(_xlfn.XLOOKUP(C218,customers!A217:$A$1001,customers!C217:$C$1001,,0)=0,"",_xlfn.XLOOKUP(C218,customers!A217:$A$1001,customers!C217:$C$1001,,0))</f>
        <v>asnowding60@comsenz.com</v>
      </c>
      <c r="H218" s="2" t="str" cm="1">
        <f t="array" ref="H218">_xlfn.XLOOKUP(C218,customers!A217:$A$1001,customers!G217:$G$1001,"Ireland",0)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3"/>
        <v>58.2</v>
      </c>
      <c r="N218" t="str" cm="1">
        <f t="array" ref="N218">_xlfn.IFS(I218="Rob","Robusta",I218="Exc","Excelsa",I218="Ara","Arabica",I218="Lib","Liberica")</f>
        <v>Liberica</v>
      </c>
      <c r="O218" t="str" cm="1">
        <f t="array" ref="O218">_xlfn.IFS(J218="M","Midium",J218="L","Light",J218="D","Dark")</f>
        <v>Midium</v>
      </c>
      <c r="P218" t="str">
        <f>_xlfn.XLOOKUP(Orders[[#This Row],[Customer ID]],customers!A:A,customers!I:I,,0)</f>
        <v>Yes</v>
      </c>
      <c r="Q218" t="str">
        <f>_xlfn.XLOOKUP(C219,customers!A:A,customers!B:B,"مش موجود")</f>
        <v>Godfry Poinsett</v>
      </c>
    </row>
    <row r="219" spans="1:17" x14ac:dyDescent="0.25">
      <c r="A219" s="2" t="s">
        <v>1713</v>
      </c>
      <c r="B219" s="3">
        <v>44174</v>
      </c>
      <c r="C219" s="2" t="s">
        <v>1714</v>
      </c>
      <c r="D219" t="s">
        <v>6176</v>
      </c>
      <c r="E219" s="2">
        <v>4</v>
      </c>
      <c r="F219" s="2" t="str">
        <f>_xlfn.XLOOKUP(Orders[[#This Row],[Customer ID]],customers!A:A,customers!B:B)</f>
        <v>Godfry Poinsett</v>
      </c>
      <c r="G219" s="2" t="str" cm="1">
        <f t="array" ref="G219">IF(_xlfn.XLOOKUP(C219,customers!A218:$A$1001,customers!C218:$C$1001,,0)=0,"",_xlfn.XLOOKUP(C219,customers!A218:$A$1001,customers!C218:$C$1001,,0))</f>
        <v>gpoinsett61@berkeley.edu</v>
      </c>
      <c r="H219" s="2" t="str" cm="1">
        <f t="array" ref="H219">_xlfn.XLOOKUP(C219,customers!A218:$A$1001,customers!G218:$G$1001,"Ireland",0)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3"/>
        <v>35.64</v>
      </c>
      <c r="N219" t="str" cm="1">
        <f t="array" ref="N219">_xlfn.IFS(I219="Rob","Robusta",I219="Exc","Excelsa",I219="Ara","Arabica",I219="Lib","Liberica")</f>
        <v>Excelsa</v>
      </c>
      <c r="O219" t="str" cm="1">
        <f t="array" ref="O219">_xlfn.IFS(J219="M","Midium",J219="L","Light",J219="D","Dark")</f>
        <v>Light</v>
      </c>
      <c r="P219" t="str">
        <f>_xlfn.XLOOKUP(Orders[[#This Row],[Customer ID]],customers!A:A,customers!I:I,,0)</f>
        <v>No</v>
      </c>
      <c r="Q219" t="str">
        <f>_xlfn.XLOOKUP(C220,customers!A:A,customers!B:B,"مش موجود")</f>
        <v>Rem Furman</v>
      </c>
    </row>
    <row r="220" spans="1:17" x14ac:dyDescent="0.25">
      <c r="A220" s="2" t="s">
        <v>1719</v>
      </c>
      <c r="B220" s="3">
        <v>44317</v>
      </c>
      <c r="C220" s="2" t="s">
        <v>1720</v>
      </c>
      <c r="D220" t="s">
        <v>6155</v>
      </c>
      <c r="E220" s="2">
        <v>5</v>
      </c>
      <c r="F220" s="2" t="str">
        <f>_xlfn.XLOOKUP(Orders[[#This Row],[Customer ID]],customers!A:A,customers!B:B)</f>
        <v>Rem Furman</v>
      </c>
      <c r="G220" s="2" t="str" cm="1">
        <f t="array" ref="G220">IF(_xlfn.XLOOKUP(C220,customers!A219:$A$1001,customers!C219:$C$1001,,0)=0,"",_xlfn.XLOOKUP(C220,customers!A219:$A$1001,customers!C219:$C$1001,,0))</f>
        <v>rfurman62@t.co</v>
      </c>
      <c r="H220" s="2" t="str" cm="1">
        <f t="array" ref="H220">_xlfn.XLOOKUP(C220,customers!A219:$A$1001,customers!G219:$G$1001,"Ireland",0)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3"/>
        <v>56.25</v>
      </c>
      <c r="N220" t="str" cm="1">
        <f t="array" ref="N220">_xlfn.IFS(I220="Rob","Robusta",I220="Exc","Excelsa",I220="Ara","Arabica",I220="Lib","Liberica")</f>
        <v>Arabica</v>
      </c>
      <c r="O220" t="str" cm="1">
        <f t="array" ref="O220">_xlfn.IFS(J220="M","Midium",J220="L","Light",J220="D","Dark")</f>
        <v>Midium</v>
      </c>
      <c r="P220" t="str">
        <f>_xlfn.XLOOKUP(Orders[[#This Row],[Customer ID]],customers!A:A,customers!I:I,,0)</f>
        <v>Yes</v>
      </c>
      <c r="Q220" t="str">
        <f>_xlfn.XLOOKUP(C221,customers!A:A,customers!B:B,"مش موجود")</f>
        <v>Charis Crosier</v>
      </c>
    </row>
    <row r="221" spans="1:17" x14ac:dyDescent="0.25">
      <c r="A221" s="2" t="s">
        <v>1725</v>
      </c>
      <c r="B221" s="3">
        <v>44777</v>
      </c>
      <c r="C221" s="2" t="s">
        <v>1726</v>
      </c>
      <c r="D221" t="s">
        <v>6178</v>
      </c>
      <c r="E221" s="2">
        <v>3</v>
      </c>
      <c r="F221" s="2" t="str">
        <f>_xlfn.XLOOKUP(Orders[[#This Row],[Customer ID]],customers!A:A,customers!B:B)</f>
        <v>Charis Crosier</v>
      </c>
      <c r="G221" s="2" t="str" cm="1">
        <f t="array" ref="G221">IF(_xlfn.XLOOKUP(C221,customers!A220:$A$1001,customers!C220:$C$1001,,0)=0,"",_xlfn.XLOOKUP(C221,customers!A220:$A$1001,customers!C220:$C$1001,,0))</f>
        <v>ccrosier63@xrea.com</v>
      </c>
      <c r="H221" s="2" t="str" cm="1">
        <f t="array" ref="H221">_xlfn.XLOOKUP(C221,customers!A220:$A$1001,customers!G220:$G$1001,"Ireland",0)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3"/>
        <v>10.754999999999999</v>
      </c>
      <c r="N221" t="str" cm="1">
        <f t="array" ref="N221">_xlfn.IFS(I221="Rob","Robusta",I221="Exc","Excelsa",I221="Ara","Arabica",I221="Lib","Liberica")</f>
        <v>Robusta</v>
      </c>
      <c r="O221" t="str" cm="1">
        <f t="array" ref="O221">_xlfn.IFS(J221="M","Midium",J221="L","Light",J221="D","Dark")</f>
        <v>Light</v>
      </c>
      <c r="P221" t="str">
        <f>_xlfn.XLOOKUP(Orders[[#This Row],[Customer ID]],customers!A:A,customers!I:I,,0)</f>
        <v>No</v>
      </c>
      <c r="Q221" t="str">
        <f>_xlfn.XLOOKUP(C222,customers!A:A,customers!B:B,"مش موجود")</f>
        <v>Charis Crosier</v>
      </c>
    </row>
    <row r="222" spans="1:17" x14ac:dyDescent="0.25">
      <c r="A222" s="2" t="s">
        <v>1725</v>
      </c>
      <c r="B222" s="3">
        <v>44777</v>
      </c>
      <c r="C222" s="2" t="s">
        <v>1726</v>
      </c>
      <c r="D222" t="s">
        <v>6174</v>
      </c>
      <c r="E222" s="2">
        <v>5</v>
      </c>
      <c r="F222" s="2" t="str">
        <f>_xlfn.XLOOKUP(Orders[[#This Row],[Customer ID]],customers!A:A,customers!B:B)</f>
        <v>Charis Crosier</v>
      </c>
      <c r="G222" s="2" t="str" cm="1">
        <f t="array" ref="G222">IF(_xlfn.XLOOKUP(C222,customers!A221:$A$1001,customers!C221:$C$1001,,0)=0,"",_xlfn.XLOOKUP(C222,customers!A221:$A$1001,customers!C221:$C$1001,,0))</f>
        <v>ccrosier63@xrea.com</v>
      </c>
      <c r="H222" s="2" t="str" cm="1">
        <f t="array" ref="H222">_xlfn.XLOOKUP(C222,customers!A221:$A$1001,customers!G221:$G$1001,"Ireland",0)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3"/>
        <v>14.924999999999999</v>
      </c>
      <c r="N222" t="str" cm="1">
        <f t="array" ref="N222">_xlfn.IFS(I222="Rob","Robusta",I222="Exc","Excelsa",I222="Ara","Arabica",I222="Lib","Liberica")</f>
        <v>Robusta</v>
      </c>
      <c r="O222" t="str" cm="1">
        <f t="array" ref="O222">_xlfn.IFS(J222="M","Midium",J222="L","Light",J222="D","Dark")</f>
        <v>Midium</v>
      </c>
      <c r="P222" t="str">
        <f>_xlfn.XLOOKUP(Orders[[#This Row],[Customer ID]],customers!A:A,customers!I:I,,0)</f>
        <v>No</v>
      </c>
      <c r="Q222" t="str">
        <f>_xlfn.XLOOKUP(C223,customers!A:A,customers!B:B,"مش موجود")</f>
        <v>Lenka Rushmer</v>
      </c>
    </row>
    <row r="223" spans="1:17" x14ac:dyDescent="0.25">
      <c r="A223" s="2" t="s">
        <v>1736</v>
      </c>
      <c r="B223" s="3">
        <v>44513</v>
      </c>
      <c r="C223" s="2" t="s">
        <v>1737</v>
      </c>
      <c r="D223" t="s">
        <v>6140</v>
      </c>
      <c r="E223" s="2">
        <v>6</v>
      </c>
      <c r="F223" s="2" t="str">
        <f>_xlfn.XLOOKUP(Orders[[#This Row],[Customer ID]],customers!A:A,customers!B:B)</f>
        <v>Lenka Rushmer</v>
      </c>
      <c r="G223" s="2" t="str" cm="1">
        <f t="array" ref="G223">IF(_xlfn.XLOOKUP(C223,customers!A222:$A$1001,customers!C222:$C$1001,,0)=0,"",_xlfn.XLOOKUP(C223,customers!A222:$A$1001,customers!C222:$C$1001,,0))</f>
        <v>lrushmer65@europa.eu</v>
      </c>
      <c r="H223" s="2" t="str" cm="1">
        <f t="array" ref="H223">_xlfn.XLOOKUP(C223,customers!A222:$A$1001,customers!G222:$G$1001,"Ireland",0)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3"/>
        <v>77.699999999999989</v>
      </c>
      <c r="N223" t="str" cm="1">
        <f t="array" ref="N223">_xlfn.IFS(I223="Rob","Robusta",I223="Exc","Excelsa",I223="Ara","Arabica",I223="Lib","Liberica")</f>
        <v>Arabica</v>
      </c>
      <c r="O223" t="str" cm="1">
        <f t="array" ref="O223">_xlfn.IFS(J223="M","Midium",J223="L","Light",J223="D","Dark")</f>
        <v>Light</v>
      </c>
      <c r="P223" t="str">
        <f>_xlfn.XLOOKUP(Orders[[#This Row],[Customer ID]],customers!A:A,customers!I:I,,0)</f>
        <v>Yes</v>
      </c>
      <c r="Q223" t="str">
        <f>_xlfn.XLOOKUP(C224,customers!A:A,customers!B:B,"مش موجود")</f>
        <v>Waneta Edinborough</v>
      </c>
    </row>
    <row r="224" spans="1:17" x14ac:dyDescent="0.25">
      <c r="A224" s="2" t="s">
        <v>1742</v>
      </c>
      <c r="B224" s="3">
        <v>44090</v>
      </c>
      <c r="C224" s="2" t="s">
        <v>1743</v>
      </c>
      <c r="D224" t="s">
        <v>6169</v>
      </c>
      <c r="E224" s="2">
        <v>3</v>
      </c>
      <c r="F224" s="2" t="str">
        <f>_xlfn.XLOOKUP(Orders[[#This Row],[Customer ID]],customers!A:A,customers!B:B)</f>
        <v>Waneta Edinborough</v>
      </c>
      <c r="G224" s="2" t="str" cm="1">
        <f t="array" ref="G224">IF(_xlfn.XLOOKUP(C224,customers!A223:$A$1001,customers!C223:$C$1001,,0)=0,"",_xlfn.XLOOKUP(C224,customers!A223:$A$1001,customers!C223:$C$1001,,0))</f>
        <v>wedinborough66@github.io</v>
      </c>
      <c r="H224" s="2" t="str" cm="1">
        <f t="array" ref="H224">_xlfn.XLOOKUP(C224,customers!A223:$A$1001,customers!G223:$G$1001,"Ireland",0)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3"/>
        <v>23.31</v>
      </c>
      <c r="N224" t="str" cm="1">
        <f t="array" ref="N224">_xlfn.IFS(I224="Rob","Robusta",I224="Exc","Excelsa",I224="Ara","Arabica",I224="Lib","Liberica")</f>
        <v>Liberica</v>
      </c>
      <c r="O224" t="str" cm="1">
        <f t="array" ref="O224">_xlfn.IFS(J224="M","Midium",J224="L","Light",J224="D","Dark")</f>
        <v>Dark</v>
      </c>
      <c r="P224" t="str">
        <f>_xlfn.XLOOKUP(Orders[[#This Row],[Customer ID]],customers!A:A,customers!I:I,,0)</f>
        <v>No</v>
      </c>
      <c r="Q224" t="str">
        <f>_xlfn.XLOOKUP(C225,customers!A:A,customers!B:B,"مش موجود")</f>
        <v>Bobbe Piggott</v>
      </c>
    </row>
    <row r="225" spans="1:17" x14ac:dyDescent="0.25">
      <c r="A225" s="2" t="s">
        <v>1748</v>
      </c>
      <c r="B225" s="3">
        <v>44109</v>
      </c>
      <c r="C225" s="2" t="s">
        <v>1749</v>
      </c>
      <c r="D225" t="s">
        <v>6171</v>
      </c>
      <c r="E225" s="2">
        <v>4</v>
      </c>
      <c r="F225" s="2" t="str">
        <f>_xlfn.XLOOKUP(Orders[[#This Row],[Customer ID]],customers!A:A,customers!B:B)</f>
        <v>Bobbe Piggott</v>
      </c>
      <c r="G225" s="2" t="str" cm="1">
        <f t="array" ref="G225">IF(_xlfn.XLOOKUP(C225,customers!A224:$A$1001,customers!C224:$C$1001,,0)=0,"",_xlfn.XLOOKUP(C225,customers!A224:$A$1001,customers!C224:$C$1001,,0))</f>
        <v/>
      </c>
      <c r="H225" s="2" t="str" cm="1">
        <f t="array" ref="H225">_xlfn.XLOOKUP(C225,customers!A224:$A$1001,customers!G224:$G$1001,"Ireland",0)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3"/>
        <v>59.4</v>
      </c>
      <c r="N225" t="str" cm="1">
        <f t="array" ref="N225">_xlfn.IFS(I225="Rob","Robusta",I225="Exc","Excelsa",I225="Ara","Arabica",I225="Lib","Liberica")</f>
        <v>Excelsa</v>
      </c>
      <c r="O225" t="str" cm="1">
        <f t="array" ref="O225">_xlfn.IFS(J225="M","Midium",J225="L","Light",J225="D","Dark")</f>
        <v>Light</v>
      </c>
      <c r="P225" t="str">
        <f>_xlfn.XLOOKUP(Orders[[#This Row],[Customer ID]],customers!A:A,customers!I:I,,0)</f>
        <v>Yes</v>
      </c>
      <c r="Q225" t="str">
        <f>_xlfn.XLOOKUP(C226,customers!A:A,customers!B:B,"مش موجود")</f>
        <v>Ketty Bromehead</v>
      </c>
    </row>
    <row r="226" spans="1:17" x14ac:dyDescent="0.25">
      <c r="A226" s="2" t="s">
        <v>1753</v>
      </c>
      <c r="B226" s="3">
        <v>43836</v>
      </c>
      <c r="C226" s="2" t="s">
        <v>1754</v>
      </c>
      <c r="D226" t="s">
        <v>6165</v>
      </c>
      <c r="E226" s="2">
        <v>4</v>
      </c>
      <c r="F226" s="2" t="str">
        <f>_xlfn.XLOOKUP(Orders[[#This Row],[Customer ID]],customers!A:A,customers!B:B)</f>
        <v>Ketty Bromehead</v>
      </c>
      <c r="G226" s="2" t="str" cm="1">
        <f t="array" ref="G226">IF(_xlfn.XLOOKUP(C226,customers!A225:$A$1001,customers!C225:$C$1001,,0)=0,"",_xlfn.XLOOKUP(C226,customers!A225:$A$1001,customers!C225:$C$1001,,0))</f>
        <v>kbromehead68@un.org</v>
      </c>
      <c r="H226" s="2" t="str" cm="1">
        <f t="array" ref="H226">_xlfn.XLOOKUP(C226,customers!A225:$A$1001,customers!G225:$G$1001,"Ireland",0)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3"/>
        <v>119.13999999999999</v>
      </c>
      <c r="N226" t="str" cm="1">
        <f t="array" ref="N226">_xlfn.IFS(I226="Rob","Robusta",I226="Exc","Excelsa",I226="Ara","Arabica",I226="Lib","Liberica")</f>
        <v>Liberica</v>
      </c>
      <c r="O226" t="str" cm="1">
        <f t="array" ref="O226">_xlfn.IFS(J226="M","Midium",J226="L","Light",J226="D","Dark")</f>
        <v>Dark</v>
      </c>
      <c r="P226" t="str">
        <f>_xlfn.XLOOKUP(Orders[[#This Row],[Customer ID]],customers!A:A,customers!I:I,,0)</f>
        <v>Yes</v>
      </c>
      <c r="Q226" t="str">
        <f>_xlfn.XLOOKUP(C227,customers!A:A,customers!B:B,"مش موجود")</f>
        <v>Elsbeth Westerman</v>
      </c>
    </row>
    <row r="227" spans="1:17" x14ac:dyDescent="0.25">
      <c r="A227" s="2" t="s">
        <v>1759</v>
      </c>
      <c r="B227" s="3">
        <v>44337</v>
      </c>
      <c r="C227" s="2" t="s">
        <v>1760</v>
      </c>
      <c r="D227" t="s">
        <v>6178</v>
      </c>
      <c r="E227" s="2">
        <v>4</v>
      </c>
      <c r="F227" s="2" t="str">
        <f>_xlfn.XLOOKUP(Orders[[#This Row],[Customer ID]],customers!A:A,customers!B:B)</f>
        <v>Elsbeth Westerman</v>
      </c>
      <c r="G227" s="2" t="str" cm="1">
        <f t="array" ref="G227">IF(_xlfn.XLOOKUP(C227,customers!A226:$A$1001,customers!C226:$C$1001,,0)=0,"",_xlfn.XLOOKUP(C227,customers!A226:$A$1001,customers!C226:$C$1001,,0))</f>
        <v>ewesterman69@si.edu</v>
      </c>
      <c r="H227" s="2" t="str" cm="1">
        <f t="array" ref="H227">_xlfn.XLOOKUP(C227,customers!A226:$A$1001,customers!G226:$G$1001,"Ireland",0)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3"/>
        <v>14.339999999999998</v>
      </c>
      <c r="N227" t="str" cm="1">
        <f t="array" ref="N227">_xlfn.IFS(I227="Rob","Robusta",I227="Exc","Excelsa",I227="Ara","Arabica",I227="Lib","Liberica")</f>
        <v>Robusta</v>
      </c>
      <c r="O227" t="str" cm="1">
        <f t="array" ref="O227">_xlfn.IFS(J227="M","Midium",J227="L","Light",J227="D","Dark")</f>
        <v>Light</v>
      </c>
      <c r="P227" t="str">
        <f>_xlfn.XLOOKUP(Orders[[#This Row],[Customer ID]],customers!A:A,customers!I:I,,0)</f>
        <v>No</v>
      </c>
      <c r="Q227" t="str">
        <f>_xlfn.XLOOKUP(C228,customers!A:A,customers!B:B,"مش موجود")</f>
        <v>Anabelle Hutchens</v>
      </c>
    </row>
    <row r="228" spans="1:17" x14ac:dyDescent="0.25">
      <c r="A228" s="2" t="s">
        <v>1765</v>
      </c>
      <c r="B228" s="3">
        <v>43887</v>
      </c>
      <c r="C228" s="2" t="s">
        <v>1766</v>
      </c>
      <c r="D228" t="s">
        <v>6175</v>
      </c>
      <c r="E228" s="2">
        <v>5</v>
      </c>
      <c r="F228" s="2" t="str">
        <f>_xlfn.XLOOKUP(Orders[[#This Row],[Customer ID]],customers!A:A,customers!B:B)</f>
        <v>Anabelle Hutchens</v>
      </c>
      <c r="G228" s="2" t="str" cm="1">
        <f t="array" ref="G228">IF(_xlfn.XLOOKUP(C228,customers!A227:$A$1001,customers!C227:$C$1001,,0)=0,"",_xlfn.XLOOKUP(C228,customers!A227:$A$1001,customers!C227:$C$1001,,0))</f>
        <v>ahutchens6a@amazonaws.com</v>
      </c>
      <c r="H228" s="2" t="str" cm="1">
        <f t="array" ref="H228">_xlfn.XLOOKUP(C228,customers!A227:$A$1001,customers!G227:$G$1001,"Ireland",0)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3"/>
        <v>129.37499999999997</v>
      </c>
      <c r="N228" t="str" cm="1">
        <f t="array" ref="N228">_xlfn.IFS(I228="Rob","Robusta",I228="Exc","Excelsa",I228="Ara","Arabica",I228="Lib","Liberica")</f>
        <v>Arabica</v>
      </c>
      <c r="O228" t="str" cm="1">
        <f t="array" ref="O228">_xlfn.IFS(J228="M","Midium",J228="L","Light",J228="D","Dark")</f>
        <v>Midium</v>
      </c>
      <c r="P228" t="str">
        <f>_xlfn.XLOOKUP(Orders[[#This Row],[Customer ID]],customers!A:A,customers!I:I,,0)</f>
        <v>No</v>
      </c>
      <c r="Q228" t="str">
        <f>_xlfn.XLOOKUP(C229,customers!A:A,customers!B:B,"مش موجود")</f>
        <v>Noak Wyvill</v>
      </c>
    </row>
    <row r="229" spans="1:17" x14ac:dyDescent="0.25">
      <c r="A229" s="2" t="s">
        <v>1771</v>
      </c>
      <c r="B229" s="3">
        <v>43880</v>
      </c>
      <c r="C229" s="2" t="s">
        <v>1772</v>
      </c>
      <c r="D229" t="s">
        <v>6163</v>
      </c>
      <c r="E229" s="2">
        <v>6</v>
      </c>
      <c r="F229" s="2" t="str">
        <f>_xlfn.XLOOKUP(Orders[[#This Row],[Customer ID]],customers!A:A,customers!B:B)</f>
        <v>Noak Wyvill</v>
      </c>
      <c r="G229" s="2" t="str" cm="1">
        <f t="array" ref="G229">IF(_xlfn.XLOOKUP(C229,customers!A228:$A$1001,customers!C228:$C$1001,,0)=0,"",_xlfn.XLOOKUP(C229,customers!A228:$A$1001,customers!C228:$C$1001,,0))</f>
        <v>nwyvill6b@naver.com</v>
      </c>
      <c r="H229" s="2" t="str" cm="1">
        <f t="array" ref="H229">_xlfn.XLOOKUP(C229,customers!A228:$A$1001,customers!G228:$G$1001,"Ireland",0)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3"/>
        <v>16.11</v>
      </c>
      <c r="N229" t="str" cm="1">
        <f t="array" ref="N229">_xlfn.IFS(I229="Rob","Robusta",I229="Exc","Excelsa",I229="Ara","Arabica",I229="Lib","Liberica")</f>
        <v>Robusta</v>
      </c>
      <c r="O229" t="str" cm="1">
        <f t="array" ref="O229">_xlfn.IFS(J229="M","Midium",J229="L","Light",J229="D","Dark")</f>
        <v>Dark</v>
      </c>
      <c r="P229" t="str">
        <f>_xlfn.XLOOKUP(Orders[[#This Row],[Customer ID]],customers!A:A,customers!I:I,,0)</f>
        <v>Yes</v>
      </c>
      <c r="Q229" t="str">
        <f>_xlfn.XLOOKUP(C230,customers!A:A,customers!B:B,"مش موجود")</f>
        <v>Beltran Mathon</v>
      </c>
    </row>
    <row r="230" spans="1:17" x14ac:dyDescent="0.25">
      <c r="A230" s="2" t="s">
        <v>1777</v>
      </c>
      <c r="B230" s="3">
        <v>44376</v>
      </c>
      <c r="C230" s="2" t="s">
        <v>1778</v>
      </c>
      <c r="D230" t="s">
        <v>6178</v>
      </c>
      <c r="E230" s="2">
        <v>5</v>
      </c>
      <c r="F230" s="2" t="str">
        <f>_xlfn.XLOOKUP(Orders[[#This Row],[Customer ID]],customers!A:A,customers!B:B)</f>
        <v>Beltran Mathon</v>
      </c>
      <c r="G230" s="2" t="str" cm="1">
        <f t="array" ref="G230">IF(_xlfn.XLOOKUP(C230,customers!A229:$A$1001,customers!C229:$C$1001,,0)=0,"",_xlfn.XLOOKUP(C230,customers!A229:$A$1001,customers!C229:$C$1001,,0))</f>
        <v>bmathon6c@barnesandnoble.com</v>
      </c>
      <c r="H230" s="2" t="str" cm="1">
        <f t="array" ref="H230">_xlfn.XLOOKUP(C230,customers!A229:$A$1001,customers!G229:$G$1001,"Ireland",0)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3"/>
        <v>17.924999999999997</v>
      </c>
      <c r="N230" t="str" cm="1">
        <f t="array" ref="N230">_xlfn.IFS(I230="Rob","Robusta",I230="Exc","Excelsa",I230="Ara","Arabica",I230="Lib","Liberica")</f>
        <v>Robusta</v>
      </c>
      <c r="O230" t="str" cm="1">
        <f t="array" ref="O230">_xlfn.IFS(J230="M","Midium",J230="L","Light",J230="D","Dark")</f>
        <v>Light</v>
      </c>
      <c r="P230" t="str">
        <f>_xlfn.XLOOKUP(Orders[[#This Row],[Customer ID]],customers!A:A,customers!I:I,,0)</f>
        <v>No</v>
      </c>
      <c r="Q230" t="str">
        <f>_xlfn.XLOOKUP(C231,customers!A:A,customers!B:B,"مش موجود")</f>
        <v>Kristos Streight</v>
      </c>
    </row>
    <row r="231" spans="1:17" x14ac:dyDescent="0.25">
      <c r="A231" s="2" t="s">
        <v>1783</v>
      </c>
      <c r="B231" s="3">
        <v>44282</v>
      </c>
      <c r="C231" s="2" t="s">
        <v>1784</v>
      </c>
      <c r="D231" t="s">
        <v>6159</v>
      </c>
      <c r="E231" s="2">
        <v>2</v>
      </c>
      <c r="F231" s="2" t="str">
        <f>_xlfn.XLOOKUP(Orders[[#This Row],[Customer ID]],customers!A:A,customers!B:B)</f>
        <v>Kristos Streight</v>
      </c>
      <c r="G231" s="2" t="str" cm="1">
        <f t="array" ref="G231">IF(_xlfn.XLOOKUP(C231,customers!A230:$A$1001,customers!C230:$C$1001,,0)=0,"",_xlfn.XLOOKUP(C231,customers!A230:$A$1001,customers!C230:$C$1001,,0))</f>
        <v>kstreight6d@about.com</v>
      </c>
      <c r="H231" s="2" t="str" cm="1">
        <f t="array" ref="H231">_xlfn.XLOOKUP(C231,customers!A230:$A$1001,customers!G230:$G$1001,"Ireland",0)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3"/>
        <v>8.73</v>
      </c>
      <c r="N231" t="str" cm="1">
        <f t="array" ref="N231">_xlfn.IFS(I231="Rob","Robusta",I231="Exc","Excelsa",I231="Ara","Arabica",I231="Lib","Liberica")</f>
        <v>Liberica</v>
      </c>
      <c r="O231" t="str" cm="1">
        <f t="array" ref="O231">_xlfn.IFS(J231="M","Midium",J231="L","Light",J231="D","Dark")</f>
        <v>Midium</v>
      </c>
      <c r="P231" t="str">
        <f>_xlfn.XLOOKUP(Orders[[#This Row],[Customer ID]],customers!A:A,customers!I:I,,0)</f>
        <v>No</v>
      </c>
      <c r="Q231" t="str">
        <f>_xlfn.XLOOKUP(C232,customers!A:A,customers!B:B,"مش موجود")</f>
        <v>Portie Cutchie</v>
      </c>
    </row>
    <row r="232" spans="1:17" x14ac:dyDescent="0.25">
      <c r="A232" s="2" t="s">
        <v>1789</v>
      </c>
      <c r="B232" s="3">
        <v>44496</v>
      </c>
      <c r="C232" s="2" t="s">
        <v>1790</v>
      </c>
      <c r="D232" t="s">
        <v>6175</v>
      </c>
      <c r="E232" s="2">
        <v>2</v>
      </c>
      <c r="F232" s="2" t="str">
        <f>_xlfn.XLOOKUP(Orders[[#This Row],[Customer ID]],customers!A:A,customers!B:B)</f>
        <v>Portie Cutchie</v>
      </c>
      <c r="G232" s="2" t="str" cm="1">
        <f t="array" ref="G232">IF(_xlfn.XLOOKUP(C232,customers!A231:$A$1001,customers!C231:$C$1001,,0)=0,"",_xlfn.XLOOKUP(C232,customers!A231:$A$1001,customers!C231:$C$1001,,0))</f>
        <v>pcutchie6e@globo.com</v>
      </c>
      <c r="H232" s="2" t="str" cm="1">
        <f t="array" ref="H232">_xlfn.XLOOKUP(C232,customers!A231:$A$1001,customers!G231:$G$1001,"Ireland",0)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3"/>
        <v>51.749999999999993</v>
      </c>
      <c r="N232" t="str" cm="1">
        <f t="array" ref="N232">_xlfn.IFS(I232="Rob","Robusta",I232="Exc","Excelsa",I232="Ara","Arabica",I232="Lib","Liberica")</f>
        <v>Arabica</v>
      </c>
      <c r="O232" t="str" cm="1">
        <f t="array" ref="O232">_xlfn.IFS(J232="M","Midium",J232="L","Light",J232="D","Dark")</f>
        <v>Midium</v>
      </c>
      <c r="P232" t="str">
        <f>_xlfn.XLOOKUP(Orders[[#This Row],[Customer ID]],customers!A:A,customers!I:I,,0)</f>
        <v>No</v>
      </c>
      <c r="Q232" t="str">
        <f>_xlfn.XLOOKUP(C233,customers!A:A,customers!B:B,"مش موجود")</f>
        <v>Sinclare Edsell</v>
      </c>
    </row>
    <row r="233" spans="1:17" x14ac:dyDescent="0.25">
      <c r="A233" s="2" t="s">
        <v>1795</v>
      </c>
      <c r="B233" s="3">
        <v>43628</v>
      </c>
      <c r="C233" s="2" t="s">
        <v>1796</v>
      </c>
      <c r="D233" t="s">
        <v>6159</v>
      </c>
      <c r="E233" s="2">
        <v>2</v>
      </c>
      <c r="F233" s="2" t="str">
        <f>_xlfn.XLOOKUP(Orders[[#This Row],[Customer ID]],customers!A:A,customers!B:B)</f>
        <v>Sinclare Edsell</v>
      </c>
      <c r="G233" s="2" t="str" cm="1">
        <f t="array" ref="G233">IF(_xlfn.XLOOKUP(C233,customers!A232:$A$1001,customers!C232:$C$1001,,0)=0,"",_xlfn.XLOOKUP(C233,customers!A232:$A$1001,customers!C232:$C$1001,,0))</f>
        <v/>
      </c>
      <c r="H233" s="2" t="str" cm="1">
        <f t="array" ref="H233">_xlfn.XLOOKUP(C233,customers!A232:$A$1001,customers!G232:$G$1001,"Ireland",0)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3"/>
        <v>8.73</v>
      </c>
      <c r="N233" t="str" cm="1">
        <f t="array" ref="N233">_xlfn.IFS(I233="Rob","Robusta",I233="Exc","Excelsa",I233="Ara","Arabica",I233="Lib","Liberica")</f>
        <v>Liberica</v>
      </c>
      <c r="O233" t="str" cm="1">
        <f t="array" ref="O233">_xlfn.IFS(J233="M","Midium",J233="L","Light",J233="D","Dark")</f>
        <v>Midium</v>
      </c>
      <c r="P233" t="str">
        <f>_xlfn.XLOOKUP(Orders[[#This Row],[Customer ID]],customers!A:A,customers!I:I,,0)</f>
        <v>Yes</v>
      </c>
      <c r="Q233" t="str">
        <f>_xlfn.XLOOKUP(C234,customers!A:A,customers!B:B,"مش موجود")</f>
        <v>Conny Gheraldi</v>
      </c>
    </row>
    <row r="234" spans="1:17" x14ac:dyDescent="0.25">
      <c r="A234" s="2" t="s">
        <v>1800</v>
      </c>
      <c r="B234" s="3">
        <v>44010</v>
      </c>
      <c r="C234" s="2" t="s">
        <v>1801</v>
      </c>
      <c r="D234" t="s">
        <v>6145</v>
      </c>
      <c r="E234" s="2">
        <v>5</v>
      </c>
      <c r="F234" s="2" t="str">
        <f>_xlfn.XLOOKUP(Orders[[#This Row],[Customer ID]],customers!A:A,customers!B:B)</f>
        <v>Conny Gheraldi</v>
      </c>
      <c r="G234" s="2" t="str" cm="1">
        <f t="array" ref="G234">IF(_xlfn.XLOOKUP(C234,customers!A233:$A$1001,customers!C233:$C$1001,,0)=0,"",_xlfn.XLOOKUP(C234,customers!A233:$A$1001,customers!C233:$C$1001,,0))</f>
        <v>cgheraldi6g@opera.com</v>
      </c>
      <c r="H234" s="2" t="str" cm="1">
        <f t="array" ref="H234">_xlfn.XLOOKUP(C234,customers!A233:$A$1001,customers!G233:$G$1001,"Ireland",0)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3"/>
        <v>23.774999999999999</v>
      </c>
      <c r="N234" t="str" cm="1">
        <f t="array" ref="N234">_xlfn.IFS(I234="Rob","Robusta",I234="Exc","Excelsa",I234="Ara","Arabica",I234="Lib","Liberica")</f>
        <v>Liberica</v>
      </c>
      <c r="O234" t="str" cm="1">
        <f t="array" ref="O234">_xlfn.IFS(J234="M","Midium",J234="L","Light",J234="D","Dark")</f>
        <v>Light</v>
      </c>
      <c r="P234" t="str">
        <f>_xlfn.XLOOKUP(Orders[[#This Row],[Customer ID]],customers!A:A,customers!I:I,,0)</f>
        <v>No</v>
      </c>
      <c r="Q234" t="str">
        <f>_xlfn.XLOOKUP(C235,customers!A:A,customers!B:B,"مش موجود")</f>
        <v>Beryle Kenwell</v>
      </c>
    </row>
    <row r="235" spans="1:17" x14ac:dyDescent="0.25">
      <c r="A235" s="2" t="s">
        <v>1806</v>
      </c>
      <c r="B235" s="3">
        <v>44278</v>
      </c>
      <c r="C235" s="2" t="s">
        <v>1807</v>
      </c>
      <c r="D235" t="s">
        <v>6156</v>
      </c>
      <c r="E235" s="2">
        <v>5</v>
      </c>
      <c r="F235" s="2" t="str">
        <f>_xlfn.XLOOKUP(Orders[[#This Row],[Customer ID]],customers!A:A,customers!B:B)</f>
        <v>Beryle Kenwell</v>
      </c>
      <c r="G235" s="2" t="str" cm="1">
        <f t="array" ref="G235">IF(_xlfn.XLOOKUP(C235,customers!A234:$A$1001,customers!C234:$C$1001,,0)=0,"",_xlfn.XLOOKUP(C235,customers!A234:$A$1001,customers!C234:$C$1001,,0))</f>
        <v>bkenwell6h@over-blog.com</v>
      </c>
      <c r="H235" s="2" t="str" cm="1">
        <f t="array" ref="H235">_xlfn.XLOOKUP(C235,customers!A234:$A$1001,customers!G234:$G$1001,"Ireland",0)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3"/>
        <v>20.625</v>
      </c>
      <c r="N235" t="str" cm="1">
        <f t="array" ref="N235">_xlfn.IFS(I235="Rob","Robusta",I235="Exc","Excelsa",I235="Ara","Arabica",I235="Lib","Liberica")</f>
        <v>Excelsa</v>
      </c>
      <c r="O235" t="str" cm="1">
        <f t="array" ref="O235">_xlfn.IFS(J235="M","Midium",J235="L","Light",J235="D","Dark")</f>
        <v>Midium</v>
      </c>
      <c r="P235" t="str">
        <f>_xlfn.XLOOKUP(Orders[[#This Row],[Customer ID]],customers!A:A,customers!I:I,,0)</f>
        <v>No</v>
      </c>
      <c r="Q235" t="str">
        <f>_xlfn.XLOOKUP(C236,customers!A:A,customers!B:B,"مش موجود")</f>
        <v>Tomas Sutty</v>
      </c>
    </row>
    <row r="236" spans="1:17" x14ac:dyDescent="0.25">
      <c r="A236" s="2" t="s">
        <v>1812</v>
      </c>
      <c r="B236" s="3">
        <v>44602</v>
      </c>
      <c r="C236" s="2" t="s">
        <v>1813</v>
      </c>
      <c r="D236" t="s">
        <v>6164</v>
      </c>
      <c r="E236" s="2">
        <v>1</v>
      </c>
      <c r="F236" s="2" t="str">
        <f>_xlfn.XLOOKUP(Orders[[#This Row],[Customer ID]],customers!A:A,customers!B:B)</f>
        <v>Tomas Sutty</v>
      </c>
      <c r="G236" s="2" t="str" cm="1">
        <f t="array" ref="G236">IF(_xlfn.XLOOKUP(C236,customers!A235:$A$1001,customers!C235:$C$1001,,0)=0,"",_xlfn.XLOOKUP(C236,customers!A235:$A$1001,customers!C235:$C$1001,,0))</f>
        <v>tsutty6i@google.es</v>
      </c>
      <c r="H236" s="2" t="str" cm="1">
        <f t="array" ref="H236">_xlfn.XLOOKUP(C236,customers!A235:$A$1001,customers!G235:$G$1001,"Ireland",0)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3"/>
        <v>36.454999999999998</v>
      </c>
      <c r="N236" t="str" cm="1">
        <f t="array" ref="N236">_xlfn.IFS(I236="Rob","Robusta",I236="Exc","Excelsa",I236="Ara","Arabica",I236="Lib","Liberica")</f>
        <v>Liberica</v>
      </c>
      <c r="O236" t="str" cm="1">
        <f t="array" ref="O236">_xlfn.IFS(J236="M","Midium",J236="L","Light",J236="D","Dark")</f>
        <v>Light</v>
      </c>
      <c r="P236" t="str">
        <f>_xlfn.XLOOKUP(Orders[[#This Row],[Customer ID]],customers!A:A,customers!I:I,,0)</f>
        <v>No</v>
      </c>
      <c r="Q236" t="str">
        <f>_xlfn.XLOOKUP(C237,customers!A:A,customers!B:B,"مش موجود")</f>
        <v>Samuele Ales0</v>
      </c>
    </row>
    <row r="237" spans="1:17" x14ac:dyDescent="0.25">
      <c r="A237" s="2" t="s">
        <v>1818</v>
      </c>
      <c r="B237" s="3">
        <v>43571</v>
      </c>
      <c r="C237" s="2" t="s">
        <v>1819</v>
      </c>
      <c r="D237" t="s">
        <v>6164</v>
      </c>
      <c r="E237" s="2">
        <v>5</v>
      </c>
      <c r="F237" s="2" t="str">
        <f>_xlfn.XLOOKUP(Orders[[#This Row],[Customer ID]],customers!A:A,customers!B:B)</f>
        <v>Samuele Ales0</v>
      </c>
      <c r="G237" s="2" t="str" cm="1">
        <f t="array" ref="G237">IF(_xlfn.XLOOKUP(C237,customers!A236:$A$1001,customers!C236:$C$1001,,0)=0,"",_xlfn.XLOOKUP(C237,customers!A236:$A$1001,customers!C236:$C$1001,,0))</f>
        <v/>
      </c>
      <c r="H237" s="2" t="str" cm="1">
        <f t="array" ref="H237">_xlfn.XLOOKUP(C237,customers!A236:$A$1001,customers!G236:$G$1001,"Ireland",0)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3"/>
        <v>182.27499999999998</v>
      </c>
      <c r="N237" t="str" cm="1">
        <f t="array" ref="N237">_xlfn.IFS(I237="Rob","Robusta",I237="Exc","Excelsa",I237="Ara","Arabica",I237="Lib","Liberica")</f>
        <v>Liberica</v>
      </c>
      <c r="O237" t="str" cm="1">
        <f t="array" ref="O237">_xlfn.IFS(J237="M","Midium",J237="L","Light",J237="D","Dark")</f>
        <v>Light</v>
      </c>
      <c r="P237" t="str">
        <f>_xlfn.XLOOKUP(Orders[[#This Row],[Customer ID]],customers!A:A,customers!I:I,,0)</f>
        <v>No</v>
      </c>
      <c r="Q237" t="str">
        <f>_xlfn.XLOOKUP(C238,customers!A:A,customers!B:B,"مش موجود")</f>
        <v>Carlie Harce</v>
      </c>
    </row>
    <row r="238" spans="1:17" x14ac:dyDescent="0.25">
      <c r="A238" s="2" t="s">
        <v>1822</v>
      </c>
      <c r="B238" s="3">
        <v>43873</v>
      </c>
      <c r="C238" s="2" t="s">
        <v>1823</v>
      </c>
      <c r="D238" t="s">
        <v>6165</v>
      </c>
      <c r="E238" s="2">
        <v>3</v>
      </c>
      <c r="F238" s="2" t="str">
        <f>_xlfn.XLOOKUP(Orders[[#This Row],[Customer ID]],customers!A:A,customers!B:B)</f>
        <v>Carlie Harce</v>
      </c>
      <c r="G238" s="2" t="str" cm="1">
        <f t="array" ref="G238">IF(_xlfn.XLOOKUP(C238,customers!A237:$A$1001,customers!C237:$C$1001,,0)=0,"",_xlfn.XLOOKUP(C238,customers!A237:$A$1001,customers!C237:$C$1001,,0))</f>
        <v>charce6k@cafepress.com</v>
      </c>
      <c r="H238" s="2" t="str" cm="1">
        <f t="array" ref="H238">_xlfn.XLOOKUP(C238,customers!A237:$A$1001,customers!G237:$G$1001,"Ireland",0)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3"/>
        <v>89.35499999999999</v>
      </c>
      <c r="N238" t="str" cm="1">
        <f t="array" ref="N238">_xlfn.IFS(I238="Rob","Robusta",I238="Exc","Excelsa",I238="Ara","Arabica",I238="Lib","Liberica")</f>
        <v>Liberica</v>
      </c>
      <c r="O238" t="str" cm="1">
        <f t="array" ref="O238">_xlfn.IFS(J238="M","Midium",J238="L","Light",J238="D","Dark")</f>
        <v>Dark</v>
      </c>
      <c r="P238" t="str">
        <f>_xlfn.XLOOKUP(Orders[[#This Row],[Customer ID]],customers!A:A,customers!I:I,,0)</f>
        <v>No</v>
      </c>
      <c r="Q238" t="str">
        <f>_xlfn.XLOOKUP(C239,customers!A:A,customers!B:B,"مش موجود")</f>
        <v>Craggy Bril</v>
      </c>
    </row>
    <row r="239" spans="1:17" x14ac:dyDescent="0.25">
      <c r="A239" s="2" t="s">
        <v>1828</v>
      </c>
      <c r="B239" s="3">
        <v>44563</v>
      </c>
      <c r="C239" s="2" t="s">
        <v>1829</v>
      </c>
      <c r="D239" t="s">
        <v>6178</v>
      </c>
      <c r="E239" s="2">
        <v>1</v>
      </c>
      <c r="F239" s="2" t="str">
        <f>_xlfn.XLOOKUP(Orders[[#This Row],[Customer ID]],customers!A:A,customers!B:B)</f>
        <v>Craggy Bril</v>
      </c>
      <c r="G239" s="2" t="str" cm="1">
        <f t="array" ref="G239">IF(_xlfn.XLOOKUP(C239,customers!A238:$A$1001,customers!C238:$C$1001,,0)=0,"",_xlfn.XLOOKUP(C239,customers!A238:$A$1001,customers!C238:$C$1001,,0))</f>
        <v/>
      </c>
      <c r="H239" s="2" t="str" cm="1">
        <f t="array" ref="H239">_xlfn.XLOOKUP(C239,customers!A238:$A$1001,customers!G238:$G$1001,"Ireland",0)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3"/>
        <v>3.5849999999999995</v>
      </c>
      <c r="N239" t="str" cm="1">
        <f t="array" ref="N239">_xlfn.IFS(I239="Rob","Robusta",I239="Exc","Excelsa",I239="Ara","Arabica",I239="Lib","Liberica")</f>
        <v>Robusta</v>
      </c>
      <c r="O239" t="str" cm="1">
        <f t="array" ref="O239">_xlfn.IFS(J239="M","Midium",J239="L","Light",J239="D","Dark")</f>
        <v>Light</v>
      </c>
      <c r="P239" t="str">
        <f>_xlfn.XLOOKUP(Orders[[#This Row],[Customer ID]],customers!A:A,customers!I:I,,0)</f>
        <v>Yes</v>
      </c>
      <c r="Q239" t="str">
        <f>_xlfn.XLOOKUP(C240,customers!A:A,customers!B:B,"مش موجود")</f>
        <v>Friederike Drysdale</v>
      </c>
    </row>
    <row r="240" spans="1:17" x14ac:dyDescent="0.25">
      <c r="A240" s="2" t="s">
        <v>1833</v>
      </c>
      <c r="B240" s="3">
        <v>44172</v>
      </c>
      <c r="C240" s="2" t="s">
        <v>1834</v>
      </c>
      <c r="D240" t="s">
        <v>6151</v>
      </c>
      <c r="E240" s="2">
        <v>2</v>
      </c>
      <c r="F240" s="2" t="str">
        <f>_xlfn.XLOOKUP(Orders[[#This Row],[Customer ID]],customers!A:A,customers!B:B)</f>
        <v>Friederike Drysdale</v>
      </c>
      <c r="G240" s="2" t="str" cm="1">
        <f t="array" ref="G240">IF(_xlfn.XLOOKUP(C240,customers!A239:$A$1001,customers!C239:$C$1001,,0)=0,"",_xlfn.XLOOKUP(C240,customers!A239:$A$1001,customers!C239:$C$1001,,0))</f>
        <v>fdrysdale6m@symantec.com</v>
      </c>
      <c r="H240" s="2" t="str" cm="1">
        <f t="array" ref="H240">_xlfn.XLOOKUP(C240,customers!A239:$A$1001,customers!G239:$G$1001,"Ireland",0)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3"/>
        <v>45.769999999999996</v>
      </c>
      <c r="N240" t="str" cm="1">
        <f t="array" ref="N240">_xlfn.IFS(I240="Rob","Robusta",I240="Exc","Excelsa",I240="Ara","Arabica",I240="Lib","Liberica")</f>
        <v>Robusta</v>
      </c>
      <c r="O240" t="str" cm="1">
        <f t="array" ref="O240">_xlfn.IFS(J240="M","Midium",J240="L","Light",J240="D","Dark")</f>
        <v>Midium</v>
      </c>
      <c r="P240" t="str">
        <f>_xlfn.XLOOKUP(Orders[[#This Row],[Customer ID]],customers!A:A,customers!I:I,,0)</f>
        <v>Yes</v>
      </c>
      <c r="Q240" t="str">
        <f>_xlfn.XLOOKUP(C241,customers!A:A,customers!B:B,"مش موجود")</f>
        <v>Devon Magowan</v>
      </c>
    </row>
    <row r="241" spans="1:17" x14ac:dyDescent="0.25">
      <c r="A241" s="2" t="s">
        <v>1839</v>
      </c>
      <c r="B241" s="3">
        <v>43881</v>
      </c>
      <c r="C241" s="2" t="s">
        <v>1840</v>
      </c>
      <c r="D241" t="s">
        <v>6171</v>
      </c>
      <c r="E241" s="2">
        <v>4</v>
      </c>
      <c r="F241" s="2" t="str">
        <f>_xlfn.XLOOKUP(Orders[[#This Row],[Customer ID]],customers!A:A,customers!B:B)</f>
        <v>Devon Magowan</v>
      </c>
      <c r="G241" s="2" t="str" cm="1">
        <f t="array" ref="G241">IF(_xlfn.XLOOKUP(C241,customers!A240:$A$1001,customers!C240:$C$1001,,0)=0,"",_xlfn.XLOOKUP(C241,customers!A240:$A$1001,customers!C240:$C$1001,,0))</f>
        <v>dmagowan6n@fc2.com</v>
      </c>
      <c r="H241" s="2" t="str" cm="1">
        <f t="array" ref="H241">_xlfn.XLOOKUP(C241,customers!A240:$A$1001,customers!G240:$G$1001,"Ireland",0)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3"/>
        <v>59.4</v>
      </c>
      <c r="N241" t="str" cm="1">
        <f t="array" ref="N241">_xlfn.IFS(I241="Rob","Robusta",I241="Exc","Excelsa",I241="Ara","Arabica",I241="Lib","Liberica")</f>
        <v>Excelsa</v>
      </c>
      <c r="O241" t="str" cm="1">
        <f t="array" ref="O241">_xlfn.IFS(J241="M","Midium",J241="L","Light",J241="D","Dark")</f>
        <v>Light</v>
      </c>
      <c r="P241" t="str">
        <f>_xlfn.XLOOKUP(Orders[[#This Row],[Customer ID]],customers!A:A,customers!I:I,,0)</f>
        <v>No</v>
      </c>
      <c r="Q241" t="str">
        <f>_xlfn.XLOOKUP(C242,customers!A:A,customers!B:B,"مش موجود")</f>
        <v>Codi Littrell</v>
      </c>
    </row>
    <row r="242" spans="1:17" x14ac:dyDescent="0.25">
      <c r="A242" s="2" t="s">
        <v>1845</v>
      </c>
      <c r="B242" s="3">
        <v>43993</v>
      </c>
      <c r="C242" s="2" t="s">
        <v>1846</v>
      </c>
      <c r="D242" t="s">
        <v>6175</v>
      </c>
      <c r="E242" s="2">
        <v>6</v>
      </c>
      <c r="F242" s="2" t="str">
        <f>_xlfn.XLOOKUP(Orders[[#This Row],[Customer ID]],customers!A:A,customers!B:B)</f>
        <v>Codi Littrell</v>
      </c>
      <c r="G242" s="2" t="str" cm="1">
        <f t="array" ref="G242">IF(_xlfn.XLOOKUP(C242,customers!A241:$A$1001,customers!C241:$C$1001,,0)=0,"",_xlfn.XLOOKUP(C242,customers!A241:$A$1001,customers!C241:$C$1001,,0))</f>
        <v/>
      </c>
      <c r="H242" s="2" t="str" cm="1">
        <f t="array" ref="H242">_xlfn.XLOOKUP(C242,customers!A241:$A$1001,customers!G241:$G$1001,"Ireland",0)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3"/>
        <v>155.24999999999997</v>
      </c>
      <c r="N242" t="str" cm="1">
        <f t="array" ref="N242">_xlfn.IFS(I242="Rob","Robusta",I242="Exc","Excelsa",I242="Ara","Arabica",I242="Lib","Liberica")</f>
        <v>Arabica</v>
      </c>
      <c r="O242" t="str" cm="1">
        <f t="array" ref="O242">_xlfn.IFS(J242="M","Midium",J242="L","Light",J242="D","Dark")</f>
        <v>Midium</v>
      </c>
      <c r="P242" t="str">
        <f>_xlfn.XLOOKUP(Orders[[#This Row],[Customer ID]],customers!A:A,customers!I:I,,0)</f>
        <v>Yes</v>
      </c>
      <c r="Q242" t="str">
        <f>_xlfn.XLOOKUP(C243,customers!A:A,customers!B:B,"مش موجود")</f>
        <v>Christel Speak</v>
      </c>
    </row>
    <row r="243" spans="1:17" x14ac:dyDescent="0.25">
      <c r="A243" s="2" t="s">
        <v>1849</v>
      </c>
      <c r="B243" s="3">
        <v>44082</v>
      </c>
      <c r="C243" s="2" t="s">
        <v>1850</v>
      </c>
      <c r="D243" t="s">
        <v>6151</v>
      </c>
      <c r="E243" s="2">
        <v>2</v>
      </c>
      <c r="F243" s="2" t="str">
        <f>_xlfn.XLOOKUP(Orders[[#This Row],[Customer ID]],customers!A:A,customers!B:B)</f>
        <v>Christel Speak</v>
      </c>
      <c r="G243" s="2" t="str" cm="1">
        <f t="array" ref="G243">IF(_xlfn.XLOOKUP(C243,customers!A242:$A$1001,customers!C242:$C$1001,,0)=0,"",_xlfn.XLOOKUP(C243,customers!A242:$A$1001,customers!C242:$C$1001,,0))</f>
        <v/>
      </c>
      <c r="H243" s="2" t="str" cm="1">
        <f t="array" ref="H243">_xlfn.XLOOKUP(C243,customers!A242:$A$1001,customers!G242:$G$1001,"Ireland",0)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3"/>
        <v>45.769999999999996</v>
      </c>
      <c r="N243" t="str" cm="1">
        <f t="array" ref="N243">_xlfn.IFS(I243="Rob","Robusta",I243="Exc","Excelsa",I243="Ara","Arabica",I243="Lib","Liberica")</f>
        <v>Robusta</v>
      </c>
      <c r="O243" t="str" cm="1">
        <f t="array" ref="O243">_xlfn.IFS(J243="M","Midium",J243="L","Light",J243="D","Dark")</f>
        <v>Midium</v>
      </c>
      <c r="P243" t="str">
        <f>_xlfn.XLOOKUP(Orders[[#This Row],[Customer ID]],customers!A:A,customers!I:I,,0)</f>
        <v>No</v>
      </c>
      <c r="Q243" t="str">
        <f>_xlfn.XLOOKUP(C244,customers!A:A,customers!B:B,"مش موجود")</f>
        <v>Sibella Rushbrooke</v>
      </c>
    </row>
    <row r="244" spans="1:17" x14ac:dyDescent="0.25">
      <c r="A244" s="2" t="s">
        <v>1854</v>
      </c>
      <c r="B244" s="3">
        <v>43918</v>
      </c>
      <c r="C244" s="2" t="s">
        <v>1855</v>
      </c>
      <c r="D244" t="s">
        <v>6183</v>
      </c>
      <c r="E244" s="2">
        <v>3</v>
      </c>
      <c r="F244" s="2" t="str">
        <f>_xlfn.XLOOKUP(Orders[[#This Row],[Customer ID]],customers!A:A,customers!B:B)</f>
        <v>Sibella Rushbrooke</v>
      </c>
      <c r="G244" s="2" t="str" cm="1">
        <f t="array" ref="G244">IF(_xlfn.XLOOKUP(C244,customers!A243:$A$1001,customers!C243:$C$1001,,0)=0,"",_xlfn.XLOOKUP(C244,customers!A243:$A$1001,customers!C243:$C$1001,,0))</f>
        <v>srushbrooke6q@youku.com</v>
      </c>
      <c r="H244" s="2" t="str" cm="1">
        <f t="array" ref="H244">_xlfn.XLOOKUP(C244,customers!A243:$A$1001,customers!G243:$G$1001,"Ireland",0)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3"/>
        <v>36.450000000000003</v>
      </c>
      <c r="N244" t="str" cm="1">
        <f t="array" ref="N244">_xlfn.IFS(I244="Rob","Robusta",I244="Exc","Excelsa",I244="Ara","Arabica",I244="Lib","Liberica")</f>
        <v>Excelsa</v>
      </c>
      <c r="O244" t="str" cm="1">
        <f t="array" ref="O244">_xlfn.IFS(J244="M","Midium",J244="L","Light",J244="D","Dark")</f>
        <v>Dark</v>
      </c>
      <c r="P244" t="str">
        <f>_xlfn.XLOOKUP(Orders[[#This Row],[Customer ID]],customers!A:A,customers!I:I,,0)</f>
        <v>Yes</v>
      </c>
      <c r="Q244" t="str">
        <f>_xlfn.XLOOKUP(C245,customers!A:A,customers!B:B,"مش موجود")</f>
        <v>Tammie Drynan</v>
      </c>
    </row>
    <row r="245" spans="1:17" x14ac:dyDescent="0.25">
      <c r="A245" s="2" t="s">
        <v>1860</v>
      </c>
      <c r="B245" s="3">
        <v>44114</v>
      </c>
      <c r="C245" s="2" t="s">
        <v>1861</v>
      </c>
      <c r="D245" t="s">
        <v>6144</v>
      </c>
      <c r="E245" s="2">
        <v>4</v>
      </c>
      <c r="F245" s="2" t="str">
        <f>_xlfn.XLOOKUP(Orders[[#This Row],[Customer ID]],customers!A:A,customers!B:B)</f>
        <v>Tammie Drynan</v>
      </c>
      <c r="G245" s="2" t="str" cm="1">
        <f t="array" ref="G245">IF(_xlfn.XLOOKUP(C245,customers!A244:$A$1001,customers!C244:$C$1001,,0)=0,"",_xlfn.XLOOKUP(C245,customers!A244:$A$1001,customers!C244:$C$1001,,0))</f>
        <v>tdrynan6r@deviantart.com</v>
      </c>
      <c r="H245" s="2" t="str" cm="1">
        <f t="array" ref="H245">_xlfn.XLOOKUP(C245,customers!A244:$A$1001,customers!G244:$G$1001,"Ireland",0)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3"/>
        <v>29.16</v>
      </c>
      <c r="N245" t="str" cm="1">
        <f t="array" ref="N245">_xlfn.IFS(I245="Rob","Robusta",I245="Exc","Excelsa",I245="Ara","Arabica",I245="Lib","Liberica")</f>
        <v>Excelsa</v>
      </c>
      <c r="O245" t="str" cm="1">
        <f t="array" ref="O245">_xlfn.IFS(J245="M","Midium",J245="L","Light",J245="D","Dark")</f>
        <v>Dark</v>
      </c>
      <c r="P245" t="str">
        <f>_xlfn.XLOOKUP(Orders[[#This Row],[Customer ID]],customers!A:A,customers!I:I,,0)</f>
        <v>Yes</v>
      </c>
      <c r="Q245" t="str">
        <f>_xlfn.XLOOKUP(C246,customers!A:A,customers!B:B,"مش موجود")</f>
        <v>Effie Yurkov</v>
      </c>
    </row>
    <row r="246" spans="1:17" x14ac:dyDescent="0.25">
      <c r="A246" s="2" t="s">
        <v>1866</v>
      </c>
      <c r="B246" s="3">
        <v>44702</v>
      </c>
      <c r="C246" s="2" t="s">
        <v>1867</v>
      </c>
      <c r="D246" t="s">
        <v>6181</v>
      </c>
      <c r="E246" s="2">
        <v>4</v>
      </c>
      <c r="F246" s="2" t="str">
        <f>_xlfn.XLOOKUP(Orders[[#This Row],[Customer ID]],customers!A:A,customers!B:B)</f>
        <v>Effie Yurkov</v>
      </c>
      <c r="G246" s="2" t="str" cm="1">
        <f t="array" ref="G246">IF(_xlfn.XLOOKUP(C246,customers!A245:$A$1001,customers!C245:$C$1001,,0)=0,"",_xlfn.XLOOKUP(C246,customers!A245:$A$1001,customers!C245:$C$1001,,0))</f>
        <v>eyurkov6s@hud.gov</v>
      </c>
      <c r="H246" s="2" t="str" cm="1">
        <f t="array" ref="H246">_xlfn.XLOOKUP(C246,customers!A245:$A$1001,customers!G245:$G$1001,"Ireland",0)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3"/>
        <v>133.85999999999999</v>
      </c>
      <c r="N246" t="str" cm="1">
        <f t="array" ref="N246">_xlfn.IFS(I246="Rob","Robusta",I246="Exc","Excelsa",I246="Ara","Arabica",I246="Lib","Liberica")</f>
        <v>Liberica</v>
      </c>
      <c r="O246" t="str" cm="1">
        <f t="array" ref="O246">_xlfn.IFS(J246="M","Midium",J246="L","Light",J246="D","Dark")</f>
        <v>Midium</v>
      </c>
      <c r="P246" t="str">
        <f>_xlfn.XLOOKUP(Orders[[#This Row],[Customer ID]],customers!A:A,customers!I:I,,0)</f>
        <v>No</v>
      </c>
      <c r="Q246" t="str">
        <f>_xlfn.XLOOKUP(C247,customers!A:A,customers!B:B,"مش موجود")</f>
        <v>Lexie Mallan</v>
      </c>
    </row>
    <row r="247" spans="1:17" x14ac:dyDescent="0.25">
      <c r="A247" s="2" t="s">
        <v>1872</v>
      </c>
      <c r="B247" s="3">
        <v>43951</v>
      </c>
      <c r="C247" s="2" t="s">
        <v>1873</v>
      </c>
      <c r="D247" t="s">
        <v>6145</v>
      </c>
      <c r="E247" s="2">
        <v>5</v>
      </c>
      <c r="F247" s="2" t="str">
        <f>_xlfn.XLOOKUP(Orders[[#This Row],[Customer ID]],customers!A:A,customers!B:B)</f>
        <v>Lexie Mallan</v>
      </c>
      <c r="G247" s="2" t="str" cm="1">
        <f t="array" ref="G247">IF(_xlfn.XLOOKUP(C247,customers!A246:$A$1001,customers!C246:$C$1001,,0)=0,"",_xlfn.XLOOKUP(C247,customers!A246:$A$1001,customers!C246:$C$1001,,0))</f>
        <v>lmallan6t@state.gov</v>
      </c>
      <c r="H247" s="2" t="str" cm="1">
        <f t="array" ref="H247">_xlfn.XLOOKUP(C247,customers!A246:$A$1001,customers!G246:$G$1001,"Ireland",0)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3"/>
        <v>23.774999999999999</v>
      </c>
      <c r="N247" t="str" cm="1">
        <f t="array" ref="N247">_xlfn.IFS(I247="Rob","Robusta",I247="Exc","Excelsa",I247="Ara","Arabica",I247="Lib","Liberica")</f>
        <v>Liberica</v>
      </c>
      <c r="O247" t="str" cm="1">
        <f t="array" ref="O247">_xlfn.IFS(J247="M","Midium",J247="L","Light",J247="D","Dark")</f>
        <v>Light</v>
      </c>
      <c r="P247" t="str">
        <f>_xlfn.XLOOKUP(Orders[[#This Row],[Customer ID]],customers!A:A,customers!I:I,,0)</f>
        <v>Yes</v>
      </c>
      <c r="Q247" t="str">
        <f>_xlfn.XLOOKUP(C248,customers!A:A,customers!B:B,"مش موجود")</f>
        <v>Georgena Bentjens</v>
      </c>
    </row>
    <row r="248" spans="1:17" x14ac:dyDescent="0.25">
      <c r="A248" s="2" t="s">
        <v>1878</v>
      </c>
      <c r="B248" s="3">
        <v>44542</v>
      </c>
      <c r="C248" s="2" t="s">
        <v>1879</v>
      </c>
      <c r="D248" t="s">
        <v>6143</v>
      </c>
      <c r="E248" s="2">
        <v>3</v>
      </c>
      <c r="F248" s="2" t="str">
        <f>_xlfn.XLOOKUP(Orders[[#This Row],[Customer ID]],customers!A:A,customers!B:B)</f>
        <v>Georgena Bentjens</v>
      </c>
      <c r="G248" s="2" t="str" cm="1">
        <f t="array" ref="G248">IF(_xlfn.XLOOKUP(C248,customers!A247:$A$1001,customers!C247:$C$1001,,0)=0,"",_xlfn.XLOOKUP(C248,customers!A247:$A$1001,customers!C247:$C$1001,,0))</f>
        <v>gbentjens6u@netlog.com</v>
      </c>
      <c r="H248" s="2" t="str" cm="1">
        <f t="array" ref="H248">_xlfn.XLOOKUP(C248,customers!A247:$A$1001,customers!G247:$G$1001,"Ireland",0)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3"/>
        <v>38.849999999999994</v>
      </c>
      <c r="N248" t="str" cm="1">
        <f t="array" ref="N248">_xlfn.IFS(I248="Rob","Robusta",I248="Exc","Excelsa",I248="Ara","Arabica",I248="Lib","Liberica")</f>
        <v>Liberica</v>
      </c>
      <c r="O248" t="str" cm="1">
        <f t="array" ref="O248">_xlfn.IFS(J248="M","Midium",J248="L","Light",J248="D","Dark")</f>
        <v>Dark</v>
      </c>
      <c r="P248" t="str">
        <f>_xlfn.XLOOKUP(Orders[[#This Row],[Customer ID]],customers!A:A,customers!I:I,,0)</f>
        <v>No</v>
      </c>
      <c r="Q248" t="str">
        <f>_xlfn.XLOOKUP(C249,customers!A:A,customers!B:B,"مش موجود")</f>
        <v>Delmar Beasant</v>
      </c>
    </row>
    <row r="249" spans="1:17" x14ac:dyDescent="0.25">
      <c r="A249" s="2" t="s">
        <v>1884</v>
      </c>
      <c r="B249" s="3">
        <v>44131</v>
      </c>
      <c r="C249" s="2" t="s">
        <v>1885</v>
      </c>
      <c r="D249" t="s">
        <v>6178</v>
      </c>
      <c r="E249" s="2">
        <v>6</v>
      </c>
      <c r="F249" s="2" t="str">
        <f>_xlfn.XLOOKUP(Orders[[#This Row],[Customer ID]],customers!A:A,customers!B:B)</f>
        <v>Delmar Beasant</v>
      </c>
      <c r="G249" s="2" t="str" cm="1">
        <f t="array" ref="G249">IF(_xlfn.XLOOKUP(C249,customers!A248:$A$1001,customers!C248:$C$1001,,0)=0,"",_xlfn.XLOOKUP(C249,customers!A248:$A$1001,customers!C248:$C$1001,,0))</f>
        <v/>
      </c>
      <c r="H249" s="2" t="str" cm="1">
        <f t="array" ref="H249">_xlfn.XLOOKUP(C249,customers!A248:$A$1001,customers!G248:$G$1001,"Ireland",0)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3"/>
        <v>21.509999999999998</v>
      </c>
      <c r="N249" t="str" cm="1">
        <f t="array" ref="N249">_xlfn.IFS(I249="Rob","Robusta",I249="Exc","Excelsa",I249="Ara","Arabica",I249="Lib","Liberica")</f>
        <v>Robusta</v>
      </c>
      <c r="O249" t="str" cm="1">
        <f t="array" ref="O249">_xlfn.IFS(J249="M","Midium",J249="L","Light",J249="D","Dark")</f>
        <v>Light</v>
      </c>
      <c r="P249" t="str">
        <f>_xlfn.XLOOKUP(Orders[[#This Row],[Customer ID]],customers!A:A,customers!I:I,,0)</f>
        <v>Yes</v>
      </c>
      <c r="Q249" t="str">
        <f>_xlfn.XLOOKUP(C250,customers!A:A,customers!B:B,"مش موجود")</f>
        <v>Lyn Entwistle</v>
      </c>
    </row>
    <row r="250" spans="1:17" x14ac:dyDescent="0.25">
      <c r="A250" s="2" t="s">
        <v>1889</v>
      </c>
      <c r="B250" s="3">
        <v>44019</v>
      </c>
      <c r="C250" s="2" t="s">
        <v>1890</v>
      </c>
      <c r="D250" t="s">
        <v>6147</v>
      </c>
      <c r="E250" s="2">
        <v>1</v>
      </c>
      <c r="F250" s="2" t="str">
        <f>_xlfn.XLOOKUP(Orders[[#This Row],[Customer ID]],customers!A:A,customers!B:B)</f>
        <v>Lyn Entwistle</v>
      </c>
      <c r="G250" s="2" t="str" cm="1">
        <f t="array" ref="G250">IF(_xlfn.XLOOKUP(C250,customers!A249:$A$1001,customers!C249:$C$1001,,0)=0,"",_xlfn.XLOOKUP(C250,customers!A249:$A$1001,customers!C249:$C$1001,,0))</f>
        <v>lentwistle6w@omniture.com</v>
      </c>
      <c r="H250" s="2" t="str" cm="1">
        <f t="array" ref="H250">_xlfn.XLOOKUP(C250,customers!A249:$A$1001,customers!G249:$G$1001,"Ireland",0)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3"/>
        <v>9.9499999999999993</v>
      </c>
      <c r="N250" t="str" cm="1">
        <f t="array" ref="N250">_xlfn.IFS(I250="Rob","Robusta",I250="Exc","Excelsa",I250="Ara","Arabica",I250="Lib","Liberica")</f>
        <v>Arabica</v>
      </c>
      <c r="O250" t="str" cm="1">
        <f t="array" ref="O250">_xlfn.IFS(J250="M","Midium",J250="L","Light",J250="D","Dark")</f>
        <v>Dark</v>
      </c>
      <c r="P250" t="str">
        <f>_xlfn.XLOOKUP(Orders[[#This Row],[Customer ID]],customers!A:A,customers!I:I,,0)</f>
        <v>Yes</v>
      </c>
      <c r="Q250" t="str">
        <f>_xlfn.XLOOKUP(C251,customers!A:A,customers!B:B,"مش موجود")</f>
        <v>Zacharias Kiffe</v>
      </c>
    </row>
    <row r="251" spans="1:17" x14ac:dyDescent="0.25">
      <c r="A251" s="2" t="s">
        <v>1895</v>
      </c>
      <c r="B251" s="3">
        <v>43861</v>
      </c>
      <c r="C251" s="2" t="s">
        <v>1935</v>
      </c>
      <c r="D251" t="s">
        <v>6170</v>
      </c>
      <c r="E251" s="2">
        <v>1</v>
      </c>
      <c r="F251" s="2" t="str">
        <f>_xlfn.XLOOKUP(Orders[[#This Row],[Customer ID]],customers!A:A,customers!B:B)</f>
        <v>Zacharias Kiffe</v>
      </c>
      <c r="G251" s="2" t="str" cm="1">
        <f t="array" ref="G251">IF(_xlfn.XLOOKUP(C251,customers!A250:$A$1001,customers!C250:$C$1001,,0)=0,"",_xlfn.XLOOKUP(C251,customers!A250:$A$1001,customers!C250:$C$1001,,0))</f>
        <v>zkiffe74@cyberchimps.com</v>
      </c>
      <c r="H251" s="2" t="str" cm="1">
        <f t="array" ref="H251">_xlfn.XLOOKUP(C251,customers!A250:$A$1001,customers!G250:$G$1001,"Ireland",0)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3"/>
        <v>15.85</v>
      </c>
      <c r="N251" t="str" cm="1">
        <f t="array" ref="N251">_xlfn.IFS(I251="Rob","Robusta",I251="Exc","Excelsa",I251="Ara","Arabica",I251="Lib","Liberica")</f>
        <v>Liberica</v>
      </c>
      <c r="O251" t="str" cm="1">
        <f t="array" ref="O251">_xlfn.IFS(J251="M","Midium",J251="L","Light",J251="D","Dark")</f>
        <v>Light</v>
      </c>
      <c r="P251" t="str">
        <f>_xlfn.XLOOKUP(Orders[[#This Row],[Customer ID]],customers!A:A,customers!I:I,,0)</f>
        <v>Yes</v>
      </c>
      <c r="Q251" t="str">
        <f>_xlfn.XLOOKUP(C252,customers!A:A,customers!B:B,"مش موجود")</f>
        <v>Mercedes Acott</v>
      </c>
    </row>
    <row r="252" spans="1:17" x14ac:dyDescent="0.25">
      <c r="A252" s="2" t="s">
        <v>1900</v>
      </c>
      <c r="B252" s="3">
        <v>43879</v>
      </c>
      <c r="C252" s="2" t="s">
        <v>1901</v>
      </c>
      <c r="D252" t="s">
        <v>6174</v>
      </c>
      <c r="E252" s="2">
        <v>1</v>
      </c>
      <c r="F252" s="2" t="str">
        <f>_xlfn.XLOOKUP(Orders[[#This Row],[Customer ID]],customers!A:A,customers!B:B)</f>
        <v>Mercedes Acott</v>
      </c>
      <c r="G252" s="2" t="str" cm="1">
        <f t="array" ref="G252">IF(_xlfn.XLOOKUP(C252,customers!A251:$A$1001,customers!C251:$C$1001,,0)=0,"",_xlfn.XLOOKUP(C252,customers!A251:$A$1001,customers!C251:$C$1001,,0))</f>
        <v>macott6y@pagesperso-orange.fr</v>
      </c>
      <c r="H252" s="2" t="str" cm="1">
        <f t="array" ref="H252">_xlfn.XLOOKUP(C252,customers!A251:$A$1001,customers!G251:$G$1001,"Ireland",0)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3"/>
        <v>2.9849999999999999</v>
      </c>
      <c r="N252" t="str" cm="1">
        <f t="array" ref="N252">_xlfn.IFS(I252="Rob","Robusta",I252="Exc","Excelsa",I252="Ara","Arabica",I252="Lib","Liberica")</f>
        <v>Robusta</v>
      </c>
      <c r="O252" t="str" cm="1">
        <f t="array" ref="O252">_xlfn.IFS(J252="M","Midium",J252="L","Light",J252="D","Dark")</f>
        <v>Midium</v>
      </c>
      <c r="P252" t="str">
        <f>_xlfn.XLOOKUP(Orders[[#This Row],[Customer ID]],customers!A:A,customers!I:I,,0)</f>
        <v>Yes</v>
      </c>
      <c r="Q252" t="str">
        <f>_xlfn.XLOOKUP(C253,customers!A:A,customers!B:B,"مش موجود")</f>
        <v>Connor Heaviside</v>
      </c>
    </row>
    <row r="253" spans="1:17" x14ac:dyDescent="0.25">
      <c r="A253" s="2" t="s">
        <v>1906</v>
      </c>
      <c r="B253" s="3">
        <v>44360</v>
      </c>
      <c r="C253" s="2" t="s">
        <v>1907</v>
      </c>
      <c r="D253" t="s">
        <v>6141</v>
      </c>
      <c r="E253" s="2">
        <v>5</v>
      </c>
      <c r="F253" s="2" t="str">
        <f>_xlfn.XLOOKUP(Orders[[#This Row],[Customer ID]],customers!A:A,customers!B:B)</f>
        <v>Connor Heaviside</v>
      </c>
      <c r="G253" s="2" t="str" cm="1">
        <f t="array" ref="G253">IF(_xlfn.XLOOKUP(C253,customers!A252:$A$1001,customers!C252:$C$1001,,0)=0,"",_xlfn.XLOOKUP(C253,customers!A252:$A$1001,customers!C252:$C$1001,,0))</f>
        <v>cheaviside6z@rediff.com</v>
      </c>
      <c r="H253" s="2" t="str" cm="1">
        <f t="array" ref="H253">_xlfn.XLOOKUP(C253,customers!A252:$A$1001,customers!G252:$G$1001,"Ireland",0)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3"/>
        <v>68.75</v>
      </c>
      <c r="N253" t="str" cm="1">
        <f t="array" ref="N253">_xlfn.IFS(I253="Rob","Robusta",I253="Exc","Excelsa",I253="Ara","Arabica",I253="Lib","Liberica")</f>
        <v>Excelsa</v>
      </c>
      <c r="O253" t="str" cm="1">
        <f t="array" ref="O253">_xlfn.IFS(J253="M","Midium",J253="L","Light",J253="D","Dark")</f>
        <v>Midium</v>
      </c>
      <c r="P253" t="str">
        <f>_xlfn.XLOOKUP(Orders[[#This Row],[Customer ID]],customers!A:A,customers!I:I,,0)</f>
        <v>Yes</v>
      </c>
      <c r="Q253" t="str">
        <f>_xlfn.XLOOKUP(C254,customers!A:A,customers!B:B,"مش موجود")</f>
        <v>Devy Bulbrook</v>
      </c>
    </row>
    <row r="254" spans="1:17" x14ac:dyDescent="0.25">
      <c r="A254" s="2" t="s">
        <v>1912</v>
      </c>
      <c r="B254" s="3">
        <v>44779</v>
      </c>
      <c r="C254" s="2" t="s">
        <v>1913</v>
      </c>
      <c r="D254" t="s">
        <v>6147</v>
      </c>
      <c r="E254" s="2">
        <v>3</v>
      </c>
      <c r="F254" s="2" t="str">
        <f>_xlfn.XLOOKUP(Orders[[#This Row],[Customer ID]],customers!A:A,customers!B:B)</f>
        <v>Devy Bulbrook</v>
      </c>
      <c r="G254" s="2" t="str" cm="1">
        <f t="array" ref="G254">IF(_xlfn.XLOOKUP(C254,customers!A253:$A$1001,customers!C253:$C$1001,,0)=0,"",_xlfn.XLOOKUP(C254,customers!A253:$A$1001,customers!C253:$C$1001,,0))</f>
        <v/>
      </c>
      <c r="H254" s="2" t="str" cm="1">
        <f t="array" ref="H254">_xlfn.XLOOKUP(C254,customers!A253:$A$1001,customers!G253:$G$1001,"Ireland",0)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3"/>
        <v>29.849999999999998</v>
      </c>
      <c r="N254" t="str" cm="1">
        <f t="array" ref="N254">_xlfn.IFS(I254="Rob","Robusta",I254="Exc","Excelsa",I254="Ara","Arabica",I254="Lib","Liberica")</f>
        <v>Arabica</v>
      </c>
      <c r="O254" t="str" cm="1">
        <f t="array" ref="O254">_xlfn.IFS(J254="M","Midium",J254="L","Light",J254="D","Dark")</f>
        <v>Dark</v>
      </c>
      <c r="P254" t="str">
        <f>_xlfn.XLOOKUP(Orders[[#This Row],[Customer ID]],customers!A:A,customers!I:I,,0)</f>
        <v>No</v>
      </c>
      <c r="Q254" t="str">
        <f>_xlfn.XLOOKUP(C255,customers!A:A,customers!B:B,"مش موجود")</f>
        <v>Leia Kernan</v>
      </c>
    </row>
    <row r="255" spans="1:17" x14ac:dyDescent="0.25">
      <c r="A255" s="2" t="s">
        <v>1917</v>
      </c>
      <c r="B255" s="3">
        <v>44523</v>
      </c>
      <c r="C255" s="2" t="s">
        <v>1918</v>
      </c>
      <c r="D255" t="s">
        <v>6162</v>
      </c>
      <c r="E255" s="2">
        <v>4</v>
      </c>
      <c r="F255" s="2" t="str">
        <f>_xlfn.XLOOKUP(Orders[[#This Row],[Customer ID]],customers!A:A,customers!B:B)</f>
        <v>Leia Kernan</v>
      </c>
      <c r="G255" s="2" t="str" cm="1">
        <f t="array" ref="G255">IF(_xlfn.XLOOKUP(C255,customers!A254:$A$1001,customers!C254:$C$1001,,0)=0,"",_xlfn.XLOOKUP(C255,customers!A254:$A$1001,customers!C254:$C$1001,,0))</f>
        <v>lkernan71@wsj.com</v>
      </c>
      <c r="H255" s="2" t="str" cm="1">
        <f t="array" ref="H255">_xlfn.XLOOKUP(C255,customers!A254:$A$1001,customers!G254:$G$1001,"Ireland",0)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3"/>
        <v>58.2</v>
      </c>
      <c r="N255" t="str" cm="1">
        <f t="array" ref="N255">_xlfn.IFS(I255="Rob","Robusta",I255="Exc","Excelsa",I255="Ara","Arabica",I255="Lib","Liberica")</f>
        <v>Liberica</v>
      </c>
      <c r="O255" t="str" cm="1">
        <f t="array" ref="O255">_xlfn.IFS(J255="M","Midium",J255="L","Light",J255="D","Dark")</f>
        <v>Midium</v>
      </c>
      <c r="P255" t="str">
        <f>_xlfn.XLOOKUP(Orders[[#This Row],[Customer ID]],customers!A:A,customers!I:I,,0)</f>
        <v>No</v>
      </c>
      <c r="Q255" t="str">
        <f>_xlfn.XLOOKUP(C256,customers!A:A,customers!B:B,"مش موجود")</f>
        <v>Rosaline McLae</v>
      </c>
    </row>
    <row r="256" spans="1:17" x14ac:dyDescent="0.25">
      <c r="A256" s="2" t="s">
        <v>1923</v>
      </c>
      <c r="B256" s="3">
        <v>44482</v>
      </c>
      <c r="C256" s="2" t="s">
        <v>1924</v>
      </c>
      <c r="D256" t="s">
        <v>6173</v>
      </c>
      <c r="E256" s="2">
        <v>4</v>
      </c>
      <c r="F256" s="2" t="str">
        <f>_xlfn.XLOOKUP(Orders[[#This Row],[Customer ID]],customers!A:A,customers!B:B)</f>
        <v>Rosaline McLae</v>
      </c>
      <c r="G256" s="2" t="str" cm="1">
        <f t="array" ref="G256">IF(_xlfn.XLOOKUP(C256,customers!A255:$A$1001,customers!C255:$C$1001,,0)=0,"",_xlfn.XLOOKUP(C256,customers!A255:$A$1001,customers!C255:$C$1001,,0))</f>
        <v>rmclae72@dailymotion.com</v>
      </c>
      <c r="H256" s="2" t="str" cm="1">
        <f t="array" ref="H256">_xlfn.XLOOKUP(C256,customers!A255:$A$1001,customers!G255:$G$1001,"Ireland",0)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3"/>
        <v>28.679999999999996</v>
      </c>
      <c r="N256" t="str" cm="1">
        <f t="array" ref="N256">_xlfn.IFS(I256="Rob","Robusta",I256="Exc","Excelsa",I256="Ara","Arabica",I256="Lib","Liberica")</f>
        <v>Robusta</v>
      </c>
      <c r="O256" t="str" cm="1">
        <f t="array" ref="O256">_xlfn.IFS(J256="M","Midium",J256="L","Light",J256="D","Dark")</f>
        <v>Light</v>
      </c>
      <c r="P256" t="str">
        <f>_xlfn.XLOOKUP(Orders[[#This Row],[Customer ID]],customers!A:A,customers!I:I,,0)</f>
        <v>No</v>
      </c>
      <c r="Q256" t="str">
        <f>_xlfn.XLOOKUP(C257,customers!A:A,customers!B:B,"مش موجود")</f>
        <v>Cleve Blowfelde</v>
      </c>
    </row>
    <row r="257" spans="1:17" x14ac:dyDescent="0.25">
      <c r="A257" s="2" t="s">
        <v>1928</v>
      </c>
      <c r="B257" s="3">
        <v>44439</v>
      </c>
      <c r="C257" s="2" t="s">
        <v>1929</v>
      </c>
      <c r="D257" t="s">
        <v>6173</v>
      </c>
      <c r="E257" s="2">
        <v>3</v>
      </c>
      <c r="F257" s="2" t="str">
        <f>_xlfn.XLOOKUP(Orders[[#This Row],[Customer ID]],customers!A:A,customers!B:B)</f>
        <v>Cleve Blowfelde</v>
      </c>
      <c r="G257" s="2" t="str" cm="1">
        <f t="array" ref="G257">IF(_xlfn.XLOOKUP(C257,customers!A256:$A$1001,customers!C256:$C$1001,,0)=0,"",_xlfn.XLOOKUP(C257,customers!A256:$A$1001,customers!C256:$C$1001,,0))</f>
        <v>cblowfelde73@ustream.tv</v>
      </c>
      <c r="H257" s="2" t="str" cm="1">
        <f t="array" ref="H257">_xlfn.XLOOKUP(C257,customers!A256:$A$1001,customers!G256:$G$1001,"Ireland",0)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3"/>
        <v>21.509999999999998</v>
      </c>
      <c r="N257" t="str" cm="1">
        <f t="array" ref="N257">_xlfn.IFS(I257="Rob","Robusta",I257="Exc","Excelsa",I257="Ara","Arabica",I257="Lib","Liberica")</f>
        <v>Robusta</v>
      </c>
      <c r="O257" t="str" cm="1">
        <f t="array" ref="O257">_xlfn.IFS(J257="M","Midium",J257="L","Light",J257="D","Dark")</f>
        <v>Light</v>
      </c>
      <c r="P257" t="str">
        <f>_xlfn.XLOOKUP(Orders[[#This Row],[Customer ID]],customers!A:A,customers!I:I,,0)</f>
        <v>No</v>
      </c>
      <c r="Q257" t="str">
        <f>_xlfn.XLOOKUP(C258,customers!A:A,customers!B:B,"مش موجود")</f>
        <v>Zacharias Kiffe</v>
      </c>
    </row>
    <row r="258" spans="1:17" x14ac:dyDescent="0.25">
      <c r="A258" s="2" t="s">
        <v>1934</v>
      </c>
      <c r="B258" s="3">
        <v>43846</v>
      </c>
      <c r="C258" s="2" t="s">
        <v>1935</v>
      </c>
      <c r="D258" t="s">
        <v>6160</v>
      </c>
      <c r="E258" s="2">
        <v>2</v>
      </c>
      <c r="F258" s="2" t="str">
        <f>_xlfn.XLOOKUP(Orders[[#This Row],[Customer ID]],customers!A:A,customers!B:B)</f>
        <v>Zacharias Kiffe</v>
      </c>
      <c r="G258" s="2" t="str" cm="1">
        <f t="array" ref="G258">IF(_xlfn.XLOOKUP(C258,customers!A257:$A$1001,customers!C257:$C$1001,,0)=0,"",_xlfn.XLOOKUP(C258,customers!A257:$A$1001,customers!C257:$C$1001,,0))</f>
        <v>zkiffe74@cyberchimps.com</v>
      </c>
      <c r="H258" s="2" t="str" cm="1">
        <f t="array" ref="H258">_xlfn.XLOOKUP(C258,customers!A257:$A$1001,customers!G257:$G$1001,"Ireland",0)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3"/>
        <v>17.46</v>
      </c>
      <c r="N258" t="str" cm="1">
        <f t="array" ref="N258">_xlfn.IFS(I258="Rob","Robusta",I258="Exc","Excelsa",I258="Ara","Arabica",I258="Lib","Liberica")</f>
        <v>Liberica</v>
      </c>
      <c r="O258" t="str" cm="1">
        <f t="array" ref="O258">_xlfn.IFS(J258="M","Midium",J258="L","Light",J258="D","Dark")</f>
        <v>Midium</v>
      </c>
      <c r="P258" t="str">
        <f>_xlfn.XLOOKUP(Orders[[#This Row],[Customer ID]],customers!A:A,customers!I:I,,0)</f>
        <v>Yes</v>
      </c>
      <c r="Q258" t="str">
        <f>_xlfn.XLOOKUP(C259,customers!A:A,customers!B:B,"مش موجود")</f>
        <v>Denyse O'Calleran</v>
      </c>
    </row>
    <row r="259" spans="1:17" x14ac:dyDescent="0.25">
      <c r="A259" s="2" t="s">
        <v>1940</v>
      </c>
      <c r="B259" s="3">
        <v>44676</v>
      </c>
      <c r="C259" s="2" t="s">
        <v>1941</v>
      </c>
      <c r="D259" t="s">
        <v>6185</v>
      </c>
      <c r="E259" s="2">
        <v>1</v>
      </c>
      <c r="F259" s="2" t="str">
        <f>_xlfn.XLOOKUP(Orders[[#This Row],[Customer ID]],customers!A:A,customers!B:B)</f>
        <v>Denyse O'Calleran</v>
      </c>
      <c r="G259" s="2" t="str" cm="1">
        <f t="array" ref="G259">IF(_xlfn.XLOOKUP(C259,customers!A258:$A$1001,customers!C258:$C$1001,,0)=0,"",_xlfn.XLOOKUP(C259,customers!A258:$A$1001,customers!C258:$C$1001,,0))</f>
        <v>docalleran75@ucla.edu</v>
      </c>
      <c r="H259" s="2" t="str" cm="1">
        <f t="array" ref="H259">_xlfn.XLOOKUP(C259,customers!A258:$A$1001,customers!G258:$G$1001,"Ireland",0)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4">L259*E259</f>
        <v>27.945</v>
      </c>
      <c r="N259" t="str" cm="1">
        <f t="array" ref="N259">_xlfn.IFS(I259="Rob","Robusta",I259="Exc","Excelsa",I259="Ara","Arabica",I259="Lib","Liberica")</f>
        <v>Excelsa</v>
      </c>
      <c r="O259" t="str" cm="1">
        <f t="array" ref="O259">_xlfn.IFS(J259="M","Midium",J259="L","Light",J259="D","Dark")</f>
        <v>Dark</v>
      </c>
      <c r="P259" t="str">
        <f>_xlfn.XLOOKUP(Orders[[#This Row],[Customer ID]],customers!A:A,customers!I:I,,0)</f>
        <v>Yes</v>
      </c>
      <c r="Q259" t="str">
        <f>_xlfn.XLOOKUP(C260,customers!A:A,customers!B:B,"مش موجود")</f>
        <v>Cobby Cromwell</v>
      </c>
    </row>
    <row r="260" spans="1:17" x14ac:dyDescent="0.25">
      <c r="A260" s="2" t="s">
        <v>1946</v>
      </c>
      <c r="B260" s="3">
        <v>44513</v>
      </c>
      <c r="C260" s="2" t="s">
        <v>1947</v>
      </c>
      <c r="D260" t="s">
        <v>6185</v>
      </c>
      <c r="E260" s="2">
        <v>5</v>
      </c>
      <c r="F260" s="2" t="str">
        <f>_xlfn.XLOOKUP(Orders[[#This Row],[Customer ID]],customers!A:A,customers!B:B)</f>
        <v>Cobby Cromwell</v>
      </c>
      <c r="G260" s="2" t="str" cm="1">
        <f t="array" ref="G260">IF(_xlfn.XLOOKUP(C260,customers!A259:$A$1001,customers!C259:$C$1001,,0)=0,"",_xlfn.XLOOKUP(C260,customers!A259:$A$1001,customers!C259:$C$1001,,0))</f>
        <v>ccromwell76@desdev.cn</v>
      </c>
      <c r="H260" s="2" t="str" cm="1">
        <f t="array" ref="H260">_xlfn.XLOOKUP(C260,customers!A259:$A$1001,customers!G259:$G$1001,"Ireland",0)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4"/>
        <v>139.72499999999999</v>
      </c>
      <c r="N260" t="str" cm="1">
        <f t="array" ref="N260">_xlfn.IFS(I260="Rob","Robusta",I260="Exc","Excelsa",I260="Ara","Arabica",I260="Lib","Liberica")</f>
        <v>Excelsa</v>
      </c>
      <c r="O260" t="str" cm="1">
        <f t="array" ref="O260">_xlfn.IFS(J260="M","Midium",J260="L","Light",J260="D","Dark")</f>
        <v>Dark</v>
      </c>
      <c r="P260" t="str">
        <f>_xlfn.XLOOKUP(Orders[[#This Row],[Customer ID]],customers!A:A,customers!I:I,,0)</f>
        <v>No</v>
      </c>
      <c r="Q260" t="str">
        <f>_xlfn.XLOOKUP(C261,customers!A:A,customers!B:B,"مش موجود")</f>
        <v>Irv Hay</v>
      </c>
    </row>
    <row r="261" spans="1:17" x14ac:dyDescent="0.25">
      <c r="A261" s="2" t="s">
        <v>1952</v>
      </c>
      <c r="B261" s="3">
        <v>44355</v>
      </c>
      <c r="C261" s="2" t="s">
        <v>1953</v>
      </c>
      <c r="D261" t="s">
        <v>6174</v>
      </c>
      <c r="E261" s="2">
        <v>2</v>
      </c>
      <c r="F261" s="2" t="str">
        <f>_xlfn.XLOOKUP(Orders[[#This Row],[Customer ID]],customers!A:A,customers!B:B)</f>
        <v>Irv Hay</v>
      </c>
      <c r="G261" s="2" t="str" cm="1">
        <f t="array" ref="G261">IF(_xlfn.XLOOKUP(C261,customers!A260:$A$1001,customers!C260:$C$1001,,0)=0,"",_xlfn.XLOOKUP(C261,customers!A260:$A$1001,customers!C260:$C$1001,,0))</f>
        <v>ihay77@lulu.com</v>
      </c>
      <c r="H261" s="2" t="str" cm="1">
        <f t="array" ref="H261">_xlfn.XLOOKUP(C261,customers!A260:$A$1001,customers!G260:$G$1001,"Ireland",0)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4"/>
        <v>5.97</v>
      </c>
      <c r="N261" t="str" cm="1">
        <f t="array" ref="N261">_xlfn.IFS(I261="Rob","Robusta",I261="Exc","Excelsa",I261="Ara","Arabica",I261="Lib","Liberica")</f>
        <v>Robusta</v>
      </c>
      <c r="O261" t="str" cm="1">
        <f t="array" ref="O261">_xlfn.IFS(J261="M","Midium",J261="L","Light",J261="D","Dark")</f>
        <v>Midium</v>
      </c>
      <c r="P261" t="str">
        <f>_xlfn.XLOOKUP(Orders[[#This Row],[Customer ID]],customers!A:A,customers!I:I,,0)</f>
        <v>No</v>
      </c>
      <c r="Q261" t="str">
        <f>_xlfn.XLOOKUP(C262,customers!A:A,customers!B:B,"مش موجود")</f>
        <v>Tani Taffarello</v>
      </c>
    </row>
    <row r="262" spans="1:17" x14ac:dyDescent="0.25">
      <c r="A262" s="2" t="s">
        <v>1958</v>
      </c>
      <c r="B262" s="3">
        <v>44156</v>
      </c>
      <c r="C262" s="2" t="s">
        <v>1959</v>
      </c>
      <c r="D262" t="s">
        <v>6142</v>
      </c>
      <c r="E262" s="2">
        <v>1</v>
      </c>
      <c r="F262" s="2" t="str">
        <f>_xlfn.XLOOKUP(Orders[[#This Row],[Customer ID]],customers!A:A,customers!B:B)</f>
        <v>Tani Taffarello</v>
      </c>
      <c r="G262" s="2" t="str" cm="1">
        <f t="array" ref="G262">IF(_xlfn.XLOOKUP(C262,customers!A261:$A$1001,customers!C261:$C$1001,,0)=0,"",_xlfn.XLOOKUP(C262,customers!A261:$A$1001,customers!C261:$C$1001,,0))</f>
        <v>ttaffarello78@sciencedaily.com</v>
      </c>
      <c r="H262" s="2" t="str" cm="1">
        <f t="array" ref="H262">_xlfn.XLOOKUP(C262,customers!A261:$A$1001,customers!G261:$G$1001,"Ireland",0)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4"/>
        <v>27.484999999999996</v>
      </c>
      <c r="N262" t="str" cm="1">
        <f t="array" ref="N262">_xlfn.IFS(I262="Rob","Robusta",I262="Exc","Excelsa",I262="Ara","Arabica",I262="Lib","Liberica")</f>
        <v>Robusta</v>
      </c>
      <c r="O262" t="str" cm="1">
        <f t="array" ref="O262">_xlfn.IFS(J262="M","Midium",J262="L","Light",J262="D","Dark")</f>
        <v>Light</v>
      </c>
      <c r="P262" t="str">
        <f>_xlfn.XLOOKUP(Orders[[#This Row],[Customer ID]],customers!A:A,customers!I:I,,0)</f>
        <v>Yes</v>
      </c>
      <c r="Q262" t="str">
        <f>_xlfn.XLOOKUP(C263,customers!A:A,customers!B:B,"مش موجود")</f>
        <v>Monique Canty</v>
      </c>
    </row>
    <row r="263" spans="1:17" x14ac:dyDescent="0.25">
      <c r="A263" s="2" t="s">
        <v>1963</v>
      </c>
      <c r="B263" s="3">
        <v>43538</v>
      </c>
      <c r="C263" s="2" t="s">
        <v>1964</v>
      </c>
      <c r="D263" t="s">
        <v>6179</v>
      </c>
      <c r="E263" s="2">
        <v>5</v>
      </c>
      <c r="F263" s="2" t="str">
        <f>_xlfn.XLOOKUP(Orders[[#This Row],[Customer ID]],customers!A:A,customers!B:B)</f>
        <v>Monique Canty</v>
      </c>
      <c r="G263" s="2" t="str" cm="1">
        <f t="array" ref="G263">IF(_xlfn.XLOOKUP(C263,customers!A262:$A$1001,customers!C262:$C$1001,,0)=0,"",_xlfn.XLOOKUP(C263,customers!A262:$A$1001,customers!C262:$C$1001,,0))</f>
        <v>mcanty79@jigsy.com</v>
      </c>
      <c r="H263" s="2" t="str" cm="1">
        <f t="array" ref="H263">_xlfn.XLOOKUP(C263,customers!A262:$A$1001,customers!G262:$G$1001,"Ireland",0)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4"/>
        <v>59.75</v>
      </c>
      <c r="N263" t="str" cm="1">
        <f t="array" ref="N263">_xlfn.IFS(I263="Rob","Robusta",I263="Exc","Excelsa",I263="Ara","Arabica",I263="Lib","Liberica")</f>
        <v>Robusta</v>
      </c>
      <c r="O263" t="str" cm="1">
        <f t="array" ref="O263">_xlfn.IFS(J263="M","Midium",J263="L","Light",J263="D","Dark")</f>
        <v>Light</v>
      </c>
      <c r="P263" t="str">
        <f>_xlfn.XLOOKUP(Orders[[#This Row],[Customer ID]],customers!A:A,customers!I:I,,0)</f>
        <v>Yes</v>
      </c>
      <c r="Q263" t="str">
        <f>_xlfn.XLOOKUP(C264,customers!A:A,customers!B:B,"مش موجود")</f>
        <v>Javier Kopke</v>
      </c>
    </row>
    <row r="264" spans="1:17" x14ac:dyDescent="0.25">
      <c r="A264" s="2" t="s">
        <v>1969</v>
      </c>
      <c r="B264" s="3">
        <v>43693</v>
      </c>
      <c r="C264" s="2" t="s">
        <v>1970</v>
      </c>
      <c r="D264" t="s">
        <v>6141</v>
      </c>
      <c r="E264" s="2">
        <v>3</v>
      </c>
      <c r="F264" s="2" t="str">
        <f>_xlfn.XLOOKUP(Orders[[#This Row],[Customer ID]],customers!A:A,customers!B:B)</f>
        <v>Javier Kopke</v>
      </c>
      <c r="G264" s="2" t="str" cm="1">
        <f t="array" ref="G264">IF(_xlfn.XLOOKUP(C264,customers!A263:$A$1001,customers!C263:$C$1001,,0)=0,"",_xlfn.XLOOKUP(C264,customers!A263:$A$1001,customers!C263:$C$1001,,0))</f>
        <v>jkopke7a@auda.org.au</v>
      </c>
      <c r="H264" s="2" t="str" cm="1">
        <f t="array" ref="H264">_xlfn.XLOOKUP(C264,customers!A263:$A$1001,customers!G263:$G$1001,"Ireland",0)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4"/>
        <v>41.25</v>
      </c>
      <c r="N264" t="str" cm="1">
        <f t="array" ref="N264">_xlfn.IFS(I264="Rob","Robusta",I264="Exc","Excelsa",I264="Ara","Arabica",I264="Lib","Liberica")</f>
        <v>Excelsa</v>
      </c>
      <c r="O264" t="str" cm="1">
        <f t="array" ref="O264">_xlfn.IFS(J264="M","Midium",J264="L","Light",J264="D","Dark")</f>
        <v>Midium</v>
      </c>
      <c r="P264" t="str">
        <f>_xlfn.XLOOKUP(Orders[[#This Row],[Customer ID]],customers!A:A,customers!I:I,,0)</f>
        <v>No</v>
      </c>
      <c r="Q264" t="str">
        <f>_xlfn.XLOOKUP(C265,customers!A:A,customers!B:B,"مش موجود")</f>
        <v>Mar McIver</v>
      </c>
    </row>
    <row r="265" spans="1:17" x14ac:dyDescent="0.25">
      <c r="A265" s="2" t="s">
        <v>1975</v>
      </c>
      <c r="B265" s="3">
        <v>43577</v>
      </c>
      <c r="C265" s="2" t="s">
        <v>1976</v>
      </c>
      <c r="D265" t="s">
        <v>6181</v>
      </c>
      <c r="E265" s="2">
        <v>4</v>
      </c>
      <c r="F265" s="2" t="str">
        <f>_xlfn.XLOOKUP(Orders[[#This Row],[Customer ID]],customers!A:A,customers!B:B)</f>
        <v>Mar McIver</v>
      </c>
      <c r="G265" s="2" t="str" cm="1">
        <f t="array" ref="G265">IF(_xlfn.XLOOKUP(C265,customers!A264:$A$1001,customers!C264:$C$1001,,0)=0,"",_xlfn.XLOOKUP(C265,customers!A264:$A$1001,customers!C264:$C$1001,,0))</f>
        <v/>
      </c>
      <c r="H265" s="2" t="str" cm="1">
        <f t="array" ref="H265">_xlfn.XLOOKUP(C265,customers!A264:$A$1001,customers!G264:$G$1001,"Ireland",0)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4"/>
        <v>133.85999999999999</v>
      </c>
      <c r="N265" t="str" cm="1">
        <f t="array" ref="N265">_xlfn.IFS(I265="Rob","Robusta",I265="Exc","Excelsa",I265="Ara","Arabica",I265="Lib","Liberica")</f>
        <v>Liberica</v>
      </c>
      <c r="O265" t="str" cm="1">
        <f t="array" ref="O265">_xlfn.IFS(J265="M","Midium",J265="L","Light",J265="D","Dark")</f>
        <v>Midium</v>
      </c>
      <c r="P265" t="str">
        <f>_xlfn.XLOOKUP(Orders[[#This Row],[Customer ID]],customers!A:A,customers!I:I,,0)</f>
        <v>No</v>
      </c>
      <c r="Q265" t="str">
        <f>_xlfn.XLOOKUP(C266,customers!A:A,customers!B:B,"مش موجود")</f>
        <v>Arabella Fransewich</v>
      </c>
    </row>
    <row r="266" spans="1:17" x14ac:dyDescent="0.25">
      <c r="A266" s="2" t="s">
        <v>1980</v>
      </c>
      <c r="B266" s="3">
        <v>44683</v>
      </c>
      <c r="C266" s="2" t="s">
        <v>1981</v>
      </c>
      <c r="D266" t="s">
        <v>6179</v>
      </c>
      <c r="E266" s="2">
        <v>5</v>
      </c>
      <c r="F266" s="2" t="str">
        <f>_xlfn.XLOOKUP(Orders[[#This Row],[Customer ID]],customers!A:A,customers!B:B)</f>
        <v>Arabella Fransewich</v>
      </c>
      <c r="G266" s="2" t="str" cm="1">
        <f t="array" ref="G266">IF(_xlfn.XLOOKUP(C266,customers!A265:$A$1001,customers!C265:$C$1001,,0)=0,"",_xlfn.XLOOKUP(C266,customers!A265:$A$1001,customers!C265:$C$1001,,0))</f>
        <v/>
      </c>
      <c r="H266" s="2" t="str" cm="1">
        <f t="array" ref="H266">_xlfn.XLOOKUP(C266,customers!A265:$A$1001,customers!G265:$G$1001,"Ireland",0)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4"/>
        <v>59.75</v>
      </c>
      <c r="N266" t="str" cm="1">
        <f t="array" ref="N266">_xlfn.IFS(I266="Rob","Robusta",I266="Exc","Excelsa",I266="Ara","Arabica",I266="Lib","Liberica")</f>
        <v>Robusta</v>
      </c>
      <c r="O266" t="str" cm="1">
        <f t="array" ref="O266">_xlfn.IFS(J266="M","Midium",J266="L","Light",J266="D","Dark")</f>
        <v>Light</v>
      </c>
      <c r="P266" t="str">
        <f>_xlfn.XLOOKUP(Orders[[#This Row],[Customer ID]],customers!A:A,customers!I:I,,0)</f>
        <v>Yes</v>
      </c>
      <c r="Q266" t="str">
        <f>_xlfn.XLOOKUP(C267,customers!A:A,customers!B:B,"مش موجود")</f>
        <v>Violette Hellmore</v>
      </c>
    </row>
    <row r="267" spans="1:17" x14ac:dyDescent="0.25">
      <c r="A267" s="2" t="s">
        <v>1986</v>
      </c>
      <c r="B267" s="3">
        <v>43872</v>
      </c>
      <c r="C267" s="2" t="s">
        <v>1987</v>
      </c>
      <c r="D267" t="s">
        <v>6158</v>
      </c>
      <c r="E267" s="2">
        <v>1</v>
      </c>
      <c r="F267" s="2" t="str">
        <f>_xlfn.XLOOKUP(Orders[[#This Row],[Customer ID]],customers!A:A,customers!B:B)</f>
        <v>Violette Hellmore</v>
      </c>
      <c r="G267" s="2" t="str" cm="1">
        <f t="array" ref="G267">IF(_xlfn.XLOOKUP(C267,customers!A266:$A$1001,customers!C266:$C$1001,,0)=0,"",_xlfn.XLOOKUP(C267,customers!A266:$A$1001,customers!C266:$C$1001,,0))</f>
        <v>vhellmore7d@bbc.co.uk</v>
      </c>
      <c r="H267" s="2" t="str" cm="1">
        <f t="array" ref="H267">_xlfn.XLOOKUP(C267,customers!A266:$A$1001,customers!G266:$G$1001,"Ireland",0)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4"/>
        <v>5.97</v>
      </c>
      <c r="N267" t="str" cm="1">
        <f t="array" ref="N267">_xlfn.IFS(I267="Rob","Robusta",I267="Exc","Excelsa",I267="Ara","Arabica",I267="Lib","Liberica")</f>
        <v>Arabica</v>
      </c>
      <c r="O267" t="str" cm="1">
        <f t="array" ref="O267">_xlfn.IFS(J267="M","Midium",J267="L","Light",J267="D","Dark")</f>
        <v>Dark</v>
      </c>
      <c r="P267" t="str">
        <f>_xlfn.XLOOKUP(Orders[[#This Row],[Customer ID]],customers!A:A,customers!I:I,,0)</f>
        <v>Yes</v>
      </c>
      <c r="Q267" t="str">
        <f>_xlfn.XLOOKUP(C268,customers!A:A,customers!B:B,"مش موجود")</f>
        <v>Myles Seawright</v>
      </c>
    </row>
    <row r="268" spans="1:17" x14ac:dyDescent="0.25">
      <c r="A268" s="2" t="s">
        <v>1992</v>
      </c>
      <c r="B268" s="3">
        <v>44283</v>
      </c>
      <c r="C268" s="2" t="s">
        <v>1993</v>
      </c>
      <c r="D268" t="s">
        <v>6183</v>
      </c>
      <c r="E268" s="2">
        <v>2</v>
      </c>
      <c r="F268" s="2" t="str">
        <f>_xlfn.XLOOKUP(Orders[[#This Row],[Customer ID]],customers!A:A,customers!B:B)</f>
        <v>Myles Seawright</v>
      </c>
      <c r="G268" s="2" t="str" cm="1">
        <f t="array" ref="G268">IF(_xlfn.XLOOKUP(C268,customers!A267:$A$1001,customers!C267:$C$1001,,0)=0,"",_xlfn.XLOOKUP(C268,customers!A267:$A$1001,customers!C267:$C$1001,,0))</f>
        <v>mseawright7e@nbcnews.com</v>
      </c>
      <c r="H268" s="2" t="str" cm="1">
        <f t="array" ref="H268">_xlfn.XLOOKUP(C268,customers!A267:$A$1001,customers!G267:$G$1001,"Ireland",0)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4"/>
        <v>24.3</v>
      </c>
      <c r="N268" t="str" cm="1">
        <f t="array" ref="N268">_xlfn.IFS(I268="Rob","Robusta",I268="Exc","Excelsa",I268="Ara","Arabica",I268="Lib","Liberica")</f>
        <v>Excelsa</v>
      </c>
      <c r="O268" t="str" cm="1">
        <f t="array" ref="O268">_xlfn.IFS(J268="M","Midium",J268="L","Light",J268="D","Dark")</f>
        <v>Dark</v>
      </c>
      <c r="P268" t="str">
        <f>_xlfn.XLOOKUP(Orders[[#This Row],[Customer ID]],customers!A:A,customers!I:I,,0)</f>
        <v>No</v>
      </c>
      <c r="Q268" t="str">
        <f>_xlfn.XLOOKUP(C269,customers!A:A,customers!B:B,"مش موجود")</f>
        <v>Silvana Northeast</v>
      </c>
    </row>
    <row r="269" spans="1:17" x14ac:dyDescent="0.25">
      <c r="A269" s="2" t="s">
        <v>1998</v>
      </c>
      <c r="B269" s="3">
        <v>44324</v>
      </c>
      <c r="C269" s="2" t="s">
        <v>1999</v>
      </c>
      <c r="D269" t="s">
        <v>6153</v>
      </c>
      <c r="E269" s="2">
        <v>6</v>
      </c>
      <c r="F269" s="2" t="str">
        <f>_xlfn.XLOOKUP(Orders[[#This Row],[Customer ID]],customers!A:A,customers!B:B)</f>
        <v>Silvana Northeast</v>
      </c>
      <c r="G269" s="2" t="str" cm="1">
        <f t="array" ref="G269">IF(_xlfn.XLOOKUP(C269,customers!A268:$A$1001,customers!C268:$C$1001,,0)=0,"",_xlfn.XLOOKUP(C269,customers!A268:$A$1001,customers!C268:$C$1001,,0))</f>
        <v>snortheast7f@mashable.com</v>
      </c>
      <c r="H269" s="2" t="str" cm="1">
        <f t="array" ref="H269">_xlfn.XLOOKUP(C269,customers!A268:$A$1001,customers!G268:$G$1001,"Ireland",0)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4"/>
        <v>21.87</v>
      </c>
      <c r="N269" t="str" cm="1">
        <f t="array" ref="N269">_xlfn.IFS(I269="Rob","Robusta",I269="Exc","Excelsa",I269="Ara","Arabica",I269="Lib","Liberica")</f>
        <v>Excelsa</v>
      </c>
      <c r="O269" t="str" cm="1">
        <f t="array" ref="O269">_xlfn.IFS(J269="M","Midium",J269="L","Light",J269="D","Dark")</f>
        <v>Dark</v>
      </c>
      <c r="P269" t="str">
        <f>_xlfn.XLOOKUP(Orders[[#This Row],[Customer ID]],customers!A:A,customers!I:I,,0)</f>
        <v>Yes</v>
      </c>
      <c r="Q269" t="str">
        <f>_xlfn.XLOOKUP(C270,customers!A:A,customers!B:B,"مش موجود")</f>
        <v>Anselma Attwater</v>
      </c>
    </row>
    <row r="270" spans="1:17" x14ac:dyDescent="0.25">
      <c r="A270" s="2" t="s">
        <v>2004</v>
      </c>
      <c r="B270" s="3">
        <v>43790</v>
      </c>
      <c r="C270" s="2" t="s">
        <v>1672</v>
      </c>
      <c r="D270" t="s">
        <v>6147</v>
      </c>
      <c r="E270" s="2">
        <v>2</v>
      </c>
      <c r="F270" s="2" t="str">
        <f>_xlfn.XLOOKUP(Orders[[#This Row],[Customer ID]],customers!A:A,customers!B:B)</f>
        <v>Anselma Attwater</v>
      </c>
      <c r="G270" s="2" t="e" cm="1">
        <f t="array" ref="G270">IF(_xlfn.XLOOKUP(C270,customers!A269:$A$1001,customers!C269:$C$1001,,0)=0,"",_xlfn.XLOOKUP(C270,customers!A269:$A$1001,customers!C269:$C$1001,,0))</f>
        <v>#N/A</v>
      </c>
      <c r="H270" s="2" t="str" cm="1">
        <f t="array" ref="H270">_xlfn.XLOOKUP(C270,customers!A269:$A$1001,customers!G269:$G$1001,"Ireland",0)</f>
        <v>Ireland</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4"/>
        <v>19.899999999999999</v>
      </c>
      <c r="N270" t="str" cm="1">
        <f t="array" ref="N270">_xlfn.IFS(I270="Rob","Robusta",I270="Exc","Excelsa",I270="Ara","Arabica",I270="Lib","Liberica")</f>
        <v>Arabica</v>
      </c>
      <c r="O270" t="str" cm="1">
        <f t="array" ref="O270">_xlfn.IFS(J270="M","Midium",J270="L","Light",J270="D","Dark")</f>
        <v>Dark</v>
      </c>
      <c r="P270" t="str">
        <f>_xlfn.XLOOKUP(Orders[[#This Row],[Customer ID]],customers!A:A,customers!I:I,,0)</f>
        <v>Yes</v>
      </c>
      <c r="Q270" t="str">
        <f>_xlfn.XLOOKUP(C271,customers!A:A,customers!B:B,"مش موجود")</f>
        <v>Monica Fearon</v>
      </c>
    </row>
    <row r="271" spans="1:17" x14ac:dyDescent="0.25">
      <c r="A271" s="2" t="s">
        <v>2009</v>
      </c>
      <c r="B271" s="3">
        <v>44333</v>
      </c>
      <c r="C271" s="2" t="s">
        <v>2010</v>
      </c>
      <c r="D271" t="s">
        <v>6154</v>
      </c>
      <c r="E271" s="2">
        <v>2</v>
      </c>
      <c r="F271" s="2" t="str">
        <f>_xlfn.XLOOKUP(Orders[[#This Row],[Customer ID]],customers!A:A,customers!B:B)</f>
        <v>Monica Fearon</v>
      </c>
      <c r="G271" s="2" t="str" cm="1">
        <f t="array" ref="G271">IF(_xlfn.XLOOKUP(C271,customers!A270:$A$1001,customers!C270:$C$1001,,0)=0,"",_xlfn.XLOOKUP(C271,customers!A270:$A$1001,customers!C270:$C$1001,,0))</f>
        <v>mfearon7h@reverbnation.com</v>
      </c>
      <c r="H271" s="2" t="str" cm="1">
        <f t="array" ref="H271">_xlfn.XLOOKUP(C271,customers!A270:$A$1001,customers!G270:$G$1001,"Ireland",0)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4"/>
        <v>5.97</v>
      </c>
      <c r="N271" t="str" cm="1">
        <f t="array" ref="N271">_xlfn.IFS(I271="Rob","Robusta",I271="Exc","Excelsa",I271="Ara","Arabica",I271="Lib","Liberica")</f>
        <v>Arabica</v>
      </c>
      <c r="O271" t="str" cm="1">
        <f t="array" ref="O271">_xlfn.IFS(J271="M","Midium",J271="L","Light",J271="D","Dark")</f>
        <v>Dark</v>
      </c>
      <c r="P271" t="str">
        <f>_xlfn.XLOOKUP(Orders[[#This Row],[Customer ID]],customers!A:A,customers!I:I,,0)</f>
        <v>No</v>
      </c>
      <c r="Q271" t="str">
        <f>_xlfn.XLOOKUP(C272,customers!A:A,customers!B:B,"مش موجود")</f>
        <v>Barney Chisnell</v>
      </c>
    </row>
    <row r="272" spans="1:17" x14ac:dyDescent="0.25">
      <c r="A272" s="2" t="s">
        <v>2015</v>
      </c>
      <c r="B272" s="3">
        <v>43655</v>
      </c>
      <c r="C272" s="2" t="s">
        <v>2016</v>
      </c>
      <c r="D272" t="s">
        <v>6144</v>
      </c>
      <c r="E272" s="2">
        <v>1</v>
      </c>
      <c r="F272" s="2" t="str">
        <f>_xlfn.XLOOKUP(Orders[[#This Row],[Customer ID]],customers!A:A,customers!B:B)</f>
        <v>Barney Chisnell</v>
      </c>
      <c r="G272" s="2" t="str" cm="1">
        <f t="array" ref="G272">IF(_xlfn.XLOOKUP(C272,customers!A271:$A$1001,customers!C271:$C$1001,,0)=0,"",_xlfn.XLOOKUP(C272,customers!A271:$A$1001,customers!C271:$C$1001,,0))</f>
        <v/>
      </c>
      <c r="H272" s="2" t="str" cm="1">
        <f t="array" ref="H272">_xlfn.XLOOKUP(C272,customers!A271:$A$1001,customers!G271:$G$1001,"Ireland",0)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4"/>
        <v>7.29</v>
      </c>
      <c r="N272" t="str" cm="1">
        <f t="array" ref="N272">_xlfn.IFS(I272="Rob","Robusta",I272="Exc","Excelsa",I272="Ara","Arabica",I272="Lib","Liberica")</f>
        <v>Excelsa</v>
      </c>
      <c r="O272" t="str" cm="1">
        <f t="array" ref="O272">_xlfn.IFS(J272="M","Midium",J272="L","Light",J272="D","Dark")</f>
        <v>Dark</v>
      </c>
      <c r="P272" t="str">
        <f>_xlfn.XLOOKUP(Orders[[#This Row],[Customer ID]],customers!A:A,customers!I:I,,0)</f>
        <v>Yes</v>
      </c>
      <c r="Q272" t="str">
        <f>_xlfn.XLOOKUP(C273,customers!A:A,customers!B:B,"مش موجود")</f>
        <v>Jasper Sisneros</v>
      </c>
    </row>
    <row r="273" spans="1:17" x14ac:dyDescent="0.25">
      <c r="A273" s="2" t="s">
        <v>2019</v>
      </c>
      <c r="B273" s="3">
        <v>43971</v>
      </c>
      <c r="C273" s="2" t="s">
        <v>2020</v>
      </c>
      <c r="D273" t="s">
        <v>6154</v>
      </c>
      <c r="E273" s="2">
        <v>4</v>
      </c>
      <c r="F273" s="2" t="str">
        <f>_xlfn.XLOOKUP(Orders[[#This Row],[Customer ID]],customers!A:A,customers!B:B)</f>
        <v>Jasper Sisneros</v>
      </c>
      <c r="G273" s="2" t="str" cm="1">
        <f t="array" ref="G273">IF(_xlfn.XLOOKUP(C273,customers!A272:$A$1001,customers!C272:$C$1001,,0)=0,"",_xlfn.XLOOKUP(C273,customers!A272:$A$1001,customers!C272:$C$1001,,0))</f>
        <v>jsisneros7j@a8.net</v>
      </c>
      <c r="H273" s="2" t="str" cm="1">
        <f t="array" ref="H273">_xlfn.XLOOKUP(C273,customers!A272:$A$1001,customers!G272:$G$1001,"Ireland",0)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4"/>
        <v>11.94</v>
      </c>
      <c r="N273" t="str" cm="1">
        <f t="array" ref="N273">_xlfn.IFS(I273="Rob","Robusta",I273="Exc","Excelsa",I273="Ara","Arabica",I273="Lib","Liberica")</f>
        <v>Arabica</v>
      </c>
      <c r="O273" t="str" cm="1">
        <f t="array" ref="O273">_xlfn.IFS(J273="M","Midium",J273="L","Light",J273="D","Dark")</f>
        <v>Dark</v>
      </c>
      <c r="P273" t="str">
        <f>_xlfn.XLOOKUP(Orders[[#This Row],[Customer ID]],customers!A:A,customers!I:I,,0)</f>
        <v>Yes</v>
      </c>
      <c r="Q273" t="str">
        <f>_xlfn.XLOOKUP(C274,customers!A:A,customers!B:B,"مش موجود")</f>
        <v>Zachariah Carlson</v>
      </c>
    </row>
    <row r="274" spans="1:17" x14ac:dyDescent="0.25">
      <c r="A274" s="2" t="s">
        <v>2025</v>
      </c>
      <c r="B274" s="3">
        <v>44435</v>
      </c>
      <c r="C274" s="2" t="s">
        <v>2026</v>
      </c>
      <c r="D274" t="s">
        <v>6179</v>
      </c>
      <c r="E274" s="2">
        <v>6</v>
      </c>
      <c r="F274" s="2" t="str">
        <f>_xlfn.XLOOKUP(Orders[[#This Row],[Customer ID]],customers!A:A,customers!B:B)</f>
        <v>Zachariah Carlson</v>
      </c>
      <c r="G274" s="2" t="str" cm="1">
        <f t="array" ref="G274">IF(_xlfn.XLOOKUP(C274,customers!A273:$A$1001,customers!C273:$C$1001,,0)=0,"",_xlfn.XLOOKUP(C274,customers!A273:$A$1001,customers!C273:$C$1001,,0))</f>
        <v>zcarlson7k@bigcartel.com</v>
      </c>
      <c r="H274" s="2" t="str" cm="1">
        <f t="array" ref="H274">_xlfn.XLOOKUP(C274,customers!A273:$A$1001,customers!G273:$G$1001,"Ireland",0)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4"/>
        <v>71.699999999999989</v>
      </c>
      <c r="N274" t="str" cm="1">
        <f t="array" ref="N274">_xlfn.IFS(I274="Rob","Robusta",I274="Exc","Excelsa",I274="Ara","Arabica",I274="Lib","Liberica")</f>
        <v>Robusta</v>
      </c>
      <c r="O274" t="str" cm="1">
        <f t="array" ref="O274">_xlfn.IFS(J274="M","Midium",J274="L","Light",J274="D","Dark")</f>
        <v>Light</v>
      </c>
      <c r="P274" t="str">
        <f>_xlfn.XLOOKUP(Orders[[#This Row],[Customer ID]],customers!A:A,customers!I:I,,0)</f>
        <v>Yes</v>
      </c>
      <c r="Q274" t="str">
        <f>_xlfn.XLOOKUP(C275,customers!A:A,customers!B:B,"مش موجود")</f>
        <v>Warner Maddox</v>
      </c>
    </row>
    <row r="275" spans="1:17" x14ac:dyDescent="0.25">
      <c r="A275" s="2" t="s">
        <v>2032</v>
      </c>
      <c r="B275" s="3">
        <v>44681</v>
      </c>
      <c r="C275" s="2" t="s">
        <v>2033</v>
      </c>
      <c r="D275" t="s">
        <v>6167</v>
      </c>
      <c r="E275" s="2">
        <v>2</v>
      </c>
      <c r="F275" s="2" t="str">
        <f>_xlfn.XLOOKUP(Orders[[#This Row],[Customer ID]],customers!A:A,customers!B:B)</f>
        <v>Warner Maddox</v>
      </c>
      <c r="G275" s="2" t="str" cm="1">
        <f t="array" ref="G275">IF(_xlfn.XLOOKUP(C275,customers!A274:$A$1001,customers!C274:$C$1001,,0)=0,"",_xlfn.XLOOKUP(C275,customers!A274:$A$1001,customers!C274:$C$1001,,0))</f>
        <v>wmaddox7l@timesonline.co.uk</v>
      </c>
      <c r="H275" s="2" t="str" cm="1">
        <f t="array" ref="H275">_xlfn.XLOOKUP(C275,customers!A274:$A$1001,customers!G274:$G$1001,"Ireland",0)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4"/>
        <v>7.77</v>
      </c>
      <c r="N275" t="str" cm="1">
        <f t="array" ref="N275">_xlfn.IFS(I275="Rob","Robusta",I275="Exc","Excelsa",I275="Ara","Arabica",I275="Lib","Liberica")</f>
        <v>Arabica</v>
      </c>
      <c r="O275" t="str" cm="1">
        <f t="array" ref="O275">_xlfn.IFS(J275="M","Midium",J275="L","Light",J275="D","Dark")</f>
        <v>Light</v>
      </c>
      <c r="P275" t="str">
        <f>_xlfn.XLOOKUP(Orders[[#This Row],[Customer ID]],customers!A:A,customers!I:I,,0)</f>
        <v>No</v>
      </c>
      <c r="Q275" t="str">
        <f>_xlfn.XLOOKUP(C276,customers!A:A,customers!B:B,"مش موجود")</f>
        <v>Donnie Hedlestone</v>
      </c>
    </row>
    <row r="276" spans="1:17" x14ac:dyDescent="0.25">
      <c r="A276" s="2" t="s">
        <v>2038</v>
      </c>
      <c r="B276" s="3">
        <v>43985</v>
      </c>
      <c r="C276" s="2" t="s">
        <v>2039</v>
      </c>
      <c r="D276" t="s">
        <v>6175</v>
      </c>
      <c r="E276" s="2">
        <v>1</v>
      </c>
      <c r="F276" s="2" t="str">
        <f>_xlfn.XLOOKUP(Orders[[#This Row],[Customer ID]],customers!A:A,customers!B:B)</f>
        <v>Donnie Hedlestone</v>
      </c>
      <c r="G276" s="2" t="str" cm="1">
        <f t="array" ref="G276">IF(_xlfn.XLOOKUP(C276,customers!A275:$A$1001,customers!C275:$C$1001,,0)=0,"",_xlfn.XLOOKUP(C276,customers!A275:$A$1001,customers!C275:$C$1001,,0))</f>
        <v>dhedlestone7m@craigslist.org</v>
      </c>
      <c r="H276" s="2" t="str" cm="1">
        <f t="array" ref="H276">_xlfn.XLOOKUP(C276,customers!A275:$A$1001,customers!G275:$G$1001,"Ireland",0)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4"/>
        <v>25.874999999999996</v>
      </c>
      <c r="N276" t="str" cm="1">
        <f t="array" ref="N276">_xlfn.IFS(I276="Rob","Robusta",I276="Exc","Excelsa",I276="Ara","Arabica",I276="Lib","Liberica")</f>
        <v>Arabica</v>
      </c>
      <c r="O276" t="str" cm="1">
        <f t="array" ref="O276">_xlfn.IFS(J276="M","Midium",J276="L","Light",J276="D","Dark")</f>
        <v>Midium</v>
      </c>
      <c r="P276" t="str">
        <f>_xlfn.XLOOKUP(Orders[[#This Row],[Customer ID]],customers!A:A,customers!I:I,,0)</f>
        <v>No</v>
      </c>
      <c r="Q276" t="str">
        <f>_xlfn.XLOOKUP(C277,customers!A:A,customers!B:B,"مش موجود")</f>
        <v>Teddi Crowthe</v>
      </c>
    </row>
    <row r="277" spans="1:17" x14ac:dyDescent="0.25">
      <c r="A277" s="2" t="s">
        <v>2044</v>
      </c>
      <c r="B277" s="3">
        <v>44725</v>
      </c>
      <c r="C277" s="2" t="s">
        <v>2045</v>
      </c>
      <c r="D277" t="s">
        <v>6148</v>
      </c>
      <c r="E277" s="2">
        <v>6</v>
      </c>
      <c r="F277" s="2" t="str">
        <f>_xlfn.XLOOKUP(Orders[[#This Row],[Customer ID]],customers!A:A,customers!B:B)</f>
        <v>Teddi Crowthe</v>
      </c>
      <c r="G277" s="2" t="str" cm="1">
        <f t="array" ref="G277">IF(_xlfn.XLOOKUP(C277,customers!A276:$A$1001,customers!C276:$C$1001,,0)=0,"",_xlfn.XLOOKUP(C277,customers!A276:$A$1001,customers!C276:$C$1001,,0))</f>
        <v>tcrowthe7n@europa.eu</v>
      </c>
      <c r="H277" s="2" t="str" cm="1">
        <f t="array" ref="H277">_xlfn.XLOOKUP(C277,customers!A276:$A$1001,customers!G276:$G$1001,"Ireland",0)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4"/>
        <v>204.92999999999995</v>
      </c>
      <c r="N277" t="str" cm="1">
        <f t="array" ref="N277">_xlfn.IFS(I277="Rob","Robusta",I277="Exc","Excelsa",I277="Ara","Arabica",I277="Lib","Liberica")</f>
        <v>Excelsa</v>
      </c>
      <c r="O277" t="str" cm="1">
        <f t="array" ref="O277">_xlfn.IFS(J277="M","Midium",J277="L","Light",J277="D","Dark")</f>
        <v>Light</v>
      </c>
      <c r="P277" t="str">
        <f>_xlfn.XLOOKUP(Orders[[#This Row],[Customer ID]],customers!A:A,customers!I:I,,0)</f>
        <v>No</v>
      </c>
      <c r="Q277" t="str">
        <f>_xlfn.XLOOKUP(C278,customers!A:A,customers!B:B,"مش موجود")</f>
        <v>Dorelia Bury</v>
      </c>
    </row>
    <row r="278" spans="1:17" x14ac:dyDescent="0.25">
      <c r="A278" s="2" t="s">
        <v>2050</v>
      </c>
      <c r="B278" s="3">
        <v>43992</v>
      </c>
      <c r="C278" s="2" t="s">
        <v>2051</v>
      </c>
      <c r="D278" t="s">
        <v>6142</v>
      </c>
      <c r="E278" s="2">
        <v>4</v>
      </c>
      <c r="F278" s="2" t="str">
        <f>_xlfn.XLOOKUP(Orders[[#This Row],[Customer ID]],customers!A:A,customers!B:B)</f>
        <v>Dorelia Bury</v>
      </c>
      <c r="G278" s="2" t="str" cm="1">
        <f t="array" ref="G278">IF(_xlfn.XLOOKUP(C278,customers!A277:$A$1001,customers!C277:$C$1001,,0)=0,"",_xlfn.XLOOKUP(C278,customers!A277:$A$1001,customers!C277:$C$1001,,0))</f>
        <v>dbury7o@tinyurl.com</v>
      </c>
      <c r="H278" s="2" t="str" cm="1">
        <f t="array" ref="H278">_xlfn.XLOOKUP(C278,customers!A277:$A$1001,customers!G277:$G$1001,"Ireland",0)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4"/>
        <v>109.93999999999998</v>
      </c>
      <c r="N278" t="str" cm="1">
        <f t="array" ref="N278">_xlfn.IFS(I278="Rob","Robusta",I278="Exc","Excelsa",I278="Ara","Arabica",I278="Lib","Liberica")</f>
        <v>Robusta</v>
      </c>
      <c r="O278" t="str" cm="1">
        <f t="array" ref="O278">_xlfn.IFS(J278="M","Midium",J278="L","Light",J278="D","Dark")</f>
        <v>Light</v>
      </c>
      <c r="P278" t="str">
        <f>_xlfn.XLOOKUP(Orders[[#This Row],[Customer ID]],customers!A:A,customers!I:I,,0)</f>
        <v>Yes</v>
      </c>
      <c r="Q278" t="str">
        <f>_xlfn.XLOOKUP(C279,customers!A:A,customers!B:B,"مش موجود")</f>
        <v>Gussy Broadbear</v>
      </c>
    </row>
    <row r="279" spans="1:17" x14ac:dyDescent="0.25">
      <c r="A279" s="2" t="s">
        <v>2056</v>
      </c>
      <c r="B279" s="3">
        <v>44183</v>
      </c>
      <c r="C279" s="2" t="s">
        <v>2057</v>
      </c>
      <c r="D279" t="s">
        <v>6171</v>
      </c>
      <c r="E279" s="2">
        <v>6</v>
      </c>
      <c r="F279" s="2" t="str">
        <f>_xlfn.XLOOKUP(Orders[[#This Row],[Customer ID]],customers!A:A,customers!B:B)</f>
        <v>Gussy Broadbear</v>
      </c>
      <c r="G279" s="2" t="str" cm="1">
        <f t="array" ref="G279">IF(_xlfn.XLOOKUP(C279,customers!A278:$A$1001,customers!C278:$C$1001,,0)=0,"",_xlfn.XLOOKUP(C279,customers!A278:$A$1001,customers!C278:$C$1001,,0))</f>
        <v>gbroadbear7p@omniture.com</v>
      </c>
      <c r="H279" s="2" t="str" cm="1">
        <f t="array" ref="H279">_xlfn.XLOOKUP(C279,customers!A278:$A$1001,customers!G278:$G$1001,"Ireland",0)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4"/>
        <v>89.1</v>
      </c>
      <c r="N279" t="str" cm="1">
        <f t="array" ref="N279">_xlfn.IFS(I279="Rob","Robusta",I279="Exc","Excelsa",I279="Ara","Arabica",I279="Lib","Liberica")</f>
        <v>Excelsa</v>
      </c>
      <c r="O279" t="str" cm="1">
        <f t="array" ref="O279">_xlfn.IFS(J279="M","Midium",J279="L","Light",J279="D","Dark")</f>
        <v>Light</v>
      </c>
      <c r="P279" t="str">
        <f>_xlfn.XLOOKUP(Orders[[#This Row],[Customer ID]],customers!A:A,customers!I:I,,0)</f>
        <v>No</v>
      </c>
      <c r="Q279" t="str">
        <f>_xlfn.XLOOKUP(C280,customers!A:A,customers!B:B,"مش موجود")</f>
        <v>Emlynne Palfrey</v>
      </c>
    </row>
    <row r="280" spans="1:17" x14ac:dyDescent="0.25">
      <c r="A280" s="2" t="s">
        <v>2062</v>
      </c>
      <c r="B280" s="3">
        <v>43708</v>
      </c>
      <c r="C280" s="2" t="s">
        <v>2063</v>
      </c>
      <c r="D280" t="s">
        <v>6167</v>
      </c>
      <c r="E280" s="2">
        <v>2</v>
      </c>
      <c r="F280" s="2" t="str">
        <f>_xlfn.XLOOKUP(Orders[[#This Row],[Customer ID]],customers!A:A,customers!B:B)</f>
        <v>Emlynne Palfrey</v>
      </c>
      <c r="G280" s="2" t="str" cm="1">
        <f t="array" ref="G280">IF(_xlfn.XLOOKUP(C280,customers!A279:$A$1001,customers!C279:$C$1001,,0)=0,"",_xlfn.XLOOKUP(C280,customers!A279:$A$1001,customers!C279:$C$1001,,0))</f>
        <v>epalfrey7q@devhub.com</v>
      </c>
      <c r="H280" s="2" t="str" cm="1">
        <f t="array" ref="H280">_xlfn.XLOOKUP(C280,customers!A279:$A$1001,customers!G279:$G$1001,"Ireland",0)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4"/>
        <v>7.77</v>
      </c>
      <c r="N280" t="str" cm="1">
        <f t="array" ref="N280">_xlfn.IFS(I280="Rob","Robusta",I280="Exc","Excelsa",I280="Ara","Arabica",I280="Lib","Liberica")</f>
        <v>Arabica</v>
      </c>
      <c r="O280" t="str" cm="1">
        <f t="array" ref="O280">_xlfn.IFS(J280="M","Midium",J280="L","Light",J280="D","Dark")</f>
        <v>Light</v>
      </c>
      <c r="P280" t="str">
        <f>_xlfn.XLOOKUP(Orders[[#This Row],[Customer ID]],customers!A:A,customers!I:I,,0)</f>
        <v>Yes</v>
      </c>
      <c r="Q280" t="str">
        <f>_xlfn.XLOOKUP(C281,customers!A:A,customers!B:B,"مش موجود")</f>
        <v>Parsifal Metrick</v>
      </c>
    </row>
    <row r="281" spans="1:17" x14ac:dyDescent="0.25">
      <c r="A281" s="2" t="s">
        <v>2068</v>
      </c>
      <c r="B281" s="3">
        <v>43521</v>
      </c>
      <c r="C281" s="2" t="s">
        <v>2069</v>
      </c>
      <c r="D281" t="s">
        <v>6181</v>
      </c>
      <c r="E281" s="2">
        <v>1</v>
      </c>
      <c r="F281" s="2" t="str">
        <f>_xlfn.XLOOKUP(Orders[[#This Row],[Customer ID]],customers!A:A,customers!B:B)</f>
        <v>Parsifal Metrick</v>
      </c>
      <c r="G281" s="2" t="str" cm="1">
        <f t="array" ref="G281">IF(_xlfn.XLOOKUP(C281,customers!A280:$A$1001,customers!C280:$C$1001,,0)=0,"",_xlfn.XLOOKUP(C281,customers!A280:$A$1001,customers!C280:$C$1001,,0))</f>
        <v>pmetrick7r@rakuten.co.jp</v>
      </c>
      <c r="H281" s="2" t="str" cm="1">
        <f t="array" ref="H281">_xlfn.XLOOKUP(C281,customers!A280:$A$1001,customers!G280:$G$1001,"Ireland",0)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4"/>
        <v>33.464999999999996</v>
      </c>
      <c r="N281" t="str" cm="1">
        <f t="array" ref="N281">_xlfn.IFS(I281="Rob","Robusta",I281="Exc","Excelsa",I281="Ara","Arabica",I281="Lib","Liberica")</f>
        <v>Liberica</v>
      </c>
      <c r="O281" t="str" cm="1">
        <f t="array" ref="O281">_xlfn.IFS(J281="M","Midium",J281="L","Light",J281="D","Dark")</f>
        <v>Midium</v>
      </c>
      <c r="P281" t="str">
        <f>_xlfn.XLOOKUP(Orders[[#This Row],[Customer ID]],customers!A:A,customers!I:I,,0)</f>
        <v>Yes</v>
      </c>
      <c r="Q281" t="str">
        <f>_xlfn.XLOOKUP(C282,customers!A:A,customers!B:B,"مش موجود")</f>
        <v>Christopher Grieveson</v>
      </c>
    </row>
    <row r="282" spans="1:17" x14ac:dyDescent="0.25">
      <c r="A282" s="2" t="s">
        <v>2074</v>
      </c>
      <c r="B282" s="3">
        <v>44234</v>
      </c>
      <c r="C282" s="2" t="s">
        <v>2075</v>
      </c>
      <c r="D282" t="s">
        <v>6139</v>
      </c>
      <c r="E282" s="2">
        <v>5</v>
      </c>
      <c r="F282" s="2" t="str">
        <f>_xlfn.XLOOKUP(Orders[[#This Row],[Customer ID]],customers!A:A,customers!B:B)</f>
        <v>Christopher Grieveson</v>
      </c>
      <c r="G282" s="2" t="str" cm="1">
        <f t="array" ref="G282">IF(_xlfn.XLOOKUP(C282,customers!A281:$A$1001,customers!C281:$C$1001,,0)=0,"",_xlfn.XLOOKUP(C282,customers!A281:$A$1001,customers!C281:$C$1001,,0))</f>
        <v/>
      </c>
      <c r="H282" s="2" t="str" cm="1">
        <f t="array" ref="H282">_xlfn.XLOOKUP(C282,customers!A281:$A$1001,customers!G281:$G$1001,"Ireland",0)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4"/>
        <v>41.25</v>
      </c>
      <c r="N282" t="str" cm="1">
        <f t="array" ref="N282">_xlfn.IFS(I282="Rob","Robusta",I282="Exc","Excelsa",I282="Ara","Arabica",I282="Lib","Liberica")</f>
        <v>Excelsa</v>
      </c>
      <c r="O282" t="str" cm="1">
        <f t="array" ref="O282">_xlfn.IFS(J282="M","Midium",J282="L","Light",J282="D","Dark")</f>
        <v>Midium</v>
      </c>
      <c r="P282" t="str">
        <f>_xlfn.XLOOKUP(Orders[[#This Row],[Customer ID]],customers!A:A,customers!I:I,,0)</f>
        <v>Yes</v>
      </c>
      <c r="Q282" t="str">
        <f>_xlfn.XLOOKUP(C283,customers!A:A,customers!B:B,"مش موجود")</f>
        <v>Karlan Karby</v>
      </c>
    </row>
    <row r="283" spans="1:17" x14ac:dyDescent="0.25">
      <c r="A283" s="2" t="s">
        <v>2079</v>
      </c>
      <c r="B283" s="3">
        <v>44210</v>
      </c>
      <c r="C283" s="2" t="s">
        <v>2080</v>
      </c>
      <c r="D283" t="s">
        <v>6171</v>
      </c>
      <c r="E283" s="2">
        <v>4</v>
      </c>
      <c r="F283" s="2" t="str">
        <f>_xlfn.XLOOKUP(Orders[[#This Row],[Customer ID]],customers!A:A,customers!B:B)</f>
        <v>Karlan Karby</v>
      </c>
      <c r="G283" s="2" t="str" cm="1">
        <f t="array" ref="G283">IF(_xlfn.XLOOKUP(C283,customers!A282:$A$1001,customers!C282:$C$1001,,0)=0,"",_xlfn.XLOOKUP(C283,customers!A282:$A$1001,customers!C282:$C$1001,,0))</f>
        <v>kkarby7t@sbwire.com</v>
      </c>
      <c r="H283" s="2" t="str" cm="1">
        <f t="array" ref="H283">_xlfn.XLOOKUP(C283,customers!A282:$A$1001,customers!G282:$G$1001,"Ireland",0)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4"/>
        <v>59.4</v>
      </c>
      <c r="N283" t="str" cm="1">
        <f t="array" ref="N283">_xlfn.IFS(I283="Rob","Robusta",I283="Exc","Excelsa",I283="Ara","Arabica",I283="Lib","Liberica")</f>
        <v>Excelsa</v>
      </c>
      <c r="O283" t="str" cm="1">
        <f t="array" ref="O283">_xlfn.IFS(J283="M","Midium",J283="L","Light",J283="D","Dark")</f>
        <v>Light</v>
      </c>
      <c r="P283" t="str">
        <f>_xlfn.XLOOKUP(Orders[[#This Row],[Customer ID]],customers!A:A,customers!I:I,,0)</f>
        <v>Yes</v>
      </c>
      <c r="Q283" t="str">
        <f>_xlfn.XLOOKUP(C284,customers!A:A,customers!B:B,"مش موجود")</f>
        <v>Flory Crumpe</v>
      </c>
    </row>
    <row r="284" spans="1:17" x14ac:dyDescent="0.25">
      <c r="A284" s="2" t="s">
        <v>2085</v>
      </c>
      <c r="B284" s="3">
        <v>43520</v>
      </c>
      <c r="C284" s="2" t="s">
        <v>2086</v>
      </c>
      <c r="D284" t="s">
        <v>6180</v>
      </c>
      <c r="E284" s="2">
        <v>1</v>
      </c>
      <c r="F284" s="2" t="str">
        <f>_xlfn.XLOOKUP(Orders[[#This Row],[Customer ID]],customers!A:A,customers!B:B)</f>
        <v>Flory Crumpe</v>
      </c>
      <c r="G284" s="2" t="str" cm="1">
        <f t="array" ref="G284">IF(_xlfn.XLOOKUP(C284,customers!A283:$A$1001,customers!C283:$C$1001,,0)=0,"",_xlfn.XLOOKUP(C284,customers!A283:$A$1001,customers!C283:$C$1001,,0))</f>
        <v>fcrumpe7u@ftc.gov</v>
      </c>
      <c r="H284" s="2" t="str" cm="1">
        <f t="array" ref="H284">_xlfn.XLOOKUP(C284,customers!A283:$A$1001,customers!G283:$G$1001,"Ireland",0)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4"/>
        <v>7.77</v>
      </c>
      <c r="N284" t="str" cm="1">
        <f t="array" ref="N284">_xlfn.IFS(I284="Rob","Robusta",I284="Exc","Excelsa",I284="Ara","Arabica",I284="Lib","Liberica")</f>
        <v>Arabica</v>
      </c>
      <c r="O284" t="str" cm="1">
        <f t="array" ref="O284">_xlfn.IFS(J284="M","Midium",J284="L","Light",J284="D","Dark")</f>
        <v>Light</v>
      </c>
      <c r="P284" t="str">
        <f>_xlfn.XLOOKUP(Orders[[#This Row],[Customer ID]],customers!A:A,customers!I:I,,0)</f>
        <v>No</v>
      </c>
      <c r="Q284" t="str">
        <f>_xlfn.XLOOKUP(C285,customers!A:A,customers!B:B,"مش موجود")</f>
        <v>Amity Chatto</v>
      </c>
    </row>
    <row r="285" spans="1:17" x14ac:dyDescent="0.25">
      <c r="A285" s="2" t="s">
        <v>2091</v>
      </c>
      <c r="B285" s="3">
        <v>43639</v>
      </c>
      <c r="C285" s="2" t="s">
        <v>2092</v>
      </c>
      <c r="D285" t="s">
        <v>6172</v>
      </c>
      <c r="E285" s="2">
        <v>1</v>
      </c>
      <c r="F285" s="2" t="str">
        <f>_xlfn.XLOOKUP(Orders[[#This Row],[Customer ID]],customers!A:A,customers!B:B)</f>
        <v>Amity Chatto</v>
      </c>
      <c r="G285" s="2" t="str" cm="1">
        <f t="array" ref="G285">IF(_xlfn.XLOOKUP(C285,customers!A284:$A$1001,customers!C284:$C$1001,,0)=0,"",_xlfn.XLOOKUP(C285,customers!A284:$A$1001,customers!C284:$C$1001,,0))</f>
        <v>achatto7v@sakura.ne.jp</v>
      </c>
      <c r="H285" s="2" t="str" cm="1">
        <f t="array" ref="H285">_xlfn.XLOOKUP(C285,customers!A284:$A$1001,customers!G284:$G$1001,"Ireland",0)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4"/>
        <v>5.3699999999999992</v>
      </c>
      <c r="N285" t="str" cm="1">
        <f t="array" ref="N285">_xlfn.IFS(I285="Rob","Robusta",I285="Exc","Excelsa",I285="Ara","Arabica",I285="Lib","Liberica")</f>
        <v>Robusta</v>
      </c>
      <c r="O285" t="str" cm="1">
        <f t="array" ref="O285">_xlfn.IFS(J285="M","Midium",J285="L","Light",J285="D","Dark")</f>
        <v>Dark</v>
      </c>
      <c r="P285" t="str">
        <f>_xlfn.XLOOKUP(Orders[[#This Row],[Customer ID]],customers!A:A,customers!I:I,,0)</f>
        <v>Yes</v>
      </c>
      <c r="Q285" t="str">
        <f>_xlfn.XLOOKUP(C286,customers!A:A,customers!B:B,"مش موجود")</f>
        <v>Nanine McCarthy</v>
      </c>
    </row>
    <row r="286" spans="1:17" x14ac:dyDescent="0.25">
      <c r="A286" s="2" t="s">
        <v>2097</v>
      </c>
      <c r="B286" s="3">
        <v>43960</v>
      </c>
      <c r="C286" s="2" t="s">
        <v>2098</v>
      </c>
      <c r="D286" t="s">
        <v>6166</v>
      </c>
      <c r="E286" s="2">
        <v>3</v>
      </c>
      <c r="F286" s="2" t="str">
        <f>_xlfn.XLOOKUP(Orders[[#This Row],[Customer ID]],customers!A:A,customers!B:B)</f>
        <v>Nanine McCarthy</v>
      </c>
      <c r="G286" s="2" t="str" cm="1">
        <f t="array" ref="G286">IF(_xlfn.XLOOKUP(C286,customers!A285:$A$1001,customers!C285:$C$1001,,0)=0,"",_xlfn.XLOOKUP(C286,customers!A285:$A$1001,customers!C285:$C$1001,,0))</f>
        <v/>
      </c>
      <c r="H286" s="2" t="str" cm="1">
        <f t="array" ref="H286">_xlfn.XLOOKUP(C286,customers!A285:$A$1001,customers!G285:$G$1001,"Ireland",0)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4"/>
        <v>94.874999999999986</v>
      </c>
      <c r="N286" t="str" cm="1">
        <f t="array" ref="N286">_xlfn.IFS(I286="Rob","Robusta",I286="Exc","Excelsa",I286="Ara","Arabica",I286="Lib","Liberica")</f>
        <v>Excelsa</v>
      </c>
      <c r="O286" t="str" cm="1">
        <f t="array" ref="O286">_xlfn.IFS(J286="M","Midium",J286="L","Light",J286="D","Dark")</f>
        <v>Midium</v>
      </c>
      <c r="P286" t="str">
        <f>_xlfn.XLOOKUP(Orders[[#This Row],[Customer ID]],customers!A:A,customers!I:I,,0)</f>
        <v>No</v>
      </c>
      <c r="Q286" t="str">
        <f>_xlfn.XLOOKUP(C287,customers!A:A,customers!B:B,"مش موجود")</f>
        <v>Lyndsey Megany</v>
      </c>
    </row>
    <row r="287" spans="1:17" x14ac:dyDescent="0.25">
      <c r="A287" s="2" t="s">
        <v>2102</v>
      </c>
      <c r="B287" s="3">
        <v>44030</v>
      </c>
      <c r="C287" s="2" t="s">
        <v>2103</v>
      </c>
      <c r="D287" t="s">
        <v>6164</v>
      </c>
      <c r="E287" s="2">
        <v>1</v>
      </c>
      <c r="F287" s="2" t="str">
        <f>_xlfn.XLOOKUP(Orders[[#This Row],[Customer ID]],customers!A:A,customers!B:B)</f>
        <v>Lyndsey Megany</v>
      </c>
      <c r="G287" s="2" t="str" cm="1">
        <f t="array" ref="G287">IF(_xlfn.XLOOKUP(C287,customers!A286:$A$1001,customers!C286:$C$1001,,0)=0,"",_xlfn.XLOOKUP(C287,customers!A286:$A$1001,customers!C286:$C$1001,,0))</f>
        <v/>
      </c>
      <c r="H287" s="2" t="str" cm="1">
        <f t="array" ref="H287">_xlfn.XLOOKUP(C287,customers!A286:$A$1001,customers!G286:$G$1001,"Ireland",0)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4"/>
        <v>36.454999999999998</v>
      </c>
      <c r="N287" t="str" cm="1">
        <f t="array" ref="N287">_xlfn.IFS(I287="Rob","Robusta",I287="Exc","Excelsa",I287="Ara","Arabica",I287="Lib","Liberica")</f>
        <v>Liberica</v>
      </c>
      <c r="O287" t="str" cm="1">
        <f t="array" ref="O287">_xlfn.IFS(J287="M","Midium",J287="L","Light",J287="D","Dark")</f>
        <v>Light</v>
      </c>
      <c r="P287" t="str">
        <f>_xlfn.XLOOKUP(Orders[[#This Row],[Customer ID]],customers!A:A,customers!I:I,,0)</f>
        <v>No</v>
      </c>
      <c r="Q287" t="str">
        <f>_xlfn.XLOOKUP(C288,customers!A:A,customers!B:B,"مش موجود")</f>
        <v>Byram Mergue</v>
      </c>
    </row>
    <row r="288" spans="1:17" x14ac:dyDescent="0.25">
      <c r="A288" s="2" t="s">
        <v>2107</v>
      </c>
      <c r="B288" s="3">
        <v>43755</v>
      </c>
      <c r="C288" s="2" t="s">
        <v>2108</v>
      </c>
      <c r="D288" t="s">
        <v>6152</v>
      </c>
      <c r="E288" s="2">
        <v>4</v>
      </c>
      <c r="F288" s="2" t="str">
        <f>_xlfn.XLOOKUP(Orders[[#This Row],[Customer ID]],customers!A:A,customers!B:B)</f>
        <v>Byram Mergue</v>
      </c>
      <c r="G288" s="2" t="str" cm="1">
        <f t="array" ref="G288">IF(_xlfn.XLOOKUP(C288,customers!A287:$A$1001,customers!C287:$C$1001,,0)=0,"",_xlfn.XLOOKUP(C288,customers!A287:$A$1001,customers!C287:$C$1001,,0))</f>
        <v>bmergue7y@umn.edu</v>
      </c>
      <c r="H288" s="2" t="str" cm="1">
        <f t="array" ref="H288">_xlfn.XLOOKUP(C288,customers!A287:$A$1001,customers!G287:$G$1001,"Ireland",0)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4"/>
        <v>13.5</v>
      </c>
      <c r="N288" t="str" cm="1">
        <f t="array" ref="N288">_xlfn.IFS(I288="Rob","Robusta",I288="Exc","Excelsa",I288="Ara","Arabica",I288="Lib","Liberica")</f>
        <v>Arabica</v>
      </c>
      <c r="O288" t="str" cm="1">
        <f t="array" ref="O288">_xlfn.IFS(J288="M","Midium",J288="L","Light",J288="D","Dark")</f>
        <v>Midium</v>
      </c>
      <c r="P288" t="str">
        <f>_xlfn.XLOOKUP(Orders[[#This Row],[Customer ID]],customers!A:A,customers!I:I,,0)</f>
        <v>Yes</v>
      </c>
      <c r="Q288" t="str">
        <f>_xlfn.XLOOKUP(C289,customers!A:A,customers!B:B,"مش موجود")</f>
        <v>Kerr Patise</v>
      </c>
    </row>
    <row r="289" spans="1:17" x14ac:dyDescent="0.25">
      <c r="A289" s="2" t="s">
        <v>2112</v>
      </c>
      <c r="B289" s="3">
        <v>44697</v>
      </c>
      <c r="C289" s="2" t="s">
        <v>2113</v>
      </c>
      <c r="D289" t="s">
        <v>6178</v>
      </c>
      <c r="E289" s="2">
        <v>4</v>
      </c>
      <c r="F289" s="2" t="str">
        <f>_xlfn.XLOOKUP(Orders[[#This Row],[Customer ID]],customers!A:A,customers!B:B)</f>
        <v>Kerr Patise</v>
      </c>
      <c r="G289" s="2" t="str" cm="1">
        <f t="array" ref="G289">IF(_xlfn.XLOOKUP(C289,customers!A288:$A$1001,customers!C288:$C$1001,,0)=0,"",_xlfn.XLOOKUP(C289,customers!A288:$A$1001,customers!C288:$C$1001,,0))</f>
        <v>kpatise7z@jigsy.com</v>
      </c>
      <c r="H289" s="2" t="str" cm="1">
        <f t="array" ref="H289">_xlfn.XLOOKUP(C289,customers!A288:$A$1001,customers!G288:$G$1001,"Ireland",0)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4"/>
        <v>14.339999999999998</v>
      </c>
      <c r="N289" t="str" cm="1">
        <f t="array" ref="N289">_xlfn.IFS(I289="Rob","Robusta",I289="Exc","Excelsa",I289="Ara","Arabica",I289="Lib","Liberica")</f>
        <v>Robusta</v>
      </c>
      <c r="O289" t="str" cm="1">
        <f t="array" ref="O289">_xlfn.IFS(J289="M","Midium",J289="L","Light",J289="D","Dark")</f>
        <v>Light</v>
      </c>
      <c r="P289" t="str">
        <f>_xlfn.XLOOKUP(Orders[[#This Row],[Customer ID]],customers!A:A,customers!I:I,,0)</f>
        <v>No</v>
      </c>
      <c r="Q289" t="str">
        <f>_xlfn.XLOOKUP(C290,customers!A:A,customers!B:B,"مش موجود")</f>
        <v>Mathew Goulter</v>
      </c>
    </row>
    <row r="290" spans="1:17" x14ac:dyDescent="0.25">
      <c r="A290" s="2" t="s">
        <v>2118</v>
      </c>
      <c r="B290" s="3">
        <v>44279</v>
      </c>
      <c r="C290" s="2" t="s">
        <v>2119</v>
      </c>
      <c r="D290" t="s">
        <v>6139</v>
      </c>
      <c r="E290" s="2">
        <v>1</v>
      </c>
      <c r="F290" s="2" t="str">
        <f>_xlfn.XLOOKUP(Orders[[#This Row],[Customer ID]],customers!A:A,customers!B:B)</f>
        <v>Mathew Goulter</v>
      </c>
      <c r="G290" s="2" t="str" cm="1">
        <f t="array" ref="G290">IF(_xlfn.XLOOKUP(C290,customers!A289:$A$1001,customers!C289:$C$1001,,0)=0,"",_xlfn.XLOOKUP(C290,customers!A289:$A$1001,customers!C289:$C$1001,,0))</f>
        <v/>
      </c>
      <c r="H290" s="2" t="str" cm="1">
        <f t="array" ref="H290">_xlfn.XLOOKUP(C290,customers!A289:$A$1001,customers!G289:$G$1001,"Ireland",0)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4"/>
        <v>8.25</v>
      </c>
      <c r="N290" t="str" cm="1">
        <f t="array" ref="N290">_xlfn.IFS(I290="Rob","Robusta",I290="Exc","Excelsa",I290="Ara","Arabica",I290="Lib","Liberica")</f>
        <v>Excelsa</v>
      </c>
      <c r="O290" t="str" cm="1">
        <f t="array" ref="O290">_xlfn.IFS(J290="M","Midium",J290="L","Light",J290="D","Dark")</f>
        <v>Midium</v>
      </c>
      <c r="P290" t="str">
        <f>_xlfn.XLOOKUP(Orders[[#This Row],[Customer ID]],customers!A:A,customers!I:I,,0)</f>
        <v>Yes</v>
      </c>
      <c r="Q290" t="str">
        <f>_xlfn.XLOOKUP(C291,customers!A:A,customers!B:B,"مش موجود")</f>
        <v>Marris Grcic</v>
      </c>
    </row>
    <row r="291" spans="1:17" x14ac:dyDescent="0.25">
      <c r="A291" s="2" t="s">
        <v>2123</v>
      </c>
      <c r="B291" s="3">
        <v>43772</v>
      </c>
      <c r="C291" s="2" t="s">
        <v>2124</v>
      </c>
      <c r="D291" t="s">
        <v>6163</v>
      </c>
      <c r="E291" s="2">
        <v>5</v>
      </c>
      <c r="F291" s="2" t="str">
        <f>_xlfn.XLOOKUP(Orders[[#This Row],[Customer ID]],customers!A:A,customers!B:B)</f>
        <v>Marris Grcic</v>
      </c>
      <c r="G291" s="2" t="str" cm="1">
        <f t="array" ref="G291">IF(_xlfn.XLOOKUP(C291,customers!A290:$A$1001,customers!C290:$C$1001,,0)=0,"",_xlfn.XLOOKUP(C291,customers!A290:$A$1001,customers!C290:$C$1001,,0))</f>
        <v/>
      </c>
      <c r="H291" s="2" t="str" cm="1">
        <f t="array" ref="H291">_xlfn.XLOOKUP(C291,customers!A290:$A$1001,customers!G290:$G$1001,"Ireland",0)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4"/>
        <v>13.424999999999997</v>
      </c>
      <c r="N291" t="str" cm="1">
        <f t="array" ref="N291">_xlfn.IFS(I291="Rob","Robusta",I291="Exc","Excelsa",I291="Ara","Arabica",I291="Lib","Liberica")</f>
        <v>Robusta</v>
      </c>
      <c r="O291" t="str" cm="1">
        <f t="array" ref="O291">_xlfn.IFS(J291="M","Midium",J291="L","Light",J291="D","Dark")</f>
        <v>Dark</v>
      </c>
      <c r="P291" t="str">
        <f>_xlfn.XLOOKUP(Orders[[#This Row],[Customer ID]],customers!A:A,customers!I:I,,0)</f>
        <v>Yes</v>
      </c>
      <c r="Q291" t="str">
        <f>_xlfn.XLOOKUP(C292,customers!A:A,customers!B:B,"مش موجود")</f>
        <v>Domeniga Duke</v>
      </c>
    </row>
    <row r="292" spans="1:17" x14ac:dyDescent="0.25">
      <c r="A292" s="2" t="s">
        <v>2127</v>
      </c>
      <c r="B292" s="3">
        <v>44497</v>
      </c>
      <c r="C292" s="2" t="s">
        <v>2128</v>
      </c>
      <c r="D292" t="s">
        <v>6147</v>
      </c>
      <c r="E292" s="2">
        <v>5</v>
      </c>
      <c r="F292" s="2" t="str">
        <f>_xlfn.XLOOKUP(Orders[[#This Row],[Customer ID]],customers!A:A,customers!B:B)</f>
        <v>Domeniga Duke</v>
      </c>
      <c r="G292" s="2" t="str" cm="1">
        <f t="array" ref="G292">IF(_xlfn.XLOOKUP(C292,customers!A291:$A$1001,customers!C291:$C$1001,,0)=0,"",_xlfn.XLOOKUP(C292,customers!A291:$A$1001,customers!C291:$C$1001,,0))</f>
        <v>dduke82@vkontakte.ru</v>
      </c>
      <c r="H292" s="2" t="str" cm="1">
        <f t="array" ref="H292">_xlfn.XLOOKUP(C292,customers!A291:$A$1001,customers!G291:$G$1001,"Ireland",0)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4"/>
        <v>49.75</v>
      </c>
      <c r="N292" t="str" cm="1">
        <f t="array" ref="N292">_xlfn.IFS(I292="Rob","Robusta",I292="Exc","Excelsa",I292="Ara","Arabica",I292="Lib","Liberica")</f>
        <v>Arabica</v>
      </c>
      <c r="O292" t="str" cm="1">
        <f t="array" ref="O292">_xlfn.IFS(J292="M","Midium",J292="L","Light",J292="D","Dark")</f>
        <v>Dark</v>
      </c>
      <c r="P292" t="str">
        <f>_xlfn.XLOOKUP(Orders[[#This Row],[Customer ID]],customers!A:A,customers!I:I,,0)</f>
        <v>No</v>
      </c>
      <c r="Q292" t="str">
        <f>_xlfn.XLOOKUP(C293,customers!A:A,customers!B:B,"مش موجود")</f>
        <v>Violante Skouling</v>
      </c>
    </row>
    <row r="293" spans="1:17" x14ac:dyDescent="0.25">
      <c r="A293" s="2" t="s">
        <v>2133</v>
      </c>
      <c r="B293" s="3">
        <v>44181</v>
      </c>
      <c r="C293" s="2" t="s">
        <v>2134</v>
      </c>
      <c r="D293" t="s">
        <v>6139</v>
      </c>
      <c r="E293" s="2">
        <v>2</v>
      </c>
      <c r="F293" s="2" t="str">
        <f>_xlfn.XLOOKUP(Orders[[#This Row],[Customer ID]],customers!A:A,customers!B:B)</f>
        <v>Violante Skouling</v>
      </c>
      <c r="G293" s="2" t="str" cm="1">
        <f t="array" ref="G293">IF(_xlfn.XLOOKUP(C293,customers!A292:$A$1001,customers!C292:$C$1001,,0)=0,"",_xlfn.XLOOKUP(C293,customers!A292:$A$1001,customers!C292:$C$1001,,0))</f>
        <v/>
      </c>
      <c r="H293" s="2" t="str" cm="1">
        <f t="array" ref="H293">_xlfn.XLOOKUP(C293,customers!A292:$A$1001,customers!G292:$G$1001,"Ireland",0)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4"/>
        <v>16.5</v>
      </c>
      <c r="N293" t="str" cm="1">
        <f t="array" ref="N293">_xlfn.IFS(I293="Rob","Robusta",I293="Exc","Excelsa",I293="Ara","Arabica",I293="Lib","Liberica")</f>
        <v>Excelsa</v>
      </c>
      <c r="O293" t="str" cm="1">
        <f t="array" ref="O293">_xlfn.IFS(J293="M","Midium",J293="L","Light",J293="D","Dark")</f>
        <v>Midium</v>
      </c>
      <c r="P293" t="str">
        <f>_xlfn.XLOOKUP(Orders[[#This Row],[Customer ID]],customers!A:A,customers!I:I,,0)</f>
        <v>No</v>
      </c>
      <c r="Q293" t="str">
        <f>_xlfn.XLOOKUP(C294,customers!A:A,customers!B:B,"مش موجود")</f>
        <v>Isidore Hussey</v>
      </c>
    </row>
    <row r="294" spans="1:17" x14ac:dyDescent="0.25">
      <c r="A294" s="2" t="s">
        <v>2137</v>
      </c>
      <c r="B294" s="3">
        <v>44529</v>
      </c>
      <c r="C294" s="2" t="s">
        <v>2138</v>
      </c>
      <c r="D294" t="s">
        <v>6158</v>
      </c>
      <c r="E294" s="2">
        <v>3</v>
      </c>
      <c r="F294" s="2" t="str">
        <f>_xlfn.XLOOKUP(Orders[[#This Row],[Customer ID]],customers!A:A,customers!B:B)</f>
        <v>Isidore Hussey</v>
      </c>
      <c r="G294" s="2" t="str" cm="1">
        <f t="array" ref="G294">IF(_xlfn.XLOOKUP(C294,customers!A293:$A$1001,customers!C293:$C$1001,,0)=0,"",_xlfn.XLOOKUP(C294,customers!A293:$A$1001,customers!C293:$C$1001,,0))</f>
        <v>ihussey84@mapy.cz</v>
      </c>
      <c r="H294" s="2" t="str" cm="1">
        <f t="array" ref="H294">_xlfn.XLOOKUP(C294,customers!A293:$A$1001,customers!G293:$G$1001,"Ireland",0)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4"/>
        <v>17.91</v>
      </c>
      <c r="N294" t="str" cm="1">
        <f t="array" ref="N294">_xlfn.IFS(I294="Rob","Robusta",I294="Exc","Excelsa",I294="Ara","Arabica",I294="Lib","Liberica")</f>
        <v>Arabica</v>
      </c>
      <c r="O294" t="str" cm="1">
        <f t="array" ref="O294">_xlfn.IFS(J294="M","Midium",J294="L","Light",J294="D","Dark")</f>
        <v>Dark</v>
      </c>
      <c r="P294" t="str">
        <f>_xlfn.XLOOKUP(Orders[[#This Row],[Customer ID]],customers!A:A,customers!I:I,,0)</f>
        <v>No</v>
      </c>
      <c r="Q294" t="str">
        <f>_xlfn.XLOOKUP(C295,customers!A:A,customers!B:B,"مش موجود")</f>
        <v>Cassie Pinkerton</v>
      </c>
    </row>
    <row r="295" spans="1:17" x14ac:dyDescent="0.25">
      <c r="A295" s="2" t="s">
        <v>2142</v>
      </c>
      <c r="B295" s="3">
        <v>44275</v>
      </c>
      <c r="C295" s="2" t="s">
        <v>2143</v>
      </c>
      <c r="D295" t="s">
        <v>6158</v>
      </c>
      <c r="E295" s="2">
        <v>5</v>
      </c>
      <c r="F295" s="2" t="str">
        <f>_xlfn.XLOOKUP(Orders[[#This Row],[Customer ID]],customers!A:A,customers!B:B)</f>
        <v>Cassie Pinkerton</v>
      </c>
      <c r="G295" s="2" t="str" cm="1">
        <f t="array" ref="G295">IF(_xlfn.XLOOKUP(C295,customers!A294:$A$1001,customers!C294:$C$1001,,0)=0,"",_xlfn.XLOOKUP(C295,customers!A294:$A$1001,customers!C294:$C$1001,,0))</f>
        <v>cpinkerton85@upenn.edu</v>
      </c>
      <c r="H295" s="2" t="str" cm="1">
        <f t="array" ref="H295">_xlfn.XLOOKUP(C295,customers!A294:$A$1001,customers!G294:$G$1001,"Ireland",0)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4"/>
        <v>29.849999999999998</v>
      </c>
      <c r="N295" t="str" cm="1">
        <f t="array" ref="N295">_xlfn.IFS(I295="Rob","Robusta",I295="Exc","Excelsa",I295="Ara","Arabica",I295="Lib","Liberica")</f>
        <v>Arabica</v>
      </c>
      <c r="O295" t="str" cm="1">
        <f t="array" ref="O295">_xlfn.IFS(J295="M","Midium",J295="L","Light",J295="D","Dark")</f>
        <v>Dark</v>
      </c>
      <c r="P295" t="str">
        <f>_xlfn.XLOOKUP(Orders[[#This Row],[Customer ID]],customers!A:A,customers!I:I,,0)</f>
        <v>No</v>
      </c>
      <c r="Q295" t="str">
        <f>_xlfn.XLOOKUP(C296,customers!A:A,customers!B:B,"مش موجود")</f>
        <v>Micki Fero</v>
      </c>
    </row>
    <row r="296" spans="1:17" x14ac:dyDescent="0.25">
      <c r="A296" s="2" t="s">
        <v>2148</v>
      </c>
      <c r="B296" s="3">
        <v>44659</v>
      </c>
      <c r="C296" s="2" t="s">
        <v>2149</v>
      </c>
      <c r="D296" t="s">
        <v>6171</v>
      </c>
      <c r="E296" s="2">
        <v>3</v>
      </c>
      <c r="F296" s="2" t="str">
        <f>_xlfn.XLOOKUP(Orders[[#This Row],[Customer ID]],customers!A:A,customers!B:B)</f>
        <v>Micki Fero</v>
      </c>
      <c r="G296" s="2" t="str" cm="1">
        <f t="array" ref="G296">IF(_xlfn.XLOOKUP(C296,customers!A295:$A$1001,customers!C295:$C$1001,,0)=0,"",_xlfn.XLOOKUP(C296,customers!A295:$A$1001,customers!C295:$C$1001,,0))</f>
        <v/>
      </c>
      <c r="H296" s="2" t="str" cm="1">
        <f t="array" ref="H296">_xlfn.XLOOKUP(C296,customers!A295:$A$1001,customers!G295:$G$1001,"Ireland",0)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4"/>
        <v>44.55</v>
      </c>
      <c r="N296" t="str" cm="1">
        <f t="array" ref="N296">_xlfn.IFS(I296="Rob","Robusta",I296="Exc","Excelsa",I296="Ara","Arabica",I296="Lib","Liberica")</f>
        <v>Excelsa</v>
      </c>
      <c r="O296" t="str" cm="1">
        <f t="array" ref="O296">_xlfn.IFS(J296="M","Midium",J296="L","Light",J296="D","Dark")</f>
        <v>Light</v>
      </c>
      <c r="P296" t="str">
        <f>_xlfn.XLOOKUP(Orders[[#This Row],[Customer ID]],customers!A:A,customers!I:I,,0)</f>
        <v>No</v>
      </c>
      <c r="Q296" t="str">
        <f>_xlfn.XLOOKUP(C297,customers!A:A,customers!B:B,"مش موجود")</f>
        <v>Cybill Graddell</v>
      </c>
    </row>
    <row r="297" spans="1:17" x14ac:dyDescent="0.25">
      <c r="A297" s="2" t="s">
        <v>2153</v>
      </c>
      <c r="B297" s="3">
        <v>44057</v>
      </c>
      <c r="C297" s="2" t="s">
        <v>2154</v>
      </c>
      <c r="D297" t="s">
        <v>6141</v>
      </c>
      <c r="E297" s="2">
        <v>2</v>
      </c>
      <c r="F297" s="2" t="str">
        <f>_xlfn.XLOOKUP(Orders[[#This Row],[Customer ID]],customers!A:A,customers!B:B)</f>
        <v>Cybill Graddell</v>
      </c>
      <c r="G297" s="2" t="str" cm="1">
        <f t="array" ref="G297">IF(_xlfn.XLOOKUP(C297,customers!A296:$A$1001,customers!C296:$C$1001,,0)=0,"",_xlfn.XLOOKUP(C297,customers!A296:$A$1001,customers!C296:$C$1001,,0))</f>
        <v/>
      </c>
      <c r="H297" s="2" t="str" cm="1">
        <f t="array" ref="H297">_xlfn.XLOOKUP(C297,customers!A296:$A$1001,customers!G296:$G$1001,"Ireland",0)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4"/>
        <v>27.5</v>
      </c>
      <c r="N297" t="str" cm="1">
        <f t="array" ref="N297">_xlfn.IFS(I297="Rob","Robusta",I297="Exc","Excelsa",I297="Ara","Arabica",I297="Lib","Liberica")</f>
        <v>Excelsa</v>
      </c>
      <c r="O297" t="str" cm="1">
        <f t="array" ref="O297">_xlfn.IFS(J297="M","Midium",J297="L","Light",J297="D","Dark")</f>
        <v>Midium</v>
      </c>
      <c r="P297" t="str">
        <f>_xlfn.XLOOKUP(Orders[[#This Row],[Customer ID]],customers!A:A,customers!I:I,,0)</f>
        <v>No</v>
      </c>
      <c r="Q297" t="str">
        <f>_xlfn.XLOOKUP(C298,customers!A:A,customers!B:B,"مش موجود")</f>
        <v>Dorian Vizor</v>
      </c>
    </row>
    <row r="298" spans="1:17" x14ac:dyDescent="0.25">
      <c r="A298" s="2" t="s">
        <v>2157</v>
      </c>
      <c r="B298" s="3">
        <v>43597</v>
      </c>
      <c r="C298" s="2" t="s">
        <v>2158</v>
      </c>
      <c r="D298" t="s">
        <v>6146</v>
      </c>
      <c r="E298" s="2">
        <v>6</v>
      </c>
      <c r="F298" s="2" t="str">
        <f>_xlfn.XLOOKUP(Orders[[#This Row],[Customer ID]],customers!A:A,customers!B:B)</f>
        <v>Dorian Vizor</v>
      </c>
      <c r="G298" s="2" t="str" cm="1">
        <f t="array" ref="G298">IF(_xlfn.XLOOKUP(C298,customers!A297:$A$1001,customers!C297:$C$1001,,0)=0,"",_xlfn.XLOOKUP(C298,customers!A297:$A$1001,customers!C297:$C$1001,,0))</f>
        <v>dvizor88@furl.net</v>
      </c>
      <c r="H298" s="2" t="str" cm="1">
        <f t="array" ref="H298">_xlfn.XLOOKUP(C298,customers!A297:$A$1001,customers!G297:$G$1001,"Ireland",0)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4"/>
        <v>35.82</v>
      </c>
      <c r="N298" t="str" cm="1">
        <f t="array" ref="N298">_xlfn.IFS(I298="Rob","Robusta",I298="Exc","Excelsa",I298="Ara","Arabica",I298="Lib","Liberica")</f>
        <v>Robusta</v>
      </c>
      <c r="O298" t="str" cm="1">
        <f t="array" ref="O298">_xlfn.IFS(J298="M","Midium",J298="L","Light",J298="D","Dark")</f>
        <v>Midium</v>
      </c>
      <c r="P298" t="str">
        <f>_xlfn.XLOOKUP(Orders[[#This Row],[Customer ID]],customers!A:A,customers!I:I,,0)</f>
        <v>Yes</v>
      </c>
      <c r="Q298" t="str">
        <f>_xlfn.XLOOKUP(C299,customers!A:A,customers!B:B,"مش موجود")</f>
        <v>Eddi Sedgebeer</v>
      </c>
    </row>
    <row r="299" spans="1:17" x14ac:dyDescent="0.25">
      <c r="A299" s="2" t="s">
        <v>2163</v>
      </c>
      <c r="B299" s="3">
        <v>44258</v>
      </c>
      <c r="C299" s="2" t="s">
        <v>2164</v>
      </c>
      <c r="D299" t="s">
        <v>6172</v>
      </c>
      <c r="E299" s="2">
        <v>3</v>
      </c>
      <c r="F299" s="2" t="str">
        <f>_xlfn.XLOOKUP(Orders[[#This Row],[Customer ID]],customers!A:A,customers!B:B)</f>
        <v>Eddi Sedgebeer</v>
      </c>
      <c r="G299" s="2" t="str" cm="1">
        <f t="array" ref="G299">IF(_xlfn.XLOOKUP(C299,customers!A298:$A$1001,customers!C298:$C$1001,,0)=0,"",_xlfn.XLOOKUP(C299,customers!A298:$A$1001,customers!C298:$C$1001,,0))</f>
        <v>esedgebeer89@oaic.gov.au</v>
      </c>
      <c r="H299" s="2" t="str" cm="1">
        <f t="array" ref="H299">_xlfn.XLOOKUP(C299,customers!A298:$A$1001,customers!G298:$G$1001,"Ireland",0)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4"/>
        <v>16.11</v>
      </c>
      <c r="N299" t="str" cm="1">
        <f t="array" ref="N299">_xlfn.IFS(I299="Rob","Robusta",I299="Exc","Excelsa",I299="Ara","Arabica",I299="Lib","Liberica")</f>
        <v>Robusta</v>
      </c>
      <c r="O299" t="str" cm="1">
        <f t="array" ref="O299">_xlfn.IFS(J299="M","Midium",J299="L","Light",J299="D","Dark")</f>
        <v>Dark</v>
      </c>
      <c r="P299" t="str">
        <f>_xlfn.XLOOKUP(Orders[[#This Row],[Customer ID]],customers!A:A,customers!I:I,,0)</f>
        <v>Yes</v>
      </c>
      <c r="Q299" t="str">
        <f>_xlfn.XLOOKUP(C300,customers!A:A,customers!B:B,"مش موجود")</f>
        <v>Ken Lestrange</v>
      </c>
    </row>
    <row r="300" spans="1:17" x14ac:dyDescent="0.25">
      <c r="A300" s="2" t="s">
        <v>2169</v>
      </c>
      <c r="B300" s="3">
        <v>43872</v>
      </c>
      <c r="C300" s="2" t="s">
        <v>2170</v>
      </c>
      <c r="D300" t="s">
        <v>6184</v>
      </c>
      <c r="E300" s="2">
        <v>6</v>
      </c>
      <c r="F300" s="2" t="str">
        <f>_xlfn.XLOOKUP(Orders[[#This Row],[Customer ID]],customers!A:A,customers!B:B)</f>
        <v>Ken Lestrange</v>
      </c>
      <c r="G300" s="2" t="str" cm="1">
        <f t="array" ref="G300">IF(_xlfn.XLOOKUP(C300,customers!A299:$A$1001,customers!C299:$C$1001,,0)=0,"",_xlfn.XLOOKUP(C300,customers!A299:$A$1001,customers!C299:$C$1001,,0))</f>
        <v>klestrange8a@lulu.com</v>
      </c>
      <c r="H300" s="2" t="str" cm="1">
        <f t="array" ref="H300">_xlfn.XLOOKUP(C300,customers!A299:$A$1001,customers!G299:$G$1001,"Ireland",0)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4"/>
        <v>26.73</v>
      </c>
      <c r="N300" t="str" cm="1">
        <f t="array" ref="N300">_xlfn.IFS(I300="Rob","Robusta",I300="Exc","Excelsa",I300="Ara","Arabica",I300="Lib","Liberica")</f>
        <v>Excelsa</v>
      </c>
      <c r="O300" t="str" cm="1">
        <f t="array" ref="O300">_xlfn.IFS(J300="M","Midium",J300="L","Light",J300="D","Dark")</f>
        <v>Light</v>
      </c>
      <c r="P300" t="str">
        <f>_xlfn.XLOOKUP(Orders[[#This Row],[Customer ID]],customers!A:A,customers!I:I,,0)</f>
        <v>Yes</v>
      </c>
      <c r="Q300" t="str">
        <f>_xlfn.XLOOKUP(C301,customers!A:A,customers!B:B,"مش موجود")</f>
        <v>Lacee Tanti</v>
      </c>
    </row>
    <row r="301" spans="1:17" x14ac:dyDescent="0.25">
      <c r="A301" s="2" t="s">
        <v>2175</v>
      </c>
      <c r="B301" s="3">
        <v>43582</v>
      </c>
      <c r="C301" s="2" t="s">
        <v>2176</v>
      </c>
      <c r="D301" t="s">
        <v>6148</v>
      </c>
      <c r="E301" s="2">
        <v>6</v>
      </c>
      <c r="F301" s="2" t="str">
        <f>_xlfn.XLOOKUP(Orders[[#This Row],[Customer ID]],customers!A:A,customers!B:B)</f>
        <v>Lacee Tanti</v>
      </c>
      <c r="G301" s="2" t="str" cm="1">
        <f t="array" ref="G301">IF(_xlfn.XLOOKUP(C301,customers!A300:$A$1001,customers!C300:$C$1001,,0)=0,"",_xlfn.XLOOKUP(C301,customers!A300:$A$1001,customers!C300:$C$1001,,0))</f>
        <v>ltanti8b@techcrunch.com</v>
      </c>
      <c r="H301" s="2" t="str" cm="1">
        <f t="array" ref="H301">_xlfn.XLOOKUP(C301,customers!A300:$A$1001,customers!G300:$G$1001,"Ireland",0)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4"/>
        <v>204.92999999999995</v>
      </c>
      <c r="N301" t="str" cm="1">
        <f t="array" ref="N301">_xlfn.IFS(I301="Rob","Robusta",I301="Exc","Excelsa",I301="Ara","Arabica",I301="Lib","Liberica")</f>
        <v>Excelsa</v>
      </c>
      <c r="O301" t="str" cm="1">
        <f t="array" ref="O301">_xlfn.IFS(J301="M","Midium",J301="L","Light",J301="D","Dark")</f>
        <v>Light</v>
      </c>
      <c r="P301" t="str">
        <f>_xlfn.XLOOKUP(Orders[[#This Row],[Customer ID]],customers!A:A,customers!I:I,,0)</f>
        <v>Yes</v>
      </c>
      <c r="Q301" t="str">
        <f>_xlfn.XLOOKUP(C302,customers!A:A,customers!B:B,"مش موجود")</f>
        <v>Arel De Lasci</v>
      </c>
    </row>
    <row r="302" spans="1:17" x14ac:dyDescent="0.25">
      <c r="A302" s="2" t="s">
        <v>2181</v>
      </c>
      <c r="B302" s="3">
        <v>44646</v>
      </c>
      <c r="C302" s="2" t="s">
        <v>2182</v>
      </c>
      <c r="D302" t="s">
        <v>6140</v>
      </c>
      <c r="E302" s="2">
        <v>3</v>
      </c>
      <c r="F302" s="2" t="str">
        <f>_xlfn.XLOOKUP(Orders[[#This Row],[Customer ID]],customers!A:A,customers!B:B)</f>
        <v>Arel De Lasci</v>
      </c>
      <c r="G302" s="2" t="str" cm="1">
        <f t="array" ref="G302">IF(_xlfn.XLOOKUP(C302,customers!A301:$A$1001,customers!C301:$C$1001,,0)=0,"",_xlfn.XLOOKUP(C302,customers!A301:$A$1001,customers!C301:$C$1001,,0))</f>
        <v>ade8c@1und1.de</v>
      </c>
      <c r="H302" s="2" t="str" cm="1">
        <f t="array" ref="H302">_xlfn.XLOOKUP(C302,customers!A301:$A$1001,customers!G301:$G$1001,"Ireland",0)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4"/>
        <v>38.849999999999994</v>
      </c>
      <c r="N302" t="str" cm="1">
        <f t="array" ref="N302">_xlfn.IFS(I302="Rob","Robusta",I302="Exc","Excelsa",I302="Ara","Arabica",I302="Lib","Liberica")</f>
        <v>Arabica</v>
      </c>
      <c r="O302" t="str" cm="1">
        <f t="array" ref="O302">_xlfn.IFS(J302="M","Midium",J302="L","Light",J302="D","Dark")</f>
        <v>Light</v>
      </c>
      <c r="P302" t="str">
        <f>_xlfn.XLOOKUP(Orders[[#This Row],[Customer ID]],customers!A:A,customers!I:I,,0)</f>
        <v>Yes</v>
      </c>
      <c r="Q302" t="str">
        <f>_xlfn.XLOOKUP(C303,customers!A:A,customers!B:B,"مش موجود")</f>
        <v>Trescha Jedrachowicz</v>
      </c>
    </row>
    <row r="303" spans="1:17" x14ac:dyDescent="0.25">
      <c r="A303" s="2" t="s">
        <v>2187</v>
      </c>
      <c r="B303" s="3">
        <v>44102</v>
      </c>
      <c r="C303" s="2" t="s">
        <v>2188</v>
      </c>
      <c r="D303" t="s">
        <v>6150</v>
      </c>
      <c r="E303" s="2">
        <v>4</v>
      </c>
      <c r="F303" s="2" t="str">
        <f>_xlfn.XLOOKUP(Orders[[#This Row],[Customer ID]],customers!A:A,customers!B:B)</f>
        <v>Trescha Jedrachowicz</v>
      </c>
      <c r="G303" s="2" t="str" cm="1">
        <f t="array" ref="G303">IF(_xlfn.XLOOKUP(C303,customers!A302:$A$1001,customers!C302:$C$1001,,0)=0,"",_xlfn.XLOOKUP(C303,customers!A302:$A$1001,customers!C302:$C$1001,,0))</f>
        <v>tjedrachowicz8d@acquirethisname.com</v>
      </c>
      <c r="H303" s="2" t="str" cm="1">
        <f t="array" ref="H303">_xlfn.XLOOKUP(C303,customers!A302:$A$1001,customers!G302:$G$1001,"Ireland",0)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4"/>
        <v>15.54</v>
      </c>
      <c r="N303" t="str" cm="1">
        <f t="array" ref="N303">_xlfn.IFS(I303="Rob","Robusta",I303="Exc","Excelsa",I303="Ara","Arabica",I303="Lib","Liberica")</f>
        <v>Liberica</v>
      </c>
      <c r="O303" t="str" cm="1">
        <f t="array" ref="O303">_xlfn.IFS(J303="M","Midium",J303="L","Light",J303="D","Dark")</f>
        <v>Dark</v>
      </c>
      <c r="P303" t="str">
        <f>_xlfn.XLOOKUP(Orders[[#This Row],[Customer ID]],customers!A:A,customers!I:I,,0)</f>
        <v>Yes</v>
      </c>
      <c r="Q303" t="str">
        <f>_xlfn.XLOOKUP(C304,customers!A:A,customers!B:B,"مش موجود")</f>
        <v>Perkin Stonner</v>
      </c>
    </row>
    <row r="304" spans="1:17" x14ac:dyDescent="0.25">
      <c r="A304" s="2" t="s">
        <v>2193</v>
      </c>
      <c r="B304" s="3">
        <v>43762</v>
      </c>
      <c r="C304" s="2" t="s">
        <v>2194</v>
      </c>
      <c r="D304" t="s">
        <v>6157</v>
      </c>
      <c r="E304" s="2">
        <v>1</v>
      </c>
      <c r="F304" s="2" t="str">
        <f>_xlfn.XLOOKUP(Orders[[#This Row],[Customer ID]],customers!A:A,customers!B:B)</f>
        <v>Perkin Stonner</v>
      </c>
      <c r="G304" s="2" t="str" cm="1">
        <f t="array" ref="G304">IF(_xlfn.XLOOKUP(C304,customers!A303:$A$1001,customers!C303:$C$1001,,0)=0,"",_xlfn.XLOOKUP(C304,customers!A303:$A$1001,customers!C303:$C$1001,,0))</f>
        <v>pstonner8e@moonfruit.com</v>
      </c>
      <c r="H304" s="2" t="str" cm="1">
        <f t="array" ref="H304">_xlfn.XLOOKUP(C304,customers!A303:$A$1001,customers!G303:$G$1001,"Ireland",0)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4"/>
        <v>6.75</v>
      </c>
      <c r="N304" t="str" cm="1">
        <f t="array" ref="N304">_xlfn.IFS(I304="Rob","Robusta",I304="Exc","Excelsa",I304="Ara","Arabica",I304="Lib","Liberica")</f>
        <v>Arabica</v>
      </c>
      <c r="O304" t="str" cm="1">
        <f t="array" ref="O304">_xlfn.IFS(J304="M","Midium",J304="L","Light",J304="D","Dark")</f>
        <v>Midium</v>
      </c>
      <c r="P304" t="str">
        <f>_xlfn.XLOOKUP(Orders[[#This Row],[Customer ID]],customers!A:A,customers!I:I,,0)</f>
        <v>No</v>
      </c>
      <c r="Q304" t="str">
        <f>_xlfn.XLOOKUP(C305,customers!A:A,customers!B:B,"مش موجود")</f>
        <v>Darrin Tingly</v>
      </c>
    </row>
    <row r="305" spans="1:17" x14ac:dyDescent="0.25">
      <c r="A305" s="2" t="s">
        <v>2199</v>
      </c>
      <c r="B305" s="3">
        <v>44412</v>
      </c>
      <c r="C305" s="2" t="s">
        <v>2200</v>
      </c>
      <c r="D305" t="s">
        <v>6185</v>
      </c>
      <c r="E305" s="2">
        <v>4</v>
      </c>
      <c r="F305" s="2" t="str">
        <f>_xlfn.XLOOKUP(Orders[[#This Row],[Customer ID]],customers!A:A,customers!B:B)</f>
        <v>Darrin Tingly</v>
      </c>
      <c r="G305" s="2" t="str" cm="1">
        <f t="array" ref="G305">IF(_xlfn.XLOOKUP(C305,customers!A304:$A$1001,customers!C304:$C$1001,,0)=0,"",_xlfn.XLOOKUP(C305,customers!A304:$A$1001,customers!C304:$C$1001,,0))</f>
        <v>dtingly8f@goo.ne.jp</v>
      </c>
      <c r="H305" s="2" t="str" cm="1">
        <f t="array" ref="H305">_xlfn.XLOOKUP(C305,customers!A304:$A$1001,customers!G304:$G$1001,"Ireland",0)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4"/>
        <v>111.78</v>
      </c>
      <c r="N305" t="str" cm="1">
        <f t="array" ref="N305">_xlfn.IFS(I305="Rob","Robusta",I305="Exc","Excelsa",I305="Ara","Arabica",I305="Lib","Liberica")</f>
        <v>Excelsa</v>
      </c>
      <c r="O305" t="str" cm="1">
        <f t="array" ref="O305">_xlfn.IFS(J305="M","Midium",J305="L","Light",J305="D","Dark")</f>
        <v>Dark</v>
      </c>
      <c r="P305" t="str">
        <f>_xlfn.XLOOKUP(Orders[[#This Row],[Customer ID]],customers!A:A,customers!I:I,,0)</f>
        <v>Yes</v>
      </c>
      <c r="Q305" t="str">
        <f>_xlfn.XLOOKUP(C306,customers!A:A,customers!B:B,"مش موجود")</f>
        <v>Claudetta Rushe</v>
      </c>
    </row>
    <row r="306" spans="1:17" x14ac:dyDescent="0.25">
      <c r="A306" s="2" t="s">
        <v>2204</v>
      </c>
      <c r="B306" s="3">
        <v>43828</v>
      </c>
      <c r="C306" s="2" t="s">
        <v>2245</v>
      </c>
      <c r="D306" t="s">
        <v>6167</v>
      </c>
      <c r="E306" s="2">
        <v>1</v>
      </c>
      <c r="F306" s="2" t="str">
        <f>_xlfn.XLOOKUP(Orders[[#This Row],[Customer ID]],customers!A:A,customers!B:B)</f>
        <v>Claudetta Rushe</v>
      </c>
      <c r="G306" s="2" t="str" cm="1">
        <f t="array" ref="G306">IF(_xlfn.XLOOKUP(C306,customers!A305:$A$1001,customers!C305:$C$1001,,0)=0,"",_xlfn.XLOOKUP(C306,customers!A305:$A$1001,customers!C305:$C$1001,,0))</f>
        <v>crushe8n@about.me</v>
      </c>
      <c r="H306" s="2" t="str" cm="1">
        <f t="array" ref="H306">_xlfn.XLOOKUP(C306,customers!A305:$A$1001,customers!G305:$G$1001,"Ireland",0)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4"/>
        <v>3.8849999999999998</v>
      </c>
      <c r="N306" t="str" cm="1">
        <f t="array" ref="N306">_xlfn.IFS(I306="Rob","Robusta",I306="Exc","Excelsa",I306="Ara","Arabica",I306="Lib","Liberica")</f>
        <v>Arabica</v>
      </c>
      <c r="O306" t="str" cm="1">
        <f t="array" ref="O306">_xlfn.IFS(J306="M","Midium",J306="L","Light",J306="D","Dark")</f>
        <v>Light</v>
      </c>
      <c r="P306" t="str">
        <f>_xlfn.XLOOKUP(Orders[[#This Row],[Customer ID]],customers!A:A,customers!I:I,,0)</f>
        <v>Yes</v>
      </c>
      <c r="Q306" t="str">
        <f>_xlfn.XLOOKUP(C307,customers!A:A,customers!B:B,"مش موجود")</f>
        <v>Benn Checci</v>
      </c>
    </row>
    <row r="307" spans="1:17" x14ac:dyDescent="0.25">
      <c r="A307" s="2" t="s">
        <v>2209</v>
      </c>
      <c r="B307" s="3">
        <v>43796</v>
      </c>
      <c r="C307" s="2" t="s">
        <v>2210</v>
      </c>
      <c r="D307" t="s">
        <v>6159</v>
      </c>
      <c r="E307" s="2">
        <v>5</v>
      </c>
      <c r="F307" s="2" t="str">
        <f>_xlfn.XLOOKUP(Orders[[#This Row],[Customer ID]],customers!A:A,customers!B:B)</f>
        <v>Benn Checci</v>
      </c>
      <c r="G307" s="2" t="str" cm="1">
        <f t="array" ref="G307">IF(_xlfn.XLOOKUP(C307,customers!A306:$A$1001,customers!C306:$C$1001,,0)=0,"",_xlfn.XLOOKUP(C307,customers!A306:$A$1001,customers!C306:$C$1001,,0))</f>
        <v>bchecci8h@usa.gov</v>
      </c>
      <c r="H307" s="2" t="str" cm="1">
        <f t="array" ref="H307">_xlfn.XLOOKUP(C307,customers!A306:$A$1001,customers!G306:$G$1001,"Ireland",0)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4"/>
        <v>21.825000000000003</v>
      </c>
      <c r="N307" t="str" cm="1">
        <f t="array" ref="N307">_xlfn.IFS(I307="Rob","Robusta",I307="Exc","Excelsa",I307="Ara","Arabica",I307="Lib","Liberica")</f>
        <v>Liberica</v>
      </c>
      <c r="O307" t="str" cm="1">
        <f t="array" ref="O307">_xlfn.IFS(J307="M","Midium",J307="L","Light",J307="D","Dark")</f>
        <v>Midium</v>
      </c>
      <c r="P307" t="str">
        <f>_xlfn.XLOOKUP(Orders[[#This Row],[Customer ID]],customers!A:A,customers!I:I,,0)</f>
        <v>No</v>
      </c>
      <c r="Q307" t="str">
        <f>_xlfn.XLOOKUP(C308,customers!A:A,customers!B:B,"مش موجود")</f>
        <v>Janifer Bagot</v>
      </c>
    </row>
    <row r="308" spans="1:17" x14ac:dyDescent="0.25">
      <c r="A308" s="2" t="s">
        <v>2215</v>
      </c>
      <c r="B308" s="3">
        <v>43890</v>
      </c>
      <c r="C308" s="2" t="s">
        <v>2216</v>
      </c>
      <c r="D308" t="s">
        <v>6174</v>
      </c>
      <c r="E308" s="2">
        <v>5</v>
      </c>
      <c r="F308" s="2" t="str">
        <f>_xlfn.XLOOKUP(Orders[[#This Row],[Customer ID]],customers!A:A,customers!B:B)</f>
        <v>Janifer Bagot</v>
      </c>
      <c r="G308" s="2" t="str" cm="1">
        <f t="array" ref="G308">IF(_xlfn.XLOOKUP(C308,customers!A307:$A$1001,customers!C307:$C$1001,,0)=0,"",_xlfn.XLOOKUP(C308,customers!A307:$A$1001,customers!C307:$C$1001,,0))</f>
        <v>jbagot8i@mac.com</v>
      </c>
      <c r="H308" s="2" t="str" cm="1">
        <f t="array" ref="H308">_xlfn.XLOOKUP(C308,customers!A307:$A$1001,customers!G307:$G$1001,"Ireland",0)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4"/>
        <v>14.924999999999999</v>
      </c>
      <c r="N308" t="str" cm="1">
        <f t="array" ref="N308">_xlfn.IFS(I308="Rob","Robusta",I308="Exc","Excelsa",I308="Ara","Arabica",I308="Lib","Liberica")</f>
        <v>Robusta</v>
      </c>
      <c r="O308" t="str" cm="1">
        <f t="array" ref="O308">_xlfn.IFS(J308="M","Midium",J308="L","Light",J308="D","Dark")</f>
        <v>Midium</v>
      </c>
      <c r="P308" t="str">
        <f>_xlfn.XLOOKUP(Orders[[#This Row],[Customer ID]],customers!A:A,customers!I:I,,0)</f>
        <v>No</v>
      </c>
      <c r="Q308" t="str">
        <f>_xlfn.XLOOKUP(C309,customers!A:A,customers!B:B,"مش موجود")</f>
        <v>Ermin Beeble</v>
      </c>
    </row>
    <row r="309" spans="1:17" x14ac:dyDescent="0.25">
      <c r="A309" s="2" t="s">
        <v>2221</v>
      </c>
      <c r="B309" s="3">
        <v>44227</v>
      </c>
      <c r="C309" s="2" t="s">
        <v>2222</v>
      </c>
      <c r="D309" t="s">
        <v>6155</v>
      </c>
      <c r="E309" s="2">
        <v>3</v>
      </c>
      <c r="F309" s="2" t="str">
        <f>_xlfn.XLOOKUP(Orders[[#This Row],[Customer ID]],customers!A:A,customers!B:B)</f>
        <v>Ermin Beeble</v>
      </c>
      <c r="G309" s="2" t="str" cm="1">
        <f t="array" ref="G309">IF(_xlfn.XLOOKUP(C309,customers!A308:$A$1001,customers!C308:$C$1001,,0)=0,"",_xlfn.XLOOKUP(C309,customers!A308:$A$1001,customers!C308:$C$1001,,0))</f>
        <v>ebeeble8j@soundcloud.com</v>
      </c>
      <c r="H309" s="2" t="str" cm="1">
        <f t="array" ref="H309">_xlfn.XLOOKUP(C309,customers!A308:$A$1001,customers!G308:$G$1001,"Ireland",0)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4"/>
        <v>33.75</v>
      </c>
      <c r="N309" t="str" cm="1">
        <f t="array" ref="N309">_xlfn.IFS(I309="Rob","Robusta",I309="Exc","Excelsa",I309="Ara","Arabica",I309="Lib","Liberica")</f>
        <v>Arabica</v>
      </c>
      <c r="O309" t="str" cm="1">
        <f t="array" ref="O309">_xlfn.IFS(J309="M","Midium",J309="L","Light",J309="D","Dark")</f>
        <v>Midium</v>
      </c>
      <c r="P309" t="str">
        <f>_xlfn.XLOOKUP(Orders[[#This Row],[Customer ID]],customers!A:A,customers!I:I,,0)</f>
        <v>Yes</v>
      </c>
      <c r="Q309" t="str">
        <f>_xlfn.XLOOKUP(C310,customers!A:A,customers!B:B,"مش موجود")</f>
        <v>Cos Fluin</v>
      </c>
    </row>
    <row r="310" spans="1:17" x14ac:dyDescent="0.25">
      <c r="A310" s="2" t="s">
        <v>2227</v>
      </c>
      <c r="B310" s="3">
        <v>44729</v>
      </c>
      <c r="C310" s="2" t="s">
        <v>2228</v>
      </c>
      <c r="D310" t="s">
        <v>6155</v>
      </c>
      <c r="E310" s="2">
        <v>3</v>
      </c>
      <c r="F310" s="2" t="str">
        <f>_xlfn.XLOOKUP(Orders[[#This Row],[Customer ID]],customers!A:A,customers!B:B)</f>
        <v>Cos Fluin</v>
      </c>
      <c r="G310" s="2" t="str" cm="1">
        <f t="array" ref="G310">IF(_xlfn.XLOOKUP(C310,customers!A309:$A$1001,customers!C309:$C$1001,,0)=0,"",_xlfn.XLOOKUP(C310,customers!A309:$A$1001,customers!C309:$C$1001,,0))</f>
        <v>cfluin8k@flickr.com</v>
      </c>
      <c r="H310" s="2" t="str" cm="1">
        <f t="array" ref="H310">_xlfn.XLOOKUP(C310,customers!A309:$A$1001,customers!G309:$G$1001,"Ireland",0)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4"/>
        <v>33.75</v>
      </c>
      <c r="N310" t="str" cm="1">
        <f t="array" ref="N310">_xlfn.IFS(I310="Rob","Robusta",I310="Exc","Excelsa",I310="Ara","Arabica",I310="Lib","Liberica")</f>
        <v>Arabica</v>
      </c>
      <c r="O310" t="str" cm="1">
        <f t="array" ref="O310">_xlfn.IFS(J310="M","Midium",J310="L","Light",J310="D","Dark")</f>
        <v>Midium</v>
      </c>
      <c r="P310" t="str">
        <f>_xlfn.XLOOKUP(Orders[[#This Row],[Customer ID]],customers!A:A,customers!I:I,,0)</f>
        <v>No</v>
      </c>
      <c r="Q310" t="str">
        <f>_xlfn.XLOOKUP(C311,customers!A:A,customers!B:B,"مش موجود")</f>
        <v>Eveleen Bletsor</v>
      </c>
    </row>
    <row r="311" spans="1:17" x14ac:dyDescent="0.25">
      <c r="A311" s="2" t="s">
        <v>2232</v>
      </c>
      <c r="B311" s="3">
        <v>43864</v>
      </c>
      <c r="C311" s="2" t="s">
        <v>2233</v>
      </c>
      <c r="D311" t="s">
        <v>6159</v>
      </c>
      <c r="E311" s="2">
        <v>6</v>
      </c>
      <c r="F311" s="2" t="str">
        <f>_xlfn.XLOOKUP(Orders[[#This Row],[Customer ID]],customers!A:A,customers!B:B)</f>
        <v>Eveleen Bletsor</v>
      </c>
      <c r="G311" s="2" t="str" cm="1">
        <f t="array" ref="G311">IF(_xlfn.XLOOKUP(C311,customers!A310:$A$1001,customers!C310:$C$1001,,0)=0,"",_xlfn.XLOOKUP(C311,customers!A310:$A$1001,customers!C310:$C$1001,,0))</f>
        <v>ebletsor8l@vinaora.com</v>
      </c>
      <c r="H311" s="2" t="str" cm="1">
        <f t="array" ref="H311">_xlfn.XLOOKUP(C311,customers!A310:$A$1001,customers!G310:$G$1001,"Ireland",0)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4"/>
        <v>26.19</v>
      </c>
      <c r="N311" t="str" cm="1">
        <f t="array" ref="N311">_xlfn.IFS(I311="Rob","Robusta",I311="Exc","Excelsa",I311="Ara","Arabica",I311="Lib","Liberica")</f>
        <v>Liberica</v>
      </c>
      <c r="O311" t="str" cm="1">
        <f t="array" ref="O311">_xlfn.IFS(J311="M","Midium",J311="L","Light",J311="D","Dark")</f>
        <v>Midium</v>
      </c>
      <c r="P311" t="str">
        <f>_xlfn.XLOOKUP(Orders[[#This Row],[Customer ID]],customers!A:A,customers!I:I,,0)</f>
        <v>Yes</v>
      </c>
      <c r="Q311" t="str">
        <f>_xlfn.XLOOKUP(C312,customers!A:A,customers!B:B,"مش موجود")</f>
        <v>Paola Brydell</v>
      </c>
    </row>
    <row r="312" spans="1:17" x14ac:dyDescent="0.25">
      <c r="A312" s="2" t="s">
        <v>2238</v>
      </c>
      <c r="B312" s="3">
        <v>44586</v>
      </c>
      <c r="C312" s="2" t="s">
        <v>2239</v>
      </c>
      <c r="D312" t="s">
        <v>6171</v>
      </c>
      <c r="E312" s="2">
        <v>1</v>
      </c>
      <c r="F312" s="2" t="str">
        <f>_xlfn.XLOOKUP(Orders[[#This Row],[Customer ID]],customers!A:A,customers!B:B)</f>
        <v>Paola Brydell</v>
      </c>
      <c r="G312" s="2" t="str" cm="1">
        <f t="array" ref="G312">IF(_xlfn.XLOOKUP(C312,customers!A311:$A$1001,customers!C311:$C$1001,,0)=0,"",_xlfn.XLOOKUP(C312,customers!A311:$A$1001,customers!C311:$C$1001,,0))</f>
        <v>pbrydell8m@bloglovin.com</v>
      </c>
      <c r="H312" s="2" t="str" cm="1">
        <f t="array" ref="H312">_xlfn.XLOOKUP(C312,customers!A311:$A$1001,customers!G311:$G$1001,"Ireland",0)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4"/>
        <v>14.85</v>
      </c>
      <c r="N312" t="str" cm="1">
        <f t="array" ref="N312">_xlfn.IFS(I312="Rob","Robusta",I312="Exc","Excelsa",I312="Ara","Arabica",I312="Lib","Liberica")</f>
        <v>Excelsa</v>
      </c>
      <c r="O312" t="str" cm="1">
        <f t="array" ref="O312">_xlfn.IFS(J312="M","Midium",J312="L","Light",J312="D","Dark")</f>
        <v>Light</v>
      </c>
      <c r="P312" t="str">
        <f>_xlfn.XLOOKUP(Orders[[#This Row],[Customer ID]],customers!A:A,customers!I:I,,0)</f>
        <v>No</v>
      </c>
      <c r="Q312" t="str">
        <f>_xlfn.XLOOKUP(C313,customers!A:A,customers!B:B,"مش موجود")</f>
        <v>Claudetta Rushe</v>
      </c>
    </row>
    <row r="313" spans="1:17" x14ac:dyDescent="0.25">
      <c r="A313" s="2" t="s">
        <v>2244</v>
      </c>
      <c r="B313" s="3">
        <v>43951</v>
      </c>
      <c r="C313" s="2" t="s">
        <v>2245</v>
      </c>
      <c r="D313" t="s">
        <v>6166</v>
      </c>
      <c r="E313" s="2">
        <v>6</v>
      </c>
      <c r="F313" s="2" t="str">
        <f>_xlfn.XLOOKUP(Orders[[#This Row],[Customer ID]],customers!A:A,customers!B:B)</f>
        <v>Claudetta Rushe</v>
      </c>
      <c r="G313" s="2" t="str" cm="1">
        <f t="array" ref="G313">IF(_xlfn.XLOOKUP(C313,customers!A312:$A$1001,customers!C312:$C$1001,,0)=0,"",_xlfn.XLOOKUP(C313,customers!A312:$A$1001,customers!C312:$C$1001,,0))</f>
        <v>crushe8n@about.me</v>
      </c>
      <c r="H313" s="2" t="str" cm="1">
        <f t="array" ref="H313">_xlfn.XLOOKUP(C313,customers!A312:$A$1001,customers!G312:$G$1001,"Ireland",0)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4"/>
        <v>189.74999999999997</v>
      </c>
      <c r="N313" t="str" cm="1">
        <f t="array" ref="N313">_xlfn.IFS(I313="Rob","Robusta",I313="Exc","Excelsa",I313="Ara","Arabica",I313="Lib","Liberica")</f>
        <v>Excelsa</v>
      </c>
      <c r="O313" t="str" cm="1">
        <f t="array" ref="O313">_xlfn.IFS(J313="M","Midium",J313="L","Light",J313="D","Dark")</f>
        <v>Midium</v>
      </c>
      <c r="P313" t="str">
        <f>_xlfn.XLOOKUP(Orders[[#This Row],[Customer ID]],customers!A:A,customers!I:I,,0)</f>
        <v>Yes</v>
      </c>
      <c r="Q313" t="str">
        <f>_xlfn.XLOOKUP(C314,customers!A:A,customers!B:B,"مش موجود")</f>
        <v>Natka Leethem</v>
      </c>
    </row>
    <row r="314" spans="1:17" x14ac:dyDescent="0.25">
      <c r="A314" s="2" t="s">
        <v>2250</v>
      </c>
      <c r="B314" s="3">
        <v>44317</v>
      </c>
      <c r="C314" s="2" t="s">
        <v>2251</v>
      </c>
      <c r="D314" t="s">
        <v>6146</v>
      </c>
      <c r="E314" s="2">
        <v>1</v>
      </c>
      <c r="F314" s="2" t="str">
        <f>_xlfn.XLOOKUP(Orders[[#This Row],[Customer ID]],customers!A:A,customers!B:B)</f>
        <v>Natka Leethem</v>
      </c>
      <c r="G314" s="2" t="str" cm="1">
        <f t="array" ref="G314">IF(_xlfn.XLOOKUP(C314,customers!A313:$A$1001,customers!C313:$C$1001,,0)=0,"",_xlfn.XLOOKUP(C314,customers!A313:$A$1001,customers!C313:$C$1001,,0))</f>
        <v>nleethem8o@mac.com</v>
      </c>
      <c r="H314" s="2" t="str" cm="1">
        <f t="array" ref="H314">_xlfn.XLOOKUP(C314,customers!A313:$A$1001,customers!G313:$G$1001,"Ireland",0)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4"/>
        <v>5.97</v>
      </c>
      <c r="N314" t="str" cm="1">
        <f t="array" ref="N314">_xlfn.IFS(I314="Rob","Robusta",I314="Exc","Excelsa",I314="Ara","Arabica",I314="Lib","Liberica")</f>
        <v>Robusta</v>
      </c>
      <c r="O314" t="str" cm="1">
        <f t="array" ref="O314">_xlfn.IFS(J314="M","Midium",J314="L","Light",J314="D","Dark")</f>
        <v>Midium</v>
      </c>
      <c r="P314" t="str">
        <f>_xlfn.XLOOKUP(Orders[[#This Row],[Customer ID]],customers!A:A,customers!I:I,,0)</f>
        <v>Yes</v>
      </c>
      <c r="Q314" t="str">
        <f>_xlfn.XLOOKUP(C315,customers!A:A,customers!B:B,"مش موجود")</f>
        <v>Ailene Nesfield</v>
      </c>
    </row>
    <row r="315" spans="1:17" x14ac:dyDescent="0.25">
      <c r="A315" s="2" t="s">
        <v>2256</v>
      </c>
      <c r="B315" s="3">
        <v>44497</v>
      </c>
      <c r="C315" s="2" t="s">
        <v>2257</v>
      </c>
      <c r="D315" t="s">
        <v>6138</v>
      </c>
      <c r="E315" s="2">
        <v>3</v>
      </c>
      <c r="F315" s="2" t="str">
        <f>_xlfn.XLOOKUP(Orders[[#This Row],[Customer ID]],customers!A:A,customers!B:B)</f>
        <v>Ailene Nesfield</v>
      </c>
      <c r="G315" s="2" t="str" cm="1">
        <f t="array" ref="G315">IF(_xlfn.XLOOKUP(C315,customers!A314:$A$1001,customers!C314:$C$1001,,0)=0,"",_xlfn.XLOOKUP(C315,customers!A314:$A$1001,customers!C314:$C$1001,,0))</f>
        <v>anesfield8p@people.com.cn</v>
      </c>
      <c r="H315" s="2" t="str" cm="1">
        <f t="array" ref="H315">_xlfn.XLOOKUP(C315,customers!A314:$A$1001,customers!G314:$G$1001,"Ireland",0)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4"/>
        <v>29.849999999999998</v>
      </c>
      <c r="N315" t="str" cm="1">
        <f t="array" ref="N315">_xlfn.IFS(I315="Rob","Robusta",I315="Exc","Excelsa",I315="Ara","Arabica",I315="Lib","Liberica")</f>
        <v>Robusta</v>
      </c>
      <c r="O315" t="str" cm="1">
        <f t="array" ref="O315">_xlfn.IFS(J315="M","Midium",J315="L","Light",J315="D","Dark")</f>
        <v>Midium</v>
      </c>
      <c r="P315" t="str">
        <f>_xlfn.XLOOKUP(Orders[[#This Row],[Customer ID]],customers!A:A,customers!I:I,,0)</f>
        <v>Yes</v>
      </c>
      <c r="Q315" t="str">
        <f>_xlfn.XLOOKUP(C316,customers!A:A,customers!B:B,"مش موجود")</f>
        <v>Stacy Pickworth</v>
      </c>
    </row>
    <row r="316" spans="1:17" x14ac:dyDescent="0.25">
      <c r="A316" s="2" t="s">
        <v>2262</v>
      </c>
      <c r="B316" s="3">
        <v>44437</v>
      </c>
      <c r="C316" s="2" t="s">
        <v>2263</v>
      </c>
      <c r="D316" t="s">
        <v>6177</v>
      </c>
      <c r="E316" s="2">
        <v>5</v>
      </c>
      <c r="F316" s="2" t="str">
        <f>_xlfn.XLOOKUP(Orders[[#This Row],[Customer ID]],customers!A:A,customers!B:B)</f>
        <v>Stacy Pickworth</v>
      </c>
      <c r="G316" s="2" t="str" cm="1">
        <f t="array" ref="G316">IF(_xlfn.XLOOKUP(C316,customers!A315:$A$1001,customers!C315:$C$1001,,0)=0,"",_xlfn.XLOOKUP(C316,customers!A315:$A$1001,customers!C315:$C$1001,,0))</f>
        <v/>
      </c>
      <c r="H316" s="2" t="str" cm="1">
        <f t="array" ref="H316">_xlfn.XLOOKUP(C316,customers!A315:$A$1001,customers!G315:$G$1001,"Ireland",0)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4"/>
        <v>44.75</v>
      </c>
      <c r="N316" t="str" cm="1">
        <f t="array" ref="N316">_xlfn.IFS(I316="Rob","Robusta",I316="Exc","Excelsa",I316="Ara","Arabica",I316="Lib","Liberica")</f>
        <v>Robusta</v>
      </c>
      <c r="O316" t="str" cm="1">
        <f t="array" ref="O316">_xlfn.IFS(J316="M","Midium",J316="L","Light",J316="D","Dark")</f>
        <v>Dark</v>
      </c>
      <c r="P316" t="str">
        <f>_xlfn.XLOOKUP(Orders[[#This Row],[Customer ID]],customers!A:A,customers!I:I,,0)</f>
        <v>No</v>
      </c>
      <c r="Q316" t="str">
        <f>_xlfn.XLOOKUP(C317,customers!A:A,customers!B:B,"مش موجود")</f>
        <v>Melli Brockway</v>
      </c>
    </row>
    <row r="317" spans="1:17" x14ac:dyDescent="0.25">
      <c r="A317" s="2" t="s">
        <v>2267</v>
      </c>
      <c r="B317" s="3">
        <v>43826</v>
      </c>
      <c r="C317" s="2" t="s">
        <v>2268</v>
      </c>
      <c r="D317" t="s">
        <v>6148</v>
      </c>
      <c r="E317" s="2">
        <v>1</v>
      </c>
      <c r="F317" s="2" t="str">
        <f>_xlfn.XLOOKUP(Orders[[#This Row],[Customer ID]],customers!A:A,customers!B:B)</f>
        <v>Melli Brockway</v>
      </c>
      <c r="G317" s="2" t="str" cm="1">
        <f t="array" ref="G317">IF(_xlfn.XLOOKUP(C317,customers!A316:$A$1001,customers!C316:$C$1001,,0)=0,"",_xlfn.XLOOKUP(C317,customers!A316:$A$1001,customers!C316:$C$1001,,0))</f>
        <v>mbrockway8r@ibm.com</v>
      </c>
      <c r="H317" s="2" t="str" cm="1">
        <f t="array" ref="H317">_xlfn.XLOOKUP(C317,customers!A316:$A$1001,customers!G316:$G$1001,"Ireland",0)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4"/>
        <v>34.154999999999994</v>
      </c>
      <c r="N317" t="str" cm="1">
        <f t="array" ref="N317">_xlfn.IFS(I317="Rob","Robusta",I317="Exc","Excelsa",I317="Ara","Arabica",I317="Lib","Liberica")</f>
        <v>Excelsa</v>
      </c>
      <c r="O317" t="str" cm="1">
        <f t="array" ref="O317">_xlfn.IFS(J317="M","Midium",J317="L","Light",J317="D","Dark")</f>
        <v>Light</v>
      </c>
      <c r="P317" t="str">
        <f>_xlfn.XLOOKUP(Orders[[#This Row],[Customer ID]],customers!A:A,customers!I:I,,0)</f>
        <v>Yes</v>
      </c>
      <c r="Q317" t="str">
        <f>_xlfn.XLOOKUP(C318,customers!A:A,customers!B:B,"مش موجود")</f>
        <v>Nanny Lush</v>
      </c>
    </row>
    <row r="318" spans="1:17" x14ac:dyDescent="0.25">
      <c r="A318" s="2" t="s">
        <v>2273</v>
      </c>
      <c r="B318" s="3">
        <v>43641</v>
      </c>
      <c r="C318" s="2" t="s">
        <v>2274</v>
      </c>
      <c r="D318" t="s">
        <v>6148</v>
      </c>
      <c r="E318" s="2">
        <v>6</v>
      </c>
      <c r="F318" s="2" t="str">
        <f>_xlfn.XLOOKUP(Orders[[#This Row],[Customer ID]],customers!A:A,customers!B:B)</f>
        <v>Nanny Lush</v>
      </c>
      <c r="G318" s="2" t="str" cm="1">
        <f t="array" ref="G318">IF(_xlfn.XLOOKUP(C318,customers!A317:$A$1001,customers!C317:$C$1001,,0)=0,"",_xlfn.XLOOKUP(C318,customers!A317:$A$1001,customers!C317:$C$1001,,0))</f>
        <v>nlush8s@dedecms.com</v>
      </c>
      <c r="H318" s="2" t="str" cm="1">
        <f t="array" ref="H318">_xlfn.XLOOKUP(C318,customers!A317:$A$1001,customers!G317:$G$1001,"Ireland",0)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4"/>
        <v>204.92999999999995</v>
      </c>
      <c r="N318" t="str" cm="1">
        <f t="array" ref="N318">_xlfn.IFS(I318="Rob","Robusta",I318="Exc","Excelsa",I318="Ara","Arabica",I318="Lib","Liberica")</f>
        <v>Excelsa</v>
      </c>
      <c r="O318" t="str" cm="1">
        <f t="array" ref="O318">_xlfn.IFS(J318="M","Midium",J318="L","Light",J318="D","Dark")</f>
        <v>Light</v>
      </c>
      <c r="P318" t="str">
        <f>_xlfn.XLOOKUP(Orders[[#This Row],[Customer ID]],customers!A:A,customers!I:I,,0)</f>
        <v>No</v>
      </c>
      <c r="Q318" t="str">
        <f>_xlfn.XLOOKUP(C319,customers!A:A,customers!B:B,"مش موجود")</f>
        <v>Selma McMillian</v>
      </c>
    </row>
    <row r="319" spans="1:17" x14ac:dyDescent="0.25">
      <c r="A319" s="2" t="s">
        <v>2279</v>
      </c>
      <c r="B319" s="3">
        <v>43526</v>
      </c>
      <c r="C319" s="2" t="s">
        <v>2280</v>
      </c>
      <c r="D319" t="s">
        <v>6144</v>
      </c>
      <c r="E319" s="2">
        <v>3</v>
      </c>
      <c r="F319" s="2" t="str">
        <f>_xlfn.XLOOKUP(Orders[[#This Row],[Customer ID]],customers!A:A,customers!B:B)</f>
        <v>Selma McMillian</v>
      </c>
      <c r="G319" s="2" t="str" cm="1">
        <f t="array" ref="G319">IF(_xlfn.XLOOKUP(C319,customers!A318:$A$1001,customers!C318:$C$1001,,0)=0,"",_xlfn.XLOOKUP(C319,customers!A318:$A$1001,customers!C318:$C$1001,,0))</f>
        <v>smcmillian8t@csmonitor.com</v>
      </c>
      <c r="H319" s="2" t="str" cm="1">
        <f t="array" ref="H319">_xlfn.XLOOKUP(C319,customers!A318:$A$1001,customers!G318:$G$1001,"Ireland",0)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4"/>
        <v>21.87</v>
      </c>
      <c r="N319" t="str" cm="1">
        <f t="array" ref="N319">_xlfn.IFS(I319="Rob","Robusta",I319="Exc","Excelsa",I319="Ara","Arabica",I319="Lib","Liberica")</f>
        <v>Excelsa</v>
      </c>
      <c r="O319" t="str" cm="1">
        <f t="array" ref="O319">_xlfn.IFS(J319="M","Midium",J319="L","Light",J319="D","Dark")</f>
        <v>Dark</v>
      </c>
      <c r="P319" t="str">
        <f>_xlfn.XLOOKUP(Orders[[#This Row],[Customer ID]],customers!A:A,customers!I:I,,0)</f>
        <v>No</v>
      </c>
      <c r="Q319" t="str">
        <f>_xlfn.XLOOKUP(C320,customers!A:A,customers!B:B,"مش موجود")</f>
        <v>Tess Bennison</v>
      </c>
    </row>
    <row r="320" spans="1:17" x14ac:dyDescent="0.25">
      <c r="A320" s="2" t="s">
        <v>2285</v>
      </c>
      <c r="B320" s="3">
        <v>44563</v>
      </c>
      <c r="C320" s="2" t="s">
        <v>2286</v>
      </c>
      <c r="D320" t="s">
        <v>6175</v>
      </c>
      <c r="E320" s="2">
        <v>2</v>
      </c>
      <c r="F320" s="2" t="str">
        <f>_xlfn.XLOOKUP(Orders[[#This Row],[Customer ID]],customers!A:A,customers!B:B)</f>
        <v>Tess Bennison</v>
      </c>
      <c r="G320" s="2" t="str" cm="1">
        <f t="array" ref="G320">IF(_xlfn.XLOOKUP(C320,customers!A319:$A$1001,customers!C319:$C$1001,,0)=0,"",_xlfn.XLOOKUP(C320,customers!A319:$A$1001,customers!C319:$C$1001,,0))</f>
        <v>tbennison8u@google.cn</v>
      </c>
      <c r="H320" s="2" t="str" cm="1">
        <f t="array" ref="H320">_xlfn.XLOOKUP(C320,customers!A319:$A$1001,customers!G319:$G$1001,"Ireland",0)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4"/>
        <v>51.749999999999993</v>
      </c>
      <c r="N320" t="str" cm="1">
        <f t="array" ref="N320">_xlfn.IFS(I320="Rob","Robusta",I320="Exc","Excelsa",I320="Ara","Arabica",I320="Lib","Liberica")</f>
        <v>Arabica</v>
      </c>
      <c r="O320" t="str" cm="1">
        <f t="array" ref="O320">_xlfn.IFS(J320="M","Midium",J320="L","Light",J320="D","Dark")</f>
        <v>Midium</v>
      </c>
      <c r="P320" t="str">
        <f>_xlfn.XLOOKUP(Orders[[#This Row],[Customer ID]],customers!A:A,customers!I:I,,0)</f>
        <v>Yes</v>
      </c>
      <c r="Q320" t="str">
        <f>_xlfn.XLOOKUP(C321,customers!A:A,customers!B:B,"مش موجود")</f>
        <v>Gabie Tweed</v>
      </c>
    </row>
    <row r="321" spans="1:17" x14ac:dyDescent="0.25">
      <c r="A321" s="2" t="s">
        <v>2291</v>
      </c>
      <c r="B321" s="3">
        <v>43676</v>
      </c>
      <c r="C321" s="2" t="s">
        <v>2292</v>
      </c>
      <c r="D321" t="s">
        <v>6156</v>
      </c>
      <c r="E321" s="2">
        <v>2</v>
      </c>
      <c r="F321" s="2" t="str">
        <f>_xlfn.XLOOKUP(Orders[[#This Row],[Customer ID]],customers!A:A,customers!B:B)</f>
        <v>Gabie Tweed</v>
      </c>
      <c r="G321" s="2" t="str" cm="1">
        <f t="array" ref="G321">IF(_xlfn.XLOOKUP(C321,customers!A320:$A$1001,customers!C320:$C$1001,,0)=0,"",_xlfn.XLOOKUP(C321,customers!A320:$A$1001,customers!C320:$C$1001,,0))</f>
        <v>gtweed8v@yolasite.com</v>
      </c>
      <c r="H321" s="2" t="str" cm="1">
        <f t="array" ref="H321">_xlfn.XLOOKUP(C321,customers!A320:$A$1001,customers!G320:$G$1001,"Ireland",0)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4"/>
        <v>8.25</v>
      </c>
      <c r="N321" t="str" cm="1">
        <f t="array" ref="N321">_xlfn.IFS(I321="Rob","Robusta",I321="Exc","Excelsa",I321="Ara","Arabica",I321="Lib","Liberica")</f>
        <v>Excelsa</v>
      </c>
      <c r="O321" t="str" cm="1">
        <f t="array" ref="O321">_xlfn.IFS(J321="M","Midium",J321="L","Light",J321="D","Dark")</f>
        <v>Midium</v>
      </c>
      <c r="P321" t="str">
        <f>_xlfn.XLOOKUP(Orders[[#This Row],[Customer ID]],customers!A:A,customers!I:I,,0)</f>
        <v>Yes</v>
      </c>
      <c r="Q321" t="str">
        <f>_xlfn.XLOOKUP(C322,customers!A:A,customers!B:B,"مش موجود")</f>
        <v>Gabie Tweed</v>
      </c>
    </row>
    <row r="322" spans="1:17" x14ac:dyDescent="0.25">
      <c r="A322" s="2" t="s">
        <v>2291</v>
      </c>
      <c r="B322" s="3">
        <v>43676</v>
      </c>
      <c r="C322" s="2" t="s">
        <v>2292</v>
      </c>
      <c r="D322" t="s">
        <v>6167</v>
      </c>
      <c r="E322" s="2">
        <v>5</v>
      </c>
      <c r="F322" s="2" t="str">
        <f>_xlfn.XLOOKUP(Orders[[#This Row],[Customer ID]],customers!A:A,customers!B:B)</f>
        <v>Gabie Tweed</v>
      </c>
      <c r="G322" s="2" t="str" cm="1">
        <f t="array" ref="G322">IF(_xlfn.XLOOKUP(C322,customers!A321:$A$1001,customers!C321:$C$1001,,0)=0,"",_xlfn.XLOOKUP(C322,customers!A321:$A$1001,customers!C321:$C$1001,,0))</f>
        <v>gtweed8v@yolasite.com</v>
      </c>
      <c r="H322" s="2" t="str" cm="1">
        <f t="array" ref="H322">_xlfn.XLOOKUP(C322,customers!A321:$A$1001,customers!G321:$G$1001,"Ireland",0)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4"/>
        <v>19.424999999999997</v>
      </c>
      <c r="N322" t="str" cm="1">
        <f t="array" ref="N322">_xlfn.IFS(I322="Rob","Robusta",I322="Exc","Excelsa",I322="Ara","Arabica",I322="Lib","Liberica")</f>
        <v>Arabica</v>
      </c>
      <c r="O322" t="str" cm="1">
        <f t="array" ref="O322">_xlfn.IFS(J322="M","Midium",J322="L","Light",J322="D","Dark")</f>
        <v>Light</v>
      </c>
      <c r="P322" t="str">
        <f>_xlfn.XLOOKUP(Orders[[#This Row],[Customer ID]],customers!A:A,customers!I:I,,0)</f>
        <v>Yes</v>
      </c>
      <c r="Q322" t="str">
        <f>_xlfn.XLOOKUP(C323,customers!A:A,customers!B:B,"مش موجود")</f>
        <v>Gaile Goggin</v>
      </c>
    </row>
    <row r="323" spans="1:17" x14ac:dyDescent="0.25">
      <c r="A323" s="2" t="s">
        <v>2301</v>
      </c>
      <c r="B323" s="3">
        <v>44170</v>
      </c>
      <c r="C323" s="2" t="s">
        <v>2302</v>
      </c>
      <c r="D323" t="s">
        <v>6152</v>
      </c>
      <c r="E323" s="2">
        <v>6</v>
      </c>
      <c r="F323" s="2" t="str">
        <f>_xlfn.XLOOKUP(Orders[[#This Row],[Customer ID]],customers!A:A,customers!B:B)</f>
        <v>Gaile Goggin</v>
      </c>
      <c r="G323" s="2" t="str" cm="1">
        <f t="array" ref="G323">IF(_xlfn.XLOOKUP(C323,customers!A322:$A$1001,customers!C322:$C$1001,,0)=0,"",_xlfn.XLOOKUP(C323,customers!A322:$A$1001,customers!C322:$C$1001,,0))</f>
        <v>ggoggin8x@wix.com</v>
      </c>
      <c r="H323" s="2" t="str" cm="1">
        <f t="array" ref="H323">_xlfn.XLOOKUP(C323,customers!A322:$A$1001,customers!G322:$G$1001,"Ireland",0)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5">L323*E323</f>
        <v>20.25</v>
      </c>
      <c r="N323" t="str" cm="1">
        <f t="array" ref="N323">_xlfn.IFS(I323="Rob","Robusta",I323="Exc","Excelsa",I323="Ara","Arabica",I323="Lib","Liberica")</f>
        <v>Arabica</v>
      </c>
      <c r="O323" t="str" cm="1">
        <f t="array" ref="O323">_xlfn.IFS(J323="M","Midium",J323="L","Light",J323="D","Dark")</f>
        <v>Midium</v>
      </c>
      <c r="P323" t="str">
        <f>_xlfn.XLOOKUP(Orders[[#This Row],[Customer ID]],customers!A:A,customers!I:I,,0)</f>
        <v>Yes</v>
      </c>
      <c r="Q323" t="str">
        <f>_xlfn.XLOOKUP(C324,customers!A:A,customers!B:B,"مش موجود")</f>
        <v>Skylar Jeyness</v>
      </c>
    </row>
    <row r="324" spans="1:17" x14ac:dyDescent="0.25">
      <c r="A324" s="2" t="s">
        <v>2307</v>
      </c>
      <c r="B324" s="3">
        <v>44182</v>
      </c>
      <c r="C324" s="2" t="s">
        <v>2308</v>
      </c>
      <c r="D324" t="s">
        <v>6169</v>
      </c>
      <c r="E324" s="2">
        <v>3</v>
      </c>
      <c r="F324" s="2" t="str">
        <f>_xlfn.XLOOKUP(Orders[[#This Row],[Customer ID]],customers!A:A,customers!B:B)</f>
        <v>Skylar Jeyness</v>
      </c>
      <c r="G324" s="2" t="str" cm="1">
        <f t="array" ref="G324">IF(_xlfn.XLOOKUP(C324,customers!A323:$A$1001,customers!C323:$C$1001,,0)=0,"",_xlfn.XLOOKUP(C324,customers!A323:$A$1001,customers!C323:$C$1001,,0))</f>
        <v>sjeyness8y@biglobe.ne.jp</v>
      </c>
      <c r="H324" s="2" t="str" cm="1">
        <f t="array" ref="H324">_xlfn.XLOOKUP(C324,customers!A323:$A$1001,customers!G323:$G$1001,"Ireland",0)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5"/>
        <v>23.31</v>
      </c>
      <c r="N324" t="str" cm="1">
        <f t="array" ref="N324">_xlfn.IFS(I324="Rob","Robusta",I324="Exc","Excelsa",I324="Ara","Arabica",I324="Lib","Liberica")</f>
        <v>Liberica</v>
      </c>
      <c r="O324" t="str" cm="1">
        <f t="array" ref="O324">_xlfn.IFS(J324="M","Midium",J324="L","Light",J324="D","Dark")</f>
        <v>Dark</v>
      </c>
      <c r="P324" t="str">
        <f>_xlfn.XLOOKUP(Orders[[#This Row],[Customer ID]],customers!A:A,customers!I:I,,0)</f>
        <v>No</v>
      </c>
      <c r="Q324" t="str">
        <f>_xlfn.XLOOKUP(C325,customers!A:A,customers!B:B,"مش موجود")</f>
        <v>Donica Bonhome</v>
      </c>
    </row>
    <row r="325" spans="1:17" x14ac:dyDescent="0.25">
      <c r="A325" s="2" t="s">
        <v>2313</v>
      </c>
      <c r="B325" s="3">
        <v>44373</v>
      </c>
      <c r="C325" s="2" t="s">
        <v>2314</v>
      </c>
      <c r="D325" t="s">
        <v>6153</v>
      </c>
      <c r="E325" s="2">
        <v>5</v>
      </c>
      <c r="F325" s="2" t="str">
        <f>_xlfn.XLOOKUP(Orders[[#This Row],[Customer ID]],customers!A:A,customers!B:B)</f>
        <v>Donica Bonhome</v>
      </c>
      <c r="G325" s="2" t="str" cm="1">
        <f t="array" ref="G325">IF(_xlfn.XLOOKUP(C325,customers!A324:$A$1001,customers!C324:$C$1001,,0)=0,"",_xlfn.XLOOKUP(C325,customers!A324:$A$1001,customers!C324:$C$1001,,0))</f>
        <v>dbonhome8z@shinystat.com</v>
      </c>
      <c r="H325" s="2" t="str" cm="1">
        <f t="array" ref="H325">_xlfn.XLOOKUP(C325,customers!A324:$A$1001,customers!G324:$G$1001,"Ireland",0)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5"/>
        <v>18.225000000000001</v>
      </c>
      <c r="N325" t="str" cm="1">
        <f t="array" ref="N325">_xlfn.IFS(I325="Rob","Robusta",I325="Exc","Excelsa",I325="Ara","Arabica",I325="Lib","Liberica")</f>
        <v>Excelsa</v>
      </c>
      <c r="O325" t="str" cm="1">
        <f t="array" ref="O325">_xlfn.IFS(J325="M","Midium",J325="L","Light",J325="D","Dark")</f>
        <v>Dark</v>
      </c>
      <c r="P325" t="str">
        <f>_xlfn.XLOOKUP(Orders[[#This Row],[Customer ID]],customers!A:A,customers!I:I,,0)</f>
        <v>Yes</v>
      </c>
      <c r="Q325" t="str">
        <f>_xlfn.XLOOKUP(C326,customers!A:A,customers!B:B,"مش موجود")</f>
        <v>Diena Peetermann</v>
      </c>
    </row>
    <row r="326" spans="1:17" x14ac:dyDescent="0.25">
      <c r="A326" s="2" t="s">
        <v>2319</v>
      </c>
      <c r="B326" s="3">
        <v>43666</v>
      </c>
      <c r="C326" s="2" t="s">
        <v>2320</v>
      </c>
      <c r="D326" t="s">
        <v>6141</v>
      </c>
      <c r="E326" s="2">
        <v>1</v>
      </c>
      <c r="F326" s="2" t="str">
        <f>_xlfn.XLOOKUP(Orders[[#This Row],[Customer ID]],customers!A:A,customers!B:B)</f>
        <v>Diena Peetermann</v>
      </c>
      <c r="G326" s="2" t="str" cm="1">
        <f t="array" ref="G326">IF(_xlfn.XLOOKUP(C326,customers!A325:$A$1001,customers!C325:$C$1001,,0)=0,"",_xlfn.XLOOKUP(C326,customers!A325:$A$1001,customers!C325:$C$1001,,0))</f>
        <v/>
      </c>
      <c r="H326" s="2" t="str" cm="1">
        <f t="array" ref="H326">_xlfn.XLOOKUP(C326,customers!A325:$A$1001,customers!G325:$G$1001,"Ireland",0)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5"/>
        <v>13.75</v>
      </c>
      <c r="N326" t="str" cm="1">
        <f t="array" ref="N326">_xlfn.IFS(I326="Rob","Robusta",I326="Exc","Excelsa",I326="Ara","Arabica",I326="Lib","Liberica")</f>
        <v>Excelsa</v>
      </c>
      <c r="O326" t="str" cm="1">
        <f t="array" ref="O326">_xlfn.IFS(J326="M","Midium",J326="L","Light",J326="D","Dark")</f>
        <v>Midium</v>
      </c>
      <c r="P326" t="str">
        <f>_xlfn.XLOOKUP(Orders[[#This Row],[Customer ID]],customers!A:A,customers!I:I,,0)</f>
        <v>No</v>
      </c>
      <c r="Q326" t="str">
        <f>_xlfn.XLOOKUP(C327,customers!A:A,customers!B:B,"مش موجود")</f>
        <v>Trina Le Sarr</v>
      </c>
    </row>
    <row r="327" spans="1:17" x14ac:dyDescent="0.25">
      <c r="A327" s="2" t="s">
        <v>2324</v>
      </c>
      <c r="B327" s="3">
        <v>44756</v>
      </c>
      <c r="C327" s="2" t="s">
        <v>2325</v>
      </c>
      <c r="D327" t="s">
        <v>6182</v>
      </c>
      <c r="E327" s="2">
        <v>1</v>
      </c>
      <c r="F327" s="2" t="str">
        <f>_xlfn.XLOOKUP(Orders[[#This Row],[Customer ID]],customers!A:A,customers!B:B)</f>
        <v>Trina Le Sarr</v>
      </c>
      <c r="G327" s="2" t="str" cm="1">
        <f t="array" ref="G327">IF(_xlfn.XLOOKUP(C327,customers!A326:$A$1001,customers!C326:$C$1001,,0)=0,"",_xlfn.XLOOKUP(C327,customers!A326:$A$1001,customers!C326:$C$1001,,0))</f>
        <v>tle91@epa.gov</v>
      </c>
      <c r="H327" s="2" t="str" cm="1">
        <f t="array" ref="H327">_xlfn.XLOOKUP(C327,customers!A326:$A$1001,customers!G326:$G$1001,"Ireland",0)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5"/>
        <v>29.784999999999997</v>
      </c>
      <c r="N327" t="str" cm="1">
        <f t="array" ref="N327">_xlfn.IFS(I327="Rob","Robusta",I327="Exc","Excelsa",I327="Ara","Arabica",I327="Lib","Liberica")</f>
        <v>Arabica</v>
      </c>
      <c r="O327" t="str" cm="1">
        <f t="array" ref="O327">_xlfn.IFS(J327="M","Midium",J327="L","Light",J327="D","Dark")</f>
        <v>Light</v>
      </c>
      <c r="P327" t="str">
        <f>_xlfn.XLOOKUP(Orders[[#This Row],[Customer ID]],customers!A:A,customers!I:I,,0)</f>
        <v>Yes</v>
      </c>
      <c r="Q327" t="str">
        <f>_xlfn.XLOOKUP(C328,customers!A:A,customers!B:B,"مش موجود")</f>
        <v>Flynn Antony</v>
      </c>
    </row>
    <row r="328" spans="1:17" x14ac:dyDescent="0.25">
      <c r="A328" s="2" t="s">
        <v>2330</v>
      </c>
      <c r="B328" s="3">
        <v>44057</v>
      </c>
      <c r="C328" s="2" t="s">
        <v>2331</v>
      </c>
      <c r="D328" t="s">
        <v>6177</v>
      </c>
      <c r="E328" s="2">
        <v>5</v>
      </c>
      <c r="F328" s="2" t="str">
        <f>_xlfn.XLOOKUP(Orders[[#This Row],[Customer ID]],customers!A:A,customers!B:B)</f>
        <v>Flynn Antony</v>
      </c>
      <c r="G328" s="2" t="str" cm="1">
        <f t="array" ref="G328">IF(_xlfn.XLOOKUP(C328,customers!A327:$A$1001,customers!C327:$C$1001,,0)=0,"",_xlfn.XLOOKUP(C328,customers!A327:$A$1001,customers!C327:$C$1001,,0))</f>
        <v/>
      </c>
      <c r="H328" s="2" t="str" cm="1">
        <f t="array" ref="H328">_xlfn.XLOOKUP(C328,customers!A327:$A$1001,customers!G327:$G$1001,"Ireland",0)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5"/>
        <v>44.75</v>
      </c>
      <c r="N328" t="str" cm="1">
        <f t="array" ref="N328">_xlfn.IFS(I328="Rob","Robusta",I328="Exc","Excelsa",I328="Ara","Arabica",I328="Lib","Liberica")</f>
        <v>Robusta</v>
      </c>
      <c r="O328" t="str" cm="1">
        <f t="array" ref="O328">_xlfn.IFS(J328="M","Midium",J328="L","Light",J328="D","Dark")</f>
        <v>Dark</v>
      </c>
      <c r="P328" t="str">
        <f>_xlfn.XLOOKUP(Orders[[#This Row],[Customer ID]],customers!A:A,customers!I:I,,0)</f>
        <v>No</v>
      </c>
      <c r="Q328" t="str">
        <f>_xlfn.XLOOKUP(C329,customers!A:A,customers!B:B,"مش موجود")</f>
        <v>Baudoin Alldridge</v>
      </c>
    </row>
    <row r="329" spans="1:17" x14ac:dyDescent="0.25">
      <c r="A329" s="2" t="s">
        <v>2335</v>
      </c>
      <c r="B329" s="3">
        <v>43579</v>
      </c>
      <c r="C329" s="2" t="s">
        <v>2336</v>
      </c>
      <c r="D329" t="s">
        <v>6177</v>
      </c>
      <c r="E329" s="2">
        <v>5</v>
      </c>
      <c r="F329" s="2" t="str">
        <f>_xlfn.XLOOKUP(Orders[[#This Row],[Customer ID]],customers!A:A,customers!B:B)</f>
        <v>Baudoin Alldridge</v>
      </c>
      <c r="G329" s="2" t="str" cm="1">
        <f t="array" ref="G329">IF(_xlfn.XLOOKUP(C329,customers!A328:$A$1001,customers!C328:$C$1001,,0)=0,"",_xlfn.XLOOKUP(C329,customers!A328:$A$1001,customers!C328:$C$1001,,0))</f>
        <v>balldridge93@yandex.ru</v>
      </c>
      <c r="H329" s="2" t="str" cm="1">
        <f t="array" ref="H329">_xlfn.XLOOKUP(C329,customers!A328:$A$1001,customers!G328:$G$1001,"Ireland",0)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5"/>
        <v>44.75</v>
      </c>
      <c r="N329" t="str" cm="1">
        <f t="array" ref="N329">_xlfn.IFS(I329="Rob","Robusta",I329="Exc","Excelsa",I329="Ara","Arabica",I329="Lib","Liberica")</f>
        <v>Robusta</v>
      </c>
      <c r="O329" t="str" cm="1">
        <f t="array" ref="O329">_xlfn.IFS(J329="M","Midium",J329="L","Light",J329="D","Dark")</f>
        <v>Dark</v>
      </c>
      <c r="P329" t="str">
        <f>_xlfn.XLOOKUP(Orders[[#This Row],[Customer ID]],customers!A:A,customers!I:I,,0)</f>
        <v>Yes</v>
      </c>
      <c r="Q329" t="str">
        <f>_xlfn.XLOOKUP(C330,customers!A:A,customers!B:B,"مش موجود")</f>
        <v>Homer Dulany</v>
      </c>
    </row>
    <row r="330" spans="1:17" x14ac:dyDescent="0.25">
      <c r="A330" s="2" t="s">
        <v>2341</v>
      </c>
      <c r="B330" s="3">
        <v>43620</v>
      </c>
      <c r="C330" s="2" t="s">
        <v>2342</v>
      </c>
      <c r="D330" t="s">
        <v>6161</v>
      </c>
      <c r="E330" s="2">
        <v>4</v>
      </c>
      <c r="F330" s="2" t="str">
        <f>_xlfn.XLOOKUP(Orders[[#This Row],[Customer ID]],customers!A:A,customers!B:B)</f>
        <v>Homer Dulany</v>
      </c>
      <c r="G330" s="2" t="str" cm="1">
        <f t="array" ref="G330">IF(_xlfn.XLOOKUP(C330,customers!A329:$A$1001,customers!C329:$C$1001,,0)=0,"",_xlfn.XLOOKUP(C330,customers!A329:$A$1001,customers!C329:$C$1001,,0))</f>
        <v/>
      </c>
      <c r="H330" s="2" t="str" cm="1">
        <f t="array" ref="H330">_xlfn.XLOOKUP(C330,customers!A329:$A$1001,customers!G329:$G$1001,"Ireland",0)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5"/>
        <v>38.04</v>
      </c>
      <c r="N330" t="str" cm="1">
        <f t="array" ref="N330">_xlfn.IFS(I330="Rob","Robusta",I330="Exc","Excelsa",I330="Ara","Arabica",I330="Lib","Liberica")</f>
        <v>Liberica</v>
      </c>
      <c r="O330" t="str" cm="1">
        <f t="array" ref="O330">_xlfn.IFS(J330="M","Midium",J330="L","Light",J330="D","Dark")</f>
        <v>Light</v>
      </c>
      <c r="P330" t="str">
        <f>_xlfn.XLOOKUP(Orders[[#This Row],[Customer ID]],customers!A:A,customers!I:I,,0)</f>
        <v>Yes</v>
      </c>
      <c r="Q330" t="str">
        <f>_xlfn.XLOOKUP(C331,customers!A:A,customers!B:B,"مش موجود")</f>
        <v>Lisa Goodger</v>
      </c>
    </row>
    <row r="331" spans="1:17" x14ac:dyDescent="0.25">
      <c r="A331" s="2" t="s">
        <v>2346</v>
      </c>
      <c r="B331" s="3">
        <v>44781</v>
      </c>
      <c r="C331" s="2" t="s">
        <v>2347</v>
      </c>
      <c r="D331" t="s">
        <v>6172</v>
      </c>
      <c r="E331" s="2">
        <v>4</v>
      </c>
      <c r="F331" s="2" t="str">
        <f>_xlfn.XLOOKUP(Orders[[#This Row],[Customer ID]],customers!A:A,customers!B:B)</f>
        <v>Lisa Goodger</v>
      </c>
      <c r="G331" s="2" t="str" cm="1">
        <f t="array" ref="G331">IF(_xlfn.XLOOKUP(C331,customers!A330:$A$1001,customers!C330:$C$1001,,0)=0,"",_xlfn.XLOOKUP(C331,customers!A330:$A$1001,customers!C330:$C$1001,,0))</f>
        <v>lgoodger95@guardian.co.uk</v>
      </c>
      <c r="H331" s="2" t="str" cm="1">
        <f t="array" ref="H331">_xlfn.XLOOKUP(C331,customers!A330:$A$1001,customers!G330:$G$1001,"Ireland",0)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5"/>
        <v>21.479999999999997</v>
      </c>
      <c r="N331" t="str" cm="1">
        <f t="array" ref="N331">_xlfn.IFS(I331="Rob","Robusta",I331="Exc","Excelsa",I331="Ara","Arabica",I331="Lib","Liberica")</f>
        <v>Robusta</v>
      </c>
      <c r="O331" t="str" cm="1">
        <f t="array" ref="O331">_xlfn.IFS(J331="M","Midium",J331="L","Light",J331="D","Dark")</f>
        <v>Dark</v>
      </c>
      <c r="P331" t="str">
        <f>_xlfn.XLOOKUP(Orders[[#This Row],[Customer ID]],customers!A:A,customers!I:I,,0)</f>
        <v>Yes</v>
      </c>
      <c r="Q331" t="str">
        <f>_xlfn.XLOOKUP(C332,customers!A:A,customers!B:B,"مش موجود")</f>
        <v>Selma McMillian</v>
      </c>
    </row>
    <row r="332" spans="1:17" x14ac:dyDescent="0.25">
      <c r="A332" s="2" t="s">
        <v>2351</v>
      </c>
      <c r="B332" s="3">
        <v>43782</v>
      </c>
      <c r="C332" s="2" t="s">
        <v>2280</v>
      </c>
      <c r="D332" t="s">
        <v>6172</v>
      </c>
      <c r="E332" s="2">
        <v>3</v>
      </c>
      <c r="F332" s="2" t="str">
        <f>_xlfn.XLOOKUP(Orders[[#This Row],[Customer ID]],customers!A:A,customers!B:B)</f>
        <v>Selma McMillian</v>
      </c>
      <c r="G332" s="2" t="e" cm="1">
        <f t="array" ref="G332">IF(_xlfn.XLOOKUP(C332,customers!A331:$A$1001,customers!C331:$C$1001,,0)=0,"",_xlfn.XLOOKUP(C332,customers!A331:$A$1001,customers!C331:$C$1001,,0))</f>
        <v>#N/A</v>
      </c>
      <c r="H332" s="2" t="str" cm="1">
        <f t="array" ref="H332">_xlfn.XLOOKUP(C332,customers!A331:$A$1001,customers!G331:$G$1001,"Ireland",0)</f>
        <v>Ireland</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5"/>
        <v>16.11</v>
      </c>
      <c r="N332" t="str" cm="1">
        <f t="array" ref="N332">_xlfn.IFS(I332="Rob","Robusta",I332="Exc","Excelsa",I332="Ara","Arabica",I332="Lib","Liberica")</f>
        <v>Robusta</v>
      </c>
      <c r="O332" t="str" cm="1">
        <f t="array" ref="O332">_xlfn.IFS(J332="M","Midium",J332="L","Light",J332="D","Dark")</f>
        <v>Dark</v>
      </c>
      <c r="P332" t="str">
        <f>_xlfn.XLOOKUP(Orders[[#This Row],[Customer ID]],customers!A:A,customers!I:I,,0)</f>
        <v>No</v>
      </c>
      <c r="Q332" t="str">
        <f>_xlfn.XLOOKUP(C333,customers!A:A,customers!B:B,"مش موجود")</f>
        <v>Corine Drewett</v>
      </c>
    </row>
    <row r="333" spans="1:17" x14ac:dyDescent="0.25">
      <c r="A333" s="2" t="s">
        <v>2357</v>
      </c>
      <c r="B333" s="3">
        <v>43989</v>
      </c>
      <c r="C333" s="2" t="s">
        <v>2358</v>
      </c>
      <c r="D333" t="s">
        <v>6151</v>
      </c>
      <c r="E333" s="2">
        <v>1</v>
      </c>
      <c r="F333" s="2" t="str">
        <f>_xlfn.XLOOKUP(Orders[[#This Row],[Customer ID]],customers!A:A,customers!B:B)</f>
        <v>Corine Drewett</v>
      </c>
      <c r="G333" s="2" t="str" cm="1">
        <f t="array" ref="G333">IF(_xlfn.XLOOKUP(C333,customers!A332:$A$1001,customers!C332:$C$1001,,0)=0,"",_xlfn.XLOOKUP(C333,customers!A332:$A$1001,customers!C332:$C$1001,,0))</f>
        <v>cdrewett97@wikipedia.org</v>
      </c>
      <c r="H333" s="2" t="str" cm="1">
        <f t="array" ref="H333">_xlfn.XLOOKUP(C333,customers!A332:$A$1001,customers!G332:$G$1001,"Ireland",0)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5"/>
        <v>22.884999999999998</v>
      </c>
      <c r="N333" t="str" cm="1">
        <f t="array" ref="N333">_xlfn.IFS(I333="Rob","Robusta",I333="Exc","Excelsa",I333="Ara","Arabica",I333="Lib","Liberica")</f>
        <v>Robusta</v>
      </c>
      <c r="O333" t="str" cm="1">
        <f t="array" ref="O333">_xlfn.IFS(J333="M","Midium",J333="L","Light",J333="D","Dark")</f>
        <v>Midium</v>
      </c>
      <c r="P333" t="str">
        <f>_xlfn.XLOOKUP(Orders[[#This Row],[Customer ID]],customers!A:A,customers!I:I,,0)</f>
        <v>Yes</v>
      </c>
      <c r="Q333" t="str">
        <f>_xlfn.XLOOKUP(C334,customers!A:A,customers!B:B,"مش موجود")</f>
        <v>Quinn Parsons</v>
      </c>
    </row>
    <row r="334" spans="1:17" x14ac:dyDescent="0.25">
      <c r="A334" s="2" t="s">
        <v>2363</v>
      </c>
      <c r="B334" s="3">
        <v>43689</v>
      </c>
      <c r="C334" s="2" t="s">
        <v>2364</v>
      </c>
      <c r="D334" t="s">
        <v>6158</v>
      </c>
      <c r="E334" s="2">
        <v>3</v>
      </c>
      <c r="F334" s="2" t="str">
        <f>_xlfn.XLOOKUP(Orders[[#This Row],[Customer ID]],customers!A:A,customers!B:B)</f>
        <v>Quinn Parsons</v>
      </c>
      <c r="G334" s="2" t="str" cm="1">
        <f t="array" ref="G334">IF(_xlfn.XLOOKUP(C334,customers!A333:$A$1001,customers!C333:$C$1001,,0)=0,"",_xlfn.XLOOKUP(C334,customers!A333:$A$1001,customers!C333:$C$1001,,0))</f>
        <v>qparsons98@blogtalkradio.com</v>
      </c>
      <c r="H334" s="2" t="str" cm="1">
        <f t="array" ref="H334">_xlfn.XLOOKUP(C334,customers!A333:$A$1001,customers!G333:$G$1001,"Ireland",0)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5"/>
        <v>17.91</v>
      </c>
      <c r="N334" t="str" cm="1">
        <f t="array" ref="N334">_xlfn.IFS(I334="Rob","Robusta",I334="Exc","Excelsa",I334="Ara","Arabica",I334="Lib","Liberica")</f>
        <v>Arabica</v>
      </c>
      <c r="O334" t="str" cm="1">
        <f t="array" ref="O334">_xlfn.IFS(J334="M","Midium",J334="L","Light",J334="D","Dark")</f>
        <v>Dark</v>
      </c>
      <c r="P334" t="str">
        <f>_xlfn.XLOOKUP(Orders[[#This Row],[Customer ID]],customers!A:A,customers!I:I,,0)</f>
        <v>Yes</v>
      </c>
      <c r="Q334" t="str">
        <f>_xlfn.XLOOKUP(C335,customers!A:A,customers!B:B,"مش موجود")</f>
        <v>Vivyan Ceely</v>
      </c>
    </row>
    <row r="335" spans="1:17" x14ac:dyDescent="0.25">
      <c r="A335" s="2" t="s">
        <v>2369</v>
      </c>
      <c r="B335" s="3">
        <v>43712</v>
      </c>
      <c r="C335" s="2" t="s">
        <v>2370</v>
      </c>
      <c r="D335" t="s">
        <v>6146</v>
      </c>
      <c r="E335" s="2">
        <v>4</v>
      </c>
      <c r="F335" s="2" t="str">
        <f>_xlfn.XLOOKUP(Orders[[#This Row],[Customer ID]],customers!A:A,customers!B:B)</f>
        <v>Vivyan Ceely</v>
      </c>
      <c r="G335" s="2" t="str" cm="1">
        <f t="array" ref="G335">IF(_xlfn.XLOOKUP(C335,customers!A334:$A$1001,customers!C334:$C$1001,,0)=0,"",_xlfn.XLOOKUP(C335,customers!A334:$A$1001,customers!C334:$C$1001,,0))</f>
        <v>vceely99@auda.org.au</v>
      </c>
      <c r="H335" s="2" t="str" cm="1">
        <f t="array" ref="H335">_xlfn.XLOOKUP(C335,customers!A334:$A$1001,customers!G334:$G$1001,"Ireland",0)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5"/>
        <v>23.88</v>
      </c>
      <c r="N335" t="str" cm="1">
        <f t="array" ref="N335">_xlfn.IFS(I335="Rob","Robusta",I335="Exc","Excelsa",I335="Ara","Arabica",I335="Lib","Liberica")</f>
        <v>Robusta</v>
      </c>
      <c r="O335" t="str" cm="1">
        <f t="array" ref="O335">_xlfn.IFS(J335="M","Midium",J335="L","Light",J335="D","Dark")</f>
        <v>Midium</v>
      </c>
      <c r="P335" t="str">
        <f>_xlfn.XLOOKUP(Orders[[#This Row],[Customer ID]],customers!A:A,customers!I:I,,0)</f>
        <v>Yes</v>
      </c>
      <c r="Q335" t="str">
        <f>_xlfn.XLOOKUP(C336,customers!A:A,customers!B:B,"مش موجود")</f>
        <v>Elonore Goodings</v>
      </c>
    </row>
    <row r="336" spans="1:17" x14ac:dyDescent="0.25">
      <c r="A336" s="2" t="s">
        <v>2375</v>
      </c>
      <c r="B336" s="3">
        <v>43742</v>
      </c>
      <c r="C336" s="2" t="s">
        <v>2376</v>
      </c>
      <c r="D336" t="s">
        <v>6179</v>
      </c>
      <c r="E336" s="2">
        <v>5</v>
      </c>
      <c r="F336" s="2" t="str">
        <f>_xlfn.XLOOKUP(Orders[[#This Row],[Customer ID]],customers!A:A,customers!B:B)</f>
        <v>Elonore Goodings</v>
      </c>
      <c r="G336" s="2" t="str" cm="1">
        <f t="array" ref="G336">IF(_xlfn.XLOOKUP(C336,customers!A335:$A$1001,customers!C335:$C$1001,,0)=0,"",_xlfn.XLOOKUP(C336,customers!A335:$A$1001,customers!C335:$C$1001,,0))</f>
        <v/>
      </c>
      <c r="H336" s="2" t="str" cm="1">
        <f t="array" ref="H336">_xlfn.XLOOKUP(C336,customers!A335:$A$1001,customers!G335:$G$1001,"Ireland",0)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5"/>
        <v>59.75</v>
      </c>
      <c r="N336" t="str" cm="1">
        <f t="array" ref="N336">_xlfn.IFS(I336="Rob","Robusta",I336="Exc","Excelsa",I336="Ara","Arabica",I336="Lib","Liberica")</f>
        <v>Robusta</v>
      </c>
      <c r="O336" t="str" cm="1">
        <f t="array" ref="O336">_xlfn.IFS(J336="M","Midium",J336="L","Light",J336="D","Dark")</f>
        <v>Light</v>
      </c>
      <c r="P336" t="str">
        <f>_xlfn.XLOOKUP(Orders[[#This Row],[Customer ID]],customers!A:A,customers!I:I,,0)</f>
        <v>No</v>
      </c>
      <c r="Q336" t="str">
        <f>_xlfn.XLOOKUP(C337,customers!A:A,customers!B:B,"مش موجود")</f>
        <v>Clement Vasiliev</v>
      </c>
    </row>
    <row r="337" spans="1:17" x14ac:dyDescent="0.25">
      <c r="A337" s="2" t="s">
        <v>2379</v>
      </c>
      <c r="B337" s="3">
        <v>43885</v>
      </c>
      <c r="C337" s="2" t="s">
        <v>2380</v>
      </c>
      <c r="D337" t="s">
        <v>6145</v>
      </c>
      <c r="E337" s="2">
        <v>6</v>
      </c>
      <c r="F337" s="2" t="str">
        <f>_xlfn.XLOOKUP(Orders[[#This Row],[Customer ID]],customers!A:A,customers!B:B)</f>
        <v>Clement Vasiliev</v>
      </c>
      <c r="G337" s="2" t="str" cm="1">
        <f t="array" ref="G337">IF(_xlfn.XLOOKUP(C337,customers!A336:$A$1001,customers!C336:$C$1001,,0)=0,"",_xlfn.XLOOKUP(C337,customers!A336:$A$1001,customers!C336:$C$1001,,0))</f>
        <v>cvasiliev9b@discuz.net</v>
      </c>
      <c r="H337" s="2" t="str" cm="1">
        <f t="array" ref="H337">_xlfn.XLOOKUP(C337,customers!A336:$A$1001,customers!G336:$G$1001,"Ireland",0)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5"/>
        <v>28.53</v>
      </c>
      <c r="N337" t="str" cm="1">
        <f t="array" ref="N337">_xlfn.IFS(I337="Rob","Robusta",I337="Exc","Excelsa",I337="Ara","Arabica",I337="Lib","Liberica")</f>
        <v>Liberica</v>
      </c>
      <c r="O337" t="str" cm="1">
        <f t="array" ref="O337">_xlfn.IFS(J337="M","Midium",J337="L","Light",J337="D","Dark")</f>
        <v>Light</v>
      </c>
      <c r="P337" t="str">
        <f>_xlfn.XLOOKUP(Orders[[#This Row],[Customer ID]],customers!A:A,customers!I:I,,0)</f>
        <v>Yes</v>
      </c>
      <c r="Q337" t="str">
        <f>_xlfn.XLOOKUP(C338,customers!A:A,customers!B:B,"مش موجود")</f>
        <v>Terencio O'Moylan</v>
      </c>
    </row>
    <row r="338" spans="1:17" x14ac:dyDescent="0.25">
      <c r="A338" s="2" t="s">
        <v>2385</v>
      </c>
      <c r="B338" s="3">
        <v>44434</v>
      </c>
      <c r="C338" s="2" t="s">
        <v>2386</v>
      </c>
      <c r="D338" t="s">
        <v>6155</v>
      </c>
      <c r="E338" s="2">
        <v>4</v>
      </c>
      <c r="F338" s="2" t="str">
        <f>_xlfn.XLOOKUP(Orders[[#This Row],[Customer ID]],customers!A:A,customers!B:B)</f>
        <v>Terencio O'Moylan</v>
      </c>
      <c r="G338" s="2" t="str" cm="1">
        <f t="array" ref="G338">IF(_xlfn.XLOOKUP(C338,customers!A337:$A$1001,customers!C337:$C$1001,,0)=0,"",_xlfn.XLOOKUP(C338,customers!A337:$A$1001,customers!C337:$C$1001,,0))</f>
        <v>tomoylan9c@liveinternet.ru</v>
      </c>
      <c r="H338" s="2" t="str" cm="1">
        <f t="array" ref="H338">_xlfn.XLOOKUP(C338,customers!A337:$A$1001,customers!G337:$G$1001,"Ireland",0)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5"/>
        <v>45</v>
      </c>
      <c r="N338" t="str" cm="1">
        <f t="array" ref="N338">_xlfn.IFS(I338="Rob","Robusta",I338="Exc","Excelsa",I338="Ara","Arabica",I338="Lib","Liberica")</f>
        <v>Arabica</v>
      </c>
      <c r="O338" t="str" cm="1">
        <f t="array" ref="O338">_xlfn.IFS(J338="M","Midium",J338="L","Light",J338="D","Dark")</f>
        <v>Midium</v>
      </c>
      <c r="P338" t="str">
        <f>_xlfn.XLOOKUP(Orders[[#This Row],[Customer ID]],customers!A:A,customers!I:I,,0)</f>
        <v>No</v>
      </c>
      <c r="Q338" t="str">
        <f>_xlfn.XLOOKUP(C339,customers!A:A,customers!B:B,"مش موجود")</f>
        <v>Flynn Antony</v>
      </c>
    </row>
    <row r="339" spans="1:17" x14ac:dyDescent="0.25">
      <c r="A339" s="2" t="s">
        <v>2391</v>
      </c>
      <c r="B339" s="3">
        <v>44472</v>
      </c>
      <c r="C339" s="2" t="s">
        <v>2331</v>
      </c>
      <c r="D339" t="s">
        <v>6185</v>
      </c>
      <c r="E339" s="2">
        <v>2</v>
      </c>
      <c r="F339" s="2" t="str">
        <f>_xlfn.XLOOKUP(Orders[[#This Row],[Customer ID]],customers!A:A,customers!B:B)</f>
        <v>Flynn Antony</v>
      </c>
      <c r="G339" s="2" t="e" cm="1">
        <f t="array" ref="G339">IF(_xlfn.XLOOKUP(C339,customers!A338:$A$1001,customers!C338:$C$1001,,0)=0,"",_xlfn.XLOOKUP(C339,customers!A338:$A$1001,customers!C338:$C$1001,,0))</f>
        <v>#N/A</v>
      </c>
      <c r="H339" s="2" t="str" cm="1">
        <f t="array" ref="H339">_xlfn.XLOOKUP(C339,customers!A338:$A$1001,customers!G338:$G$1001,"Ireland",0)</f>
        <v>Ireland</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5"/>
        <v>55.89</v>
      </c>
      <c r="N339" t="str" cm="1">
        <f t="array" ref="N339">_xlfn.IFS(I339="Rob","Robusta",I339="Exc","Excelsa",I339="Ara","Arabica",I339="Lib","Liberica")</f>
        <v>Excelsa</v>
      </c>
      <c r="O339" t="str" cm="1">
        <f t="array" ref="O339">_xlfn.IFS(J339="M","Midium",J339="L","Light",J339="D","Dark")</f>
        <v>Dark</v>
      </c>
      <c r="P339" t="str">
        <f>_xlfn.XLOOKUP(Orders[[#This Row],[Customer ID]],customers!A:A,customers!I:I,,0)</f>
        <v>No</v>
      </c>
      <c r="Q339" t="str">
        <f>_xlfn.XLOOKUP(C340,customers!A:A,customers!B:B,"مش موجود")</f>
        <v>Wyatan Fetherston</v>
      </c>
    </row>
    <row r="340" spans="1:17" x14ac:dyDescent="0.25">
      <c r="A340" s="2" t="s">
        <v>2396</v>
      </c>
      <c r="B340" s="3">
        <v>43995</v>
      </c>
      <c r="C340" s="2" t="s">
        <v>2397</v>
      </c>
      <c r="D340" t="s">
        <v>6171</v>
      </c>
      <c r="E340" s="2">
        <v>4</v>
      </c>
      <c r="F340" s="2" t="str">
        <f>_xlfn.XLOOKUP(Orders[[#This Row],[Customer ID]],customers!A:A,customers!B:B)</f>
        <v>Wyatan Fetherston</v>
      </c>
      <c r="G340" s="2" t="str" cm="1">
        <f t="array" ref="G340">IF(_xlfn.XLOOKUP(C340,customers!A339:$A$1001,customers!C339:$C$1001,,0)=0,"",_xlfn.XLOOKUP(C340,customers!A339:$A$1001,customers!C339:$C$1001,,0))</f>
        <v>wfetherston9e@constantcontact.com</v>
      </c>
      <c r="H340" s="2" t="str" cm="1">
        <f t="array" ref="H340">_xlfn.XLOOKUP(C340,customers!A339:$A$1001,customers!G339:$G$1001,"Ireland",0)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5"/>
        <v>59.4</v>
      </c>
      <c r="N340" t="str" cm="1">
        <f t="array" ref="N340">_xlfn.IFS(I340="Rob","Robusta",I340="Exc","Excelsa",I340="Ara","Arabica",I340="Lib","Liberica")</f>
        <v>Excelsa</v>
      </c>
      <c r="O340" t="str" cm="1">
        <f t="array" ref="O340">_xlfn.IFS(J340="M","Midium",J340="L","Light",J340="D","Dark")</f>
        <v>Light</v>
      </c>
      <c r="P340" t="str">
        <f>_xlfn.XLOOKUP(Orders[[#This Row],[Customer ID]],customers!A:A,customers!I:I,,0)</f>
        <v>No</v>
      </c>
      <c r="Q340" t="str">
        <f>_xlfn.XLOOKUP(C341,customers!A:A,customers!B:B,"مش موجود")</f>
        <v>Emmaline Rasmus</v>
      </c>
    </row>
    <row r="341" spans="1:17" x14ac:dyDescent="0.25">
      <c r="A341" s="2" t="s">
        <v>2402</v>
      </c>
      <c r="B341" s="3">
        <v>44256</v>
      </c>
      <c r="C341" s="2" t="s">
        <v>2403</v>
      </c>
      <c r="D341" t="s">
        <v>6153</v>
      </c>
      <c r="E341" s="2">
        <v>2</v>
      </c>
      <c r="F341" s="2" t="str">
        <f>_xlfn.XLOOKUP(Orders[[#This Row],[Customer ID]],customers!A:A,customers!B:B)</f>
        <v>Emmaline Rasmus</v>
      </c>
      <c r="G341" s="2" t="str" cm="1">
        <f t="array" ref="G341">IF(_xlfn.XLOOKUP(C341,customers!A340:$A$1001,customers!C340:$C$1001,,0)=0,"",_xlfn.XLOOKUP(C341,customers!A340:$A$1001,customers!C340:$C$1001,,0))</f>
        <v>erasmus9f@techcrunch.com</v>
      </c>
      <c r="H341" s="2" t="str" cm="1">
        <f t="array" ref="H341">_xlfn.XLOOKUP(C341,customers!A340:$A$1001,customers!G340:$G$1001,"Ireland",0)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5"/>
        <v>7.29</v>
      </c>
      <c r="N341" t="str" cm="1">
        <f t="array" ref="N341">_xlfn.IFS(I341="Rob","Robusta",I341="Exc","Excelsa",I341="Ara","Arabica",I341="Lib","Liberica")</f>
        <v>Excelsa</v>
      </c>
      <c r="O341" t="str" cm="1">
        <f t="array" ref="O341">_xlfn.IFS(J341="M","Midium",J341="L","Light",J341="D","Dark")</f>
        <v>Dark</v>
      </c>
      <c r="P341" t="str">
        <f>_xlfn.XLOOKUP(Orders[[#This Row],[Customer ID]],customers!A:A,customers!I:I,,0)</f>
        <v>Yes</v>
      </c>
      <c r="Q341" t="str">
        <f>_xlfn.XLOOKUP(C342,customers!A:A,customers!B:B,"مش موجود")</f>
        <v>Wesley Giorgioni</v>
      </c>
    </row>
    <row r="342" spans="1:17" x14ac:dyDescent="0.25">
      <c r="A342" s="2" t="s">
        <v>2408</v>
      </c>
      <c r="B342" s="3">
        <v>43528</v>
      </c>
      <c r="C342" s="2" t="s">
        <v>2409</v>
      </c>
      <c r="D342" t="s">
        <v>6144</v>
      </c>
      <c r="E342" s="2">
        <v>1</v>
      </c>
      <c r="F342" s="2" t="str">
        <f>_xlfn.XLOOKUP(Orders[[#This Row],[Customer ID]],customers!A:A,customers!B:B)</f>
        <v>Wesley Giorgioni</v>
      </c>
      <c r="G342" s="2" t="str" cm="1">
        <f t="array" ref="G342">IF(_xlfn.XLOOKUP(C342,customers!A341:$A$1001,customers!C341:$C$1001,,0)=0,"",_xlfn.XLOOKUP(C342,customers!A341:$A$1001,customers!C341:$C$1001,,0))</f>
        <v>wgiorgioni9g@wikipedia.org</v>
      </c>
      <c r="H342" s="2" t="str" cm="1">
        <f t="array" ref="H342">_xlfn.XLOOKUP(C342,customers!A341:$A$1001,customers!G341:$G$1001,"Ireland",0)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5"/>
        <v>7.29</v>
      </c>
      <c r="N342" t="str" cm="1">
        <f t="array" ref="N342">_xlfn.IFS(I342="Rob","Robusta",I342="Exc","Excelsa",I342="Ara","Arabica",I342="Lib","Liberica")</f>
        <v>Excelsa</v>
      </c>
      <c r="O342" t="str" cm="1">
        <f t="array" ref="O342">_xlfn.IFS(J342="M","Midium",J342="L","Light",J342="D","Dark")</f>
        <v>Dark</v>
      </c>
      <c r="P342" t="str">
        <f>_xlfn.XLOOKUP(Orders[[#This Row],[Customer ID]],customers!A:A,customers!I:I,,0)</f>
        <v>Yes</v>
      </c>
      <c r="Q342" t="str">
        <f>_xlfn.XLOOKUP(C343,customers!A:A,customers!B:B,"مش موجود")</f>
        <v>Lucienne Scargle</v>
      </c>
    </row>
    <row r="343" spans="1:17" x14ac:dyDescent="0.25">
      <c r="A343" s="2" t="s">
        <v>2414</v>
      </c>
      <c r="B343" s="3">
        <v>43751</v>
      </c>
      <c r="C343" s="2" t="s">
        <v>2415</v>
      </c>
      <c r="D343" t="s">
        <v>6176</v>
      </c>
      <c r="E343" s="2">
        <v>2</v>
      </c>
      <c r="F343" s="2" t="str">
        <f>_xlfn.XLOOKUP(Orders[[#This Row],[Customer ID]],customers!A:A,customers!B:B)</f>
        <v>Lucienne Scargle</v>
      </c>
      <c r="G343" s="2" t="str" cm="1">
        <f t="array" ref="G343">IF(_xlfn.XLOOKUP(C343,customers!A342:$A$1001,customers!C342:$C$1001,,0)=0,"",_xlfn.XLOOKUP(C343,customers!A342:$A$1001,customers!C342:$C$1001,,0))</f>
        <v>lscargle9h@myspace.com</v>
      </c>
      <c r="H343" s="2" t="str" cm="1">
        <f t="array" ref="H343">_xlfn.XLOOKUP(C343,customers!A342:$A$1001,customers!G342:$G$1001,"Ireland",0)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5"/>
        <v>17.82</v>
      </c>
      <c r="N343" t="str" cm="1">
        <f t="array" ref="N343">_xlfn.IFS(I343="Rob","Robusta",I343="Exc","Excelsa",I343="Ara","Arabica",I343="Lib","Liberica")</f>
        <v>Excelsa</v>
      </c>
      <c r="O343" t="str" cm="1">
        <f t="array" ref="O343">_xlfn.IFS(J343="M","Midium",J343="L","Light",J343="D","Dark")</f>
        <v>Light</v>
      </c>
      <c r="P343" t="str">
        <f>_xlfn.XLOOKUP(Orders[[#This Row],[Customer ID]],customers!A:A,customers!I:I,,0)</f>
        <v>No</v>
      </c>
      <c r="Q343" t="str">
        <f>_xlfn.XLOOKUP(C344,customers!A:A,customers!B:B,"مش موجود")</f>
        <v>Lucienne Scargle</v>
      </c>
    </row>
    <row r="344" spans="1:17" x14ac:dyDescent="0.25">
      <c r="A344" s="2" t="s">
        <v>2414</v>
      </c>
      <c r="B344" s="3">
        <v>43751</v>
      </c>
      <c r="C344" s="2" t="s">
        <v>2415</v>
      </c>
      <c r="D344" t="s">
        <v>6169</v>
      </c>
      <c r="E344" s="2">
        <v>5</v>
      </c>
      <c r="F344" s="2" t="str">
        <f>_xlfn.XLOOKUP(Orders[[#This Row],[Customer ID]],customers!A:A,customers!B:B)</f>
        <v>Lucienne Scargle</v>
      </c>
      <c r="G344" s="2" t="str" cm="1">
        <f t="array" ref="G344">IF(_xlfn.XLOOKUP(C344,customers!A343:$A$1001,customers!C343:$C$1001,,0)=0,"",_xlfn.XLOOKUP(C344,customers!A343:$A$1001,customers!C343:$C$1001,,0))</f>
        <v>lscargle9h@myspace.com</v>
      </c>
      <c r="H344" s="2" t="str" cm="1">
        <f t="array" ref="H344">_xlfn.XLOOKUP(C344,customers!A343:$A$1001,customers!G343:$G$1001,"Ireland",0)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5"/>
        <v>38.849999999999994</v>
      </c>
      <c r="N344" t="str" cm="1">
        <f t="array" ref="N344">_xlfn.IFS(I344="Rob","Robusta",I344="Exc","Excelsa",I344="Ara","Arabica",I344="Lib","Liberica")</f>
        <v>Liberica</v>
      </c>
      <c r="O344" t="str" cm="1">
        <f t="array" ref="O344">_xlfn.IFS(J344="M","Midium",J344="L","Light",J344="D","Dark")</f>
        <v>Dark</v>
      </c>
      <c r="P344" t="str">
        <f>_xlfn.XLOOKUP(Orders[[#This Row],[Customer ID]],customers!A:A,customers!I:I,,0)</f>
        <v>No</v>
      </c>
      <c r="Q344" t="str">
        <f>_xlfn.XLOOKUP(C345,customers!A:A,customers!B:B,"مش موجود")</f>
        <v>Noam Climance</v>
      </c>
    </row>
    <row r="345" spans="1:17" x14ac:dyDescent="0.25">
      <c r="A345" s="2" t="s">
        <v>2424</v>
      </c>
      <c r="B345" s="3">
        <v>43692</v>
      </c>
      <c r="C345" s="2" t="s">
        <v>2425</v>
      </c>
      <c r="D345" t="s">
        <v>6172</v>
      </c>
      <c r="E345" s="2">
        <v>6</v>
      </c>
      <c r="F345" s="2" t="str">
        <f>_xlfn.XLOOKUP(Orders[[#This Row],[Customer ID]],customers!A:A,customers!B:B)</f>
        <v>Noam Climance</v>
      </c>
      <c r="G345" s="2" t="str" cm="1">
        <f t="array" ref="G345">IF(_xlfn.XLOOKUP(C345,customers!A344:$A$1001,customers!C344:$C$1001,,0)=0,"",_xlfn.XLOOKUP(C345,customers!A344:$A$1001,customers!C344:$C$1001,,0))</f>
        <v>nclimance9j@europa.eu</v>
      </c>
      <c r="H345" s="2" t="str" cm="1">
        <f t="array" ref="H345">_xlfn.XLOOKUP(C345,customers!A344:$A$1001,customers!G344:$G$1001,"Ireland",0)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5"/>
        <v>32.22</v>
      </c>
      <c r="N345" t="str" cm="1">
        <f t="array" ref="N345">_xlfn.IFS(I345="Rob","Robusta",I345="Exc","Excelsa",I345="Ara","Arabica",I345="Lib","Liberica")</f>
        <v>Robusta</v>
      </c>
      <c r="O345" t="str" cm="1">
        <f t="array" ref="O345">_xlfn.IFS(J345="M","Midium",J345="L","Light",J345="D","Dark")</f>
        <v>Dark</v>
      </c>
      <c r="P345" t="str">
        <f>_xlfn.XLOOKUP(Orders[[#This Row],[Customer ID]],customers!A:A,customers!I:I,,0)</f>
        <v>No</v>
      </c>
      <c r="Q345" t="str">
        <f>_xlfn.XLOOKUP(C346,customers!A:A,customers!B:B,"مش موجود")</f>
        <v>Catarina Donn</v>
      </c>
    </row>
    <row r="346" spans="1:17" x14ac:dyDescent="0.25">
      <c r="A346" s="2" t="s">
        <v>2429</v>
      </c>
      <c r="B346" s="3">
        <v>44529</v>
      </c>
      <c r="C346" s="2" t="s">
        <v>2430</v>
      </c>
      <c r="D346" t="s">
        <v>6138</v>
      </c>
      <c r="E346" s="2">
        <v>2</v>
      </c>
      <c r="F346" s="2" t="str">
        <f>_xlfn.XLOOKUP(Orders[[#This Row],[Customer ID]],customers!A:A,customers!B:B)</f>
        <v>Catarina Donn</v>
      </c>
      <c r="G346" s="2" t="str" cm="1">
        <f t="array" ref="G346">IF(_xlfn.XLOOKUP(C346,customers!A345:$A$1001,customers!C345:$C$1001,,0)=0,"",_xlfn.XLOOKUP(C346,customers!A345:$A$1001,customers!C345:$C$1001,,0))</f>
        <v/>
      </c>
      <c r="H346" s="2" t="str" cm="1">
        <f t="array" ref="H346">_xlfn.XLOOKUP(C346,customers!A345:$A$1001,customers!G345:$G$1001,"Ireland",0)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5"/>
        <v>19.899999999999999</v>
      </c>
      <c r="N346" t="str" cm="1">
        <f t="array" ref="N346">_xlfn.IFS(I346="Rob","Robusta",I346="Exc","Excelsa",I346="Ara","Arabica",I346="Lib","Liberica")</f>
        <v>Robusta</v>
      </c>
      <c r="O346" t="str" cm="1">
        <f t="array" ref="O346">_xlfn.IFS(J346="M","Midium",J346="L","Light",J346="D","Dark")</f>
        <v>Midium</v>
      </c>
      <c r="P346" t="str">
        <f>_xlfn.XLOOKUP(Orders[[#This Row],[Customer ID]],customers!A:A,customers!I:I,,0)</f>
        <v>Yes</v>
      </c>
      <c r="Q346" t="str">
        <f>_xlfn.XLOOKUP(C347,customers!A:A,customers!B:B,"مش موجود")</f>
        <v>Ameline Snazle</v>
      </c>
    </row>
    <row r="347" spans="1:17" x14ac:dyDescent="0.25">
      <c r="A347" s="2" t="s">
        <v>2434</v>
      </c>
      <c r="B347" s="3">
        <v>43849</v>
      </c>
      <c r="C347" s="2" t="s">
        <v>2435</v>
      </c>
      <c r="D347" t="s">
        <v>6179</v>
      </c>
      <c r="E347" s="2">
        <v>5</v>
      </c>
      <c r="F347" s="2" t="str">
        <f>_xlfn.XLOOKUP(Orders[[#This Row],[Customer ID]],customers!A:A,customers!B:B)</f>
        <v>Ameline Snazle</v>
      </c>
      <c r="G347" s="2" t="str" cm="1">
        <f t="array" ref="G347">IF(_xlfn.XLOOKUP(C347,customers!A346:$A$1001,customers!C346:$C$1001,,0)=0,"",_xlfn.XLOOKUP(C347,customers!A346:$A$1001,customers!C346:$C$1001,,0))</f>
        <v>asnazle9l@oracle.com</v>
      </c>
      <c r="H347" s="2" t="str" cm="1">
        <f t="array" ref="H347">_xlfn.XLOOKUP(C347,customers!A346:$A$1001,customers!G346:$G$1001,"Ireland",0)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5"/>
        <v>59.75</v>
      </c>
      <c r="N347" t="str" cm="1">
        <f t="array" ref="N347">_xlfn.IFS(I347="Rob","Robusta",I347="Exc","Excelsa",I347="Ara","Arabica",I347="Lib","Liberica")</f>
        <v>Robusta</v>
      </c>
      <c r="O347" t="str" cm="1">
        <f t="array" ref="O347">_xlfn.IFS(J347="M","Midium",J347="L","Light",J347="D","Dark")</f>
        <v>Light</v>
      </c>
      <c r="P347" t="str">
        <f>_xlfn.XLOOKUP(Orders[[#This Row],[Customer ID]],customers!A:A,customers!I:I,,0)</f>
        <v>No</v>
      </c>
      <c r="Q347" t="str">
        <f>_xlfn.XLOOKUP(C348,customers!A:A,customers!B:B,"مش موجود")</f>
        <v>Rebeka Worg</v>
      </c>
    </row>
    <row r="348" spans="1:17" x14ac:dyDescent="0.25">
      <c r="A348" s="2" t="s">
        <v>2440</v>
      </c>
      <c r="B348" s="3">
        <v>44344</v>
      </c>
      <c r="C348" s="2" t="s">
        <v>2441</v>
      </c>
      <c r="D348" t="s">
        <v>6180</v>
      </c>
      <c r="E348" s="2">
        <v>3</v>
      </c>
      <c r="F348" s="2" t="str">
        <f>_xlfn.XLOOKUP(Orders[[#This Row],[Customer ID]],customers!A:A,customers!B:B)</f>
        <v>Rebeka Worg</v>
      </c>
      <c r="G348" s="2" t="str" cm="1">
        <f t="array" ref="G348">IF(_xlfn.XLOOKUP(C348,customers!A347:$A$1001,customers!C347:$C$1001,,0)=0,"",_xlfn.XLOOKUP(C348,customers!A347:$A$1001,customers!C347:$C$1001,,0))</f>
        <v>rworg9m@arstechnica.com</v>
      </c>
      <c r="H348" s="2" t="str" cm="1">
        <f t="array" ref="H348">_xlfn.XLOOKUP(C348,customers!A347:$A$1001,customers!G347:$G$1001,"Ireland",0)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5"/>
        <v>23.31</v>
      </c>
      <c r="N348" t="str" cm="1">
        <f t="array" ref="N348">_xlfn.IFS(I348="Rob","Robusta",I348="Exc","Excelsa",I348="Ara","Arabica",I348="Lib","Liberica")</f>
        <v>Arabica</v>
      </c>
      <c r="O348" t="str" cm="1">
        <f t="array" ref="O348">_xlfn.IFS(J348="M","Midium",J348="L","Light",J348="D","Dark")</f>
        <v>Light</v>
      </c>
      <c r="P348" t="str">
        <f>_xlfn.XLOOKUP(Orders[[#This Row],[Customer ID]],customers!A:A,customers!I:I,,0)</f>
        <v>Yes</v>
      </c>
      <c r="Q348" t="str">
        <f>_xlfn.XLOOKUP(C349,customers!A:A,customers!B:B,"مش موجود")</f>
        <v>Lewes Danes</v>
      </c>
    </row>
    <row r="349" spans="1:17" x14ac:dyDescent="0.25">
      <c r="A349" s="2" t="s">
        <v>2446</v>
      </c>
      <c r="B349" s="3">
        <v>44576</v>
      </c>
      <c r="C349" s="2" t="s">
        <v>2447</v>
      </c>
      <c r="D349" t="s">
        <v>6162</v>
      </c>
      <c r="E349" s="2">
        <v>3</v>
      </c>
      <c r="F349" s="2" t="str">
        <f>_xlfn.XLOOKUP(Orders[[#This Row],[Customer ID]],customers!A:A,customers!B:B)</f>
        <v>Lewes Danes</v>
      </c>
      <c r="G349" s="2" t="str" cm="1">
        <f t="array" ref="G349">IF(_xlfn.XLOOKUP(C349,customers!A348:$A$1001,customers!C348:$C$1001,,0)=0,"",_xlfn.XLOOKUP(C349,customers!A348:$A$1001,customers!C348:$C$1001,,0))</f>
        <v>ldanes9n@umn.edu</v>
      </c>
      <c r="H349" s="2" t="str" cm="1">
        <f t="array" ref="H349">_xlfn.XLOOKUP(C349,customers!A348:$A$1001,customers!G348:$G$1001,"Ireland",0)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5"/>
        <v>43.650000000000006</v>
      </c>
      <c r="N349" t="str" cm="1">
        <f t="array" ref="N349">_xlfn.IFS(I349="Rob","Robusta",I349="Exc","Excelsa",I349="Ara","Arabica",I349="Lib","Liberica")</f>
        <v>Liberica</v>
      </c>
      <c r="O349" t="str" cm="1">
        <f t="array" ref="O349">_xlfn.IFS(J349="M","Midium",J349="L","Light",J349="D","Dark")</f>
        <v>Midium</v>
      </c>
      <c r="P349" t="str">
        <f>_xlfn.XLOOKUP(Orders[[#This Row],[Customer ID]],customers!A:A,customers!I:I,,0)</f>
        <v>No</v>
      </c>
      <c r="Q349" t="str">
        <f>_xlfn.XLOOKUP(C350,customers!A:A,customers!B:B,"مش موجود")</f>
        <v>Shelli Keynd</v>
      </c>
    </row>
    <row r="350" spans="1:17" x14ac:dyDescent="0.25">
      <c r="A350" s="2" t="s">
        <v>2452</v>
      </c>
      <c r="B350" s="3">
        <v>43803</v>
      </c>
      <c r="C350" s="2" t="s">
        <v>2453</v>
      </c>
      <c r="D350" t="s">
        <v>6148</v>
      </c>
      <c r="E350" s="2">
        <v>6</v>
      </c>
      <c r="F350" s="2" t="str">
        <f>_xlfn.XLOOKUP(Orders[[#This Row],[Customer ID]],customers!A:A,customers!B:B)</f>
        <v>Shelli Keynd</v>
      </c>
      <c r="G350" s="2" t="str" cm="1">
        <f t="array" ref="G350">IF(_xlfn.XLOOKUP(C350,customers!A349:$A$1001,customers!C349:$C$1001,,0)=0,"",_xlfn.XLOOKUP(C350,customers!A349:$A$1001,customers!C349:$C$1001,,0))</f>
        <v>skeynd9o@narod.ru</v>
      </c>
      <c r="H350" s="2" t="str" cm="1">
        <f t="array" ref="H350">_xlfn.XLOOKUP(C350,customers!A349:$A$1001,customers!G349:$G$1001,"Ireland",0)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5"/>
        <v>204.92999999999995</v>
      </c>
      <c r="N350" t="str" cm="1">
        <f t="array" ref="N350">_xlfn.IFS(I350="Rob","Robusta",I350="Exc","Excelsa",I350="Ara","Arabica",I350="Lib","Liberica")</f>
        <v>Excelsa</v>
      </c>
      <c r="O350" t="str" cm="1">
        <f t="array" ref="O350">_xlfn.IFS(J350="M","Midium",J350="L","Light",J350="D","Dark")</f>
        <v>Light</v>
      </c>
      <c r="P350" t="str">
        <f>_xlfn.XLOOKUP(Orders[[#This Row],[Customer ID]],customers!A:A,customers!I:I,,0)</f>
        <v>No</v>
      </c>
      <c r="Q350" t="str">
        <f>_xlfn.XLOOKUP(C351,customers!A:A,customers!B:B,"مش موجود")</f>
        <v>Dell Daveridge</v>
      </c>
    </row>
    <row r="351" spans="1:17" x14ac:dyDescent="0.25">
      <c r="A351" s="2" t="s">
        <v>2458</v>
      </c>
      <c r="B351" s="3">
        <v>44743</v>
      </c>
      <c r="C351" s="2" t="s">
        <v>2459</v>
      </c>
      <c r="D351" t="s">
        <v>6178</v>
      </c>
      <c r="E351" s="2">
        <v>4</v>
      </c>
      <c r="F351" s="2" t="str">
        <f>_xlfn.XLOOKUP(Orders[[#This Row],[Customer ID]],customers!A:A,customers!B:B)</f>
        <v>Dell Daveridge</v>
      </c>
      <c r="G351" s="2" t="str" cm="1">
        <f t="array" ref="G351">IF(_xlfn.XLOOKUP(C351,customers!A350:$A$1001,customers!C350:$C$1001,,0)=0,"",_xlfn.XLOOKUP(C351,customers!A350:$A$1001,customers!C350:$C$1001,,0))</f>
        <v>ddaveridge9p@arstechnica.com</v>
      </c>
      <c r="H351" s="2" t="str" cm="1">
        <f t="array" ref="H351">_xlfn.XLOOKUP(C351,customers!A350:$A$1001,customers!G350:$G$1001,"Ireland",0)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5"/>
        <v>14.339999999999998</v>
      </c>
      <c r="N351" t="str" cm="1">
        <f t="array" ref="N351">_xlfn.IFS(I351="Rob","Robusta",I351="Exc","Excelsa",I351="Ara","Arabica",I351="Lib","Liberica")</f>
        <v>Robusta</v>
      </c>
      <c r="O351" t="str" cm="1">
        <f t="array" ref="O351">_xlfn.IFS(J351="M","Midium",J351="L","Light",J351="D","Dark")</f>
        <v>Light</v>
      </c>
      <c r="P351" t="str">
        <f>_xlfn.XLOOKUP(Orders[[#This Row],[Customer ID]],customers!A:A,customers!I:I,,0)</f>
        <v>No</v>
      </c>
      <c r="Q351" t="str">
        <f>_xlfn.XLOOKUP(C352,customers!A:A,customers!B:B,"مش موجود")</f>
        <v>Joshuah Awdry</v>
      </c>
    </row>
    <row r="352" spans="1:17" x14ac:dyDescent="0.25">
      <c r="A352" s="2" t="s">
        <v>2464</v>
      </c>
      <c r="B352" s="3">
        <v>43592</v>
      </c>
      <c r="C352" s="2" t="s">
        <v>2465</v>
      </c>
      <c r="D352" t="s">
        <v>6158</v>
      </c>
      <c r="E352" s="2">
        <v>4</v>
      </c>
      <c r="F352" s="2" t="str">
        <f>_xlfn.XLOOKUP(Orders[[#This Row],[Customer ID]],customers!A:A,customers!B:B)</f>
        <v>Joshuah Awdry</v>
      </c>
      <c r="G352" s="2" t="str" cm="1">
        <f t="array" ref="G352">IF(_xlfn.XLOOKUP(C352,customers!A351:$A$1001,customers!C351:$C$1001,,0)=0,"",_xlfn.XLOOKUP(C352,customers!A351:$A$1001,customers!C351:$C$1001,,0))</f>
        <v>jawdry9q@utexas.edu</v>
      </c>
      <c r="H352" s="2" t="str" cm="1">
        <f t="array" ref="H352">_xlfn.XLOOKUP(C352,customers!A351:$A$1001,customers!G351:$G$1001,"Ireland",0)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5"/>
        <v>23.88</v>
      </c>
      <c r="N352" t="str" cm="1">
        <f t="array" ref="N352">_xlfn.IFS(I352="Rob","Robusta",I352="Exc","Excelsa",I352="Ara","Arabica",I352="Lib","Liberica")</f>
        <v>Arabica</v>
      </c>
      <c r="O352" t="str" cm="1">
        <f t="array" ref="O352">_xlfn.IFS(J352="M","Midium",J352="L","Light",J352="D","Dark")</f>
        <v>Dark</v>
      </c>
      <c r="P352" t="str">
        <f>_xlfn.XLOOKUP(Orders[[#This Row],[Customer ID]],customers!A:A,customers!I:I,,0)</f>
        <v>No</v>
      </c>
      <c r="Q352" t="str">
        <f>_xlfn.XLOOKUP(C353,customers!A:A,customers!B:B,"مش موجود")</f>
        <v>Ethel Ryles</v>
      </c>
    </row>
    <row r="353" spans="1:17" x14ac:dyDescent="0.25">
      <c r="A353" s="2" t="s">
        <v>2470</v>
      </c>
      <c r="B353" s="3">
        <v>44066</v>
      </c>
      <c r="C353" s="2" t="s">
        <v>2471</v>
      </c>
      <c r="D353" t="s">
        <v>6155</v>
      </c>
      <c r="E353" s="2">
        <v>2</v>
      </c>
      <c r="F353" s="2" t="str">
        <f>_xlfn.XLOOKUP(Orders[[#This Row],[Customer ID]],customers!A:A,customers!B:B)</f>
        <v>Ethel Ryles</v>
      </c>
      <c r="G353" s="2" t="str" cm="1">
        <f t="array" ref="G353">IF(_xlfn.XLOOKUP(C353,customers!A352:$A$1001,customers!C352:$C$1001,,0)=0,"",_xlfn.XLOOKUP(C353,customers!A352:$A$1001,customers!C352:$C$1001,,0))</f>
        <v>eryles9r@fastcompany.com</v>
      </c>
      <c r="H353" s="2" t="str" cm="1">
        <f t="array" ref="H353">_xlfn.XLOOKUP(C353,customers!A352:$A$1001,customers!G352:$G$1001,"Ireland",0)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5"/>
        <v>22.5</v>
      </c>
      <c r="N353" t="str" cm="1">
        <f t="array" ref="N353">_xlfn.IFS(I353="Rob","Robusta",I353="Exc","Excelsa",I353="Ara","Arabica",I353="Lib","Liberica")</f>
        <v>Arabica</v>
      </c>
      <c r="O353" t="str" cm="1">
        <f t="array" ref="O353">_xlfn.IFS(J353="M","Midium",J353="L","Light",J353="D","Dark")</f>
        <v>Midium</v>
      </c>
      <c r="P353" t="str">
        <f>_xlfn.XLOOKUP(Orders[[#This Row],[Customer ID]],customers!A:A,customers!I:I,,0)</f>
        <v>No</v>
      </c>
      <c r="Q353" t="str">
        <f>_xlfn.XLOOKUP(C354,customers!A:A,customers!B:B,"مش موجود")</f>
        <v>Flynn Antony</v>
      </c>
    </row>
    <row r="354" spans="1:17" x14ac:dyDescent="0.25">
      <c r="A354" s="2" t="s">
        <v>2476</v>
      </c>
      <c r="B354" s="3">
        <v>43984</v>
      </c>
      <c r="C354" s="2" t="s">
        <v>2331</v>
      </c>
      <c r="D354" t="s">
        <v>6144</v>
      </c>
      <c r="E354" s="2">
        <v>5</v>
      </c>
      <c r="F354" s="2" t="str">
        <f>_xlfn.XLOOKUP(Orders[[#This Row],[Customer ID]],customers!A:A,customers!B:B)</f>
        <v>Flynn Antony</v>
      </c>
      <c r="G354" s="2" t="e" cm="1">
        <f t="array" ref="G354">IF(_xlfn.XLOOKUP(C354,customers!A353:$A$1001,customers!C353:$C$1001,,0)=0,"",_xlfn.XLOOKUP(C354,customers!A353:$A$1001,customers!C353:$C$1001,,0))</f>
        <v>#N/A</v>
      </c>
      <c r="H354" s="2" t="str" cm="1">
        <f t="array" ref="H354">_xlfn.XLOOKUP(C354,customers!A353:$A$1001,customers!G353:$G$1001,"Ireland",0)</f>
        <v>Ireland</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5"/>
        <v>36.450000000000003</v>
      </c>
      <c r="N354" t="str" cm="1">
        <f t="array" ref="N354">_xlfn.IFS(I354="Rob","Robusta",I354="Exc","Excelsa",I354="Ara","Arabica",I354="Lib","Liberica")</f>
        <v>Excelsa</v>
      </c>
      <c r="O354" t="str" cm="1">
        <f t="array" ref="O354">_xlfn.IFS(J354="M","Midium",J354="L","Light",J354="D","Dark")</f>
        <v>Dark</v>
      </c>
      <c r="P354" t="str">
        <f>_xlfn.XLOOKUP(Orders[[#This Row],[Customer ID]],customers!A:A,customers!I:I,,0)</f>
        <v>No</v>
      </c>
      <c r="Q354" t="str">
        <f>_xlfn.XLOOKUP(C355,customers!A:A,customers!B:B,"مش موجود")</f>
        <v>Maitilde Boxill</v>
      </c>
    </row>
    <row r="355" spans="1:17" x14ac:dyDescent="0.25">
      <c r="A355" s="2" t="s">
        <v>2482</v>
      </c>
      <c r="B355" s="3">
        <v>43860</v>
      </c>
      <c r="C355" s="2" t="s">
        <v>2483</v>
      </c>
      <c r="D355" t="s">
        <v>6157</v>
      </c>
      <c r="E355" s="2">
        <v>4</v>
      </c>
      <c r="F355" s="2" t="str">
        <f>_xlfn.XLOOKUP(Orders[[#This Row],[Customer ID]],customers!A:A,customers!B:B)</f>
        <v>Maitilde Boxill</v>
      </c>
      <c r="G355" s="2" t="str" cm="1">
        <f t="array" ref="G355">IF(_xlfn.XLOOKUP(C355,customers!A354:$A$1001,customers!C354:$C$1001,,0)=0,"",_xlfn.XLOOKUP(C355,customers!A354:$A$1001,customers!C354:$C$1001,,0))</f>
        <v/>
      </c>
      <c r="H355" s="2" t="str" cm="1">
        <f t="array" ref="H355">_xlfn.XLOOKUP(C355,customers!A354:$A$1001,customers!G354:$G$1001,"Ireland",0)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5"/>
        <v>27</v>
      </c>
      <c r="N355" t="str" cm="1">
        <f t="array" ref="N355">_xlfn.IFS(I355="Rob","Robusta",I355="Exc","Excelsa",I355="Ara","Arabica",I355="Lib","Liberica")</f>
        <v>Arabica</v>
      </c>
      <c r="O355" t="str" cm="1">
        <f t="array" ref="O355">_xlfn.IFS(J355="M","Midium",J355="L","Light",J355="D","Dark")</f>
        <v>Midium</v>
      </c>
      <c r="P355" t="str">
        <f>_xlfn.XLOOKUP(Orders[[#This Row],[Customer ID]],customers!A:A,customers!I:I,,0)</f>
        <v>Yes</v>
      </c>
      <c r="Q355" t="str">
        <f>_xlfn.XLOOKUP(C356,customers!A:A,customers!B:B,"مش موجود")</f>
        <v>Jodee Caldicott</v>
      </c>
    </row>
    <row r="356" spans="1:17" x14ac:dyDescent="0.25">
      <c r="A356" s="2" t="s">
        <v>2487</v>
      </c>
      <c r="B356" s="3">
        <v>43876</v>
      </c>
      <c r="C356" s="2" t="s">
        <v>2488</v>
      </c>
      <c r="D356" t="s">
        <v>6175</v>
      </c>
      <c r="E356" s="2">
        <v>6</v>
      </c>
      <c r="F356" s="2" t="str">
        <f>_xlfn.XLOOKUP(Orders[[#This Row],[Customer ID]],customers!A:A,customers!B:B)</f>
        <v>Jodee Caldicott</v>
      </c>
      <c r="G356" s="2" t="str" cm="1">
        <f t="array" ref="G356">IF(_xlfn.XLOOKUP(C356,customers!A355:$A$1001,customers!C355:$C$1001,,0)=0,"",_xlfn.XLOOKUP(C356,customers!A355:$A$1001,customers!C355:$C$1001,,0))</f>
        <v>jcaldicott9u@usda.gov</v>
      </c>
      <c r="H356" s="2" t="str" cm="1">
        <f t="array" ref="H356">_xlfn.XLOOKUP(C356,customers!A355:$A$1001,customers!G355:$G$1001,"Ireland",0)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5"/>
        <v>155.24999999999997</v>
      </c>
      <c r="N356" t="str" cm="1">
        <f t="array" ref="N356">_xlfn.IFS(I356="Rob","Robusta",I356="Exc","Excelsa",I356="Ara","Arabica",I356="Lib","Liberica")</f>
        <v>Arabica</v>
      </c>
      <c r="O356" t="str" cm="1">
        <f t="array" ref="O356">_xlfn.IFS(J356="M","Midium",J356="L","Light",J356="D","Dark")</f>
        <v>Midium</v>
      </c>
      <c r="P356" t="str">
        <f>_xlfn.XLOOKUP(Orders[[#This Row],[Customer ID]],customers!A:A,customers!I:I,,0)</f>
        <v>No</v>
      </c>
      <c r="Q356" t="str">
        <f>_xlfn.XLOOKUP(C357,customers!A:A,customers!B:B,"مش موجود")</f>
        <v>Marianna Vedmore</v>
      </c>
    </row>
    <row r="357" spans="1:17" x14ac:dyDescent="0.25">
      <c r="A357" s="2" t="s">
        <v>2492</v>
      </c>
      <c r="B357" s="3">
        <v>44358</v>
      </c>
      <c r="C357" s="2" t="s">
        <v>2493</v>
      </c>
      <c r="D357" t="s">
        <v>6168</v>
      </c>
      <c r="E357" s="2">
        <v>5</v>
      </c>
      <c r="F357" s="2" t="str">
        <f>_xlfn.XLOOKUP(Orders[[#This Row],[Customer ID]],customers!A:A,customers!B:B)</f>
        <v>Marianna Vedmore</v>
      </c>
      <c r="G357" s="2" t="str" cm="1">
        <f t="array" ref="G357">IF(_xlfn.XLOOKUP(C357,customers!A356:$A$1001,customers!C356:$C$1001,,0)=0,"",_xlfn.XLOOKUP(C357,customers!A356:$A$1001,customers!C356:$C$1001,,0))</f>
        <v>mvedmore9v@a8.net</v>
      </c>
      <c r="H357" s="2" t="str" cm="1">
        <f t="array" ref="H357">_xlfn.XLOOKUP(C357,customers!A356:$A$1001,customers!G356:$G$1001,"Ireland",0)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5"/>
        <v>114.42499999999998</v>
      </c>
      <c r="N357" t="str" cm="1">
        <f t="array" ref="N357">_xlfn.IFS(I357="Rob","Robusta",I357="Exc","Excelsa",I357="Ara","Arabica",I357="Lib","Liberica")</f>
        <v>Arabica</v>
      </c>
      <c r="O357" t="str" cm="1">
        <f t="array" ref="O357">_xlfn.IFS(J357="M","Midium",J357="L","Light",J357="D","Dark")</f>
        <v>Dark</v>
      </c>
      <c r="P357" t="str">
        <f>_xlfn.XLOOKUP(Orders[[#This Row],[Customer ID]],customers!A:A,customers!I:I,,0)</f>
        <v>Yes</v>
      </c>
      <c r="Q357" t="str">
        <f>_xlfn.XLOOKUP(C358,customers!A:A,customers!B:B,"مش موجود")</f>
        <v>Willey Romao</v>
      </c>
    </row>
    <row r="358" spans="1:17" x14ac:dyDescent="0.25">
      <c r="A358" s="2" t="s">
        <v>2498</v>
      </c>
      <c r="B358" s="3">
        <v>44631</v>
      </c>
      <c r="C358" s="2" t="s">
        <v>2499</v>
      </c>
      <c r="D358" t="s">
        <v>6143</v>
      </c>
      <c r="E358" s="2">
        <v>4</v>
      </c>
      <c r="F358" s="2" t="str">
        <f>_xlfn.XLOOKUP(Orders[[#This Row],[Customer ID]],customers!A:A,customers!B:B)</f>
        <v>Willey Romao</v>
      </c>
      <c r="G358" s="2" t="str" cm="1">
        <f t="array" ref="G358">IF(_xlfn.XLOOKUP(C358,customers!A357:$A$1001,customers!C357:$C$1001,,0)=0,"",_xlfn.XLOOKUP(C358,customers!A357:$A$1001,customers!C357:$C$1001,,0))</f>
        <v>wromao9w@chronoengine.com</v>
      </c>
      <c r="H358" s="2" t="str" cm="1">
        <f t="array" ref="H358">_xlfn.XLOOKUP(C358,customers!A357:$A$1001,customers!G357:$G$1001,"Ireland",0)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5"/>
        <v>51.8</v>
      </c>
      <c r="N358" t="str" cm="1">
        <f t="array" ref="N358">_xlfn.IFS(I358="Rob","Robusta",I358="Exc","Excelsa",I358="Ara","Arabica",I358="Lib","Liberica")</f>
        <v>Liberica</v>
      </c>
      <c r="O358" t="str" cm="1">
        <f t="array" ref="O358">_xlfn.IFS(J358="M","Midium",J358="L","Light",J358="D","Dark")</f>
        <v>Dark</v>
      </c>
      <c r="P358" t="str">
        <f>_xlfn.XLOOKUP(Orders[[#This Row],[Customer ID]],customers!A:A,customers!I:I,,0)</f>
        <v>Yes</v>
      </c>
      <c r="Q358" t="str">
        <f>_xlfn.XLOOKUP(C359,customers!A:A,customers!B:B,"مش موجود")</f>
        <v>Enriqueta Ixor</v>
      </c>
    </row>
    <row r="359" spans="1:17" x14ac:dyDescent="0.25">
      <c r="A359" s="2" t="s">
        <v>2504</v>
      </c>
      <c r="B359" s="3">
        <v>44448</v>
      </c>
      <c r="C359" s="2" t="s">
        <v>2505</v>
      </c>
      <c r="D359" t="s">
        <v>6175</v>
      </c>
      <c r="E359" s="2">
        <v>6</v>
      </c>
      <c r="F359" s="2" t="str">
        <f>_xlfn.XLOOKUP(Orders[[#This Row],[Customer ID]],customers!A:A,customers!B:B)</f>
        <v>Enriqueta Ixor</v>
      </c>
      <c r="G359" s="2" t="str" cm="1">
        <f t="array" ref="G359">IF(_xlfn.XLOOKUP(C359,customers!A358:$A$1001,customers!C358:$C$1001,,0)=0,"",_xlfn.XLOOKUP(C359,customers!A358:$A$1001,customers!C358:$C$1001,,0))</f>
        <v/>
      </c>
      <c r="H359" s="2" t="str" cm="1">
        <f t="array" ref="H359">_xlfn.XLOOKUP(C359,customers!A358:$A$1001,customers!G358:$G$1001,"Ireland",0)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5"/>
        <v>155.24999999999997</v>
      </c>
      <c r="N359" t="str" cm="1">
        <f t="array" ref="N359">_xlfn.IFS(I359="Rob","Robusta",I359="Exc","Excelsa",I359="Ara","Arabica",I359="Lib","Liberica")</f>
        <v>Arabica</v>
      </c>
      <c r="O359" t="str" cm="1">
        <f t="array" ref="O359">_xlfn.IFS(J359="M","Midium",J359="L","Light",J359="D","Dark")</f>
        <v>Midium</v>
      </c>
      <c r="P359" t="str">
        <f>_xlfn.XLOOKUP(Orders[[#This Row],[Customer ID]],customers!A:A,customers!I:I,,0)</f>
        <v>No</v>
      </c>
      <c r="Q359" t="str">
        <f>_xlfn.XLOOKUP(C360,customers!A:A,customers!B:B,"مش موجود")</f>
        <v>Tomasina Cotmore</v>
      </c>
    </row>
    <row r="360" spans="1:17" x14ac:dyDescent="0.25">
      <c r="A360" s="2" t="s">
        <v>2509</v>
      </c>
      <c r="B360" s="3">
        <v>43599</v>
      </c>
      <c r="C360" s="2" t="s">
        <v>2510</v>
      </c>
      <c r="D360" t="s">
        <v>6182</v>
      </c>
      <c r="E360" s="2">
        <v>1</v>
      </c>
      <c r="F360" s="2" t="str">
        <f>_xlfn.XLOOKUP(Orders[[#This Row],[Customer ID]],customers!A:A,customers!B:B)</f>
        <v>Tomasina Cotmore</v>
      </c>
      <c r="G360" s="2" t="str" cm="1">
        <f t="array" ref="G360">IF(_xlfn.XLOOKUP(C360,customers!A359:$A$1001,customers!C359:$C$1001,,0)=0,"",_xlfn.XLOOKUP(C360,customers!A359:$A$1001,customers!C359:$C$1001,,0))</f>
        <v>tcotmore9y@amazonaws.com</v>
      </c>
      <c r="H360" s="2" t="str" cm="1">
        <f t="array" ref="H360">_xlfn.XLOOKUP(C360,customers!A359:$A$1001,customers!G359:$G$1001,"Ireland",0)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5"/>
        <v>29.784999999999997</v>
      </c>
      <c r="N360" t="str" cm="1">
        <f t="array" ref="N360">_xlfn.IFS(I360="Rob","Robusta",I360="Exc","Excelsa",I360="Ara","Arabica",I360="Lib","Liberica")</f>
        <v>Arabica</v>
      </c>
      <c r="O360" t="str" cm="1">
        <f t="array" ref="O360">_xlfn.IFS(J360="M","Midium",J360="L","Light",J360="D","Dark")</f>
        <v>Light</v>
      </c>
      <c r="P360" t="str">
        <f>_xlfn.XLOOKUP(Orders[[#This Row],[Customer ID]],customers!A:A,customers!I:I,,0)</f>
        <v>No</v>
      </c>
      <c r="Q360" t="str">
        <f>_xlfn.XLOOKUP(C361,customers!A:A,customers!B:B,"مش موجود")</f>
        <v>Yuma Skipsey</v>
      </c>
    </row>
    <row r="361" spans="1:17" x14ac:dyDescent="0.25">
      <c r="A361" s="2" t="s">
        <v>2515</v>
      </c>
      <c r="B361" s="3">
        <v>43563</v>
      </c>
      <c r="C361" s="2" t="s">
        <v>2516</v>
      </c>
      <c r="D361" t="s">
        <v>6178</v>
      </c>
      <c r="E361" s="2">
        <v>6</v>
      </c>
      <c r="F361" s="2" t="str">
        <f>_xlfn.XLOOKUP(Orders[[#This Row],[Customer ID]],customers!A:A,customers!B:B)</f>
        <v>Yuma Skipsey</v>
      </c>
      <c r="G361" s="2" t="str" cm="1">
        <f t="array" ref="G361">IF(_xlfn.XLOOKUP(C361,customers!A360:$A$1001,customers!C360:$C$1001,,0)=0,"",_xlfn.XLOOKUP(C361,customers!A360:$A$1001,customers!C360:$C$1001,,0))</f>
        <v>yskipsey9z@spotify.com</v>
      </c>
      <c r="H361" s="2" t="str" cm="1">
        <f t="array" ref="H361">_xlfn.XLOOKUP(C361,customers!A360:$A$1001,customers!G360:$G$1001,"Ireland",0)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5"/>
        <v>21.509999999999998</v>
      </c>
      <c r="N361" t="str" cm="1">
        <f t="array" ref="N361">_xlfn.IFS(I361="Rob","Robusta",I361="Exc","Excelsa",I361="Ara","Arabica",I361="Lib","Liberica")</f>
        <v>Robusta</v>
      </c>
      <c r="O361" t="str" cm="1">
        <f t="array" ref="O361">_xlfn.IFS(J361="M","Midium",J361="L","Light",J361="D","Dark")</f>
        <v>Light</v>
      </c>
      <c r="P361" t="str">
        <f>_xlfn.XLOOKUP(Orders[[#This Row],[Customer ID]],customers!A:A,customers!I:I,,0)</f>
        <v>No</v>
      </c>
      <c r="Q361" t="str">
        <f>_xlfn.XLOOKUP(C362,customers!A:A,customers!B:B,"مش موجود")</f>
        <v>Nicko Corps</v>
      </c>
    </row>
    <row r="362" spans="1:17" x14ac:dyDescent="0.25">
      <c r="A362" s="2" t="s">
        <v>2521</v>
      </c>
      <c r="B362" s="3">
        <v>44058</v>
      </c>
      <c r="C362" s="2" t="s">
        <v>2522</v>
      </c>
      <c r="D362" t="s">
        <v>6149</v>
      </c>
      <c r="E362" s="2">
        <v>2</v>
      </c>
      <c r="F362" s="2" t="str">
        <f>_xlfn.XLOOKUP(Orders[[#This Row],[Customer ID]],customers!A:A,customers!B:B)</f>
        <v>Nicko Corps</v>
      </c>
      <c r="G362" s="2" t="str" cm="1">
        <f t="array" ref="G362">IF(_xlfn.XLOOKUP(C362,customers!A361:$A$1001,customers!C361:$C$1001,,0)=0,"",_xlfn.XLOOKUP(C362,customers!A361:$A$1001,customers!C361:$C$1001,,0))</f>
        <v>ncorpsa0@gmpg.org</v>
      </c>
      <c r="H362" s="2" t="str" cm="1">
        <f t="array" ref="H362">_xlfn.XLOOKUP(C362,customers!A361:$A$1001,customers!G361:$G$1001,"Ireland",0)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5"/>
        <v>41.169999999999995</v>
      </c>
      <c r="N362" t="str" cm="1">
        <f t="array" ref="N362">_xlfn.IFS(I362="Rob","Robusta",I362="Exc","Excelsa",I362="Ara","Arabica",I362="Lib","Liberica")</f>
        <v>Robusta</v>
      </c>
      <c r="O362" t="str" cm="1">
        <f t="array" ref="O362">_xlfn.IFS(J362="M","Midium",J362="L","Light",J362="D","Dark")</f>
        <v>Dark</v>
      </c>
      <c r="P362" t="str">
        <f>_xlfn.XLOOKUP(Orders[[#This Row],[Customer ID]],customers!A:A,customers!I:I,,0)</f>
        <v>No</v>
      </c>
      <c r="Q362" t="str">
        <f>_xlfn.XLOOKUP(C363,customers!A:A,customers!B:B,"مش موجود")</f>
        <v>Nicko Corps</v>
      </c>
    </row>
    <row r="363" spans="1:17" x14ac:dyDescent="0.25">
      <c r="A363" s="2" t="s">
        <v>2521</v>
      </c>
      <c r="B363" s="3">
        <v>44058</v>
      </c>
      <c r="C363" s="2" t="s">
        <v>2522</v>
      </c>
      <c r="D363" t="s">
        <v>6146</v>
      </c>
      <c r="E363" s="2">
        <v>1</v>
      </c>
      <c r="F363" s="2" t="str">
        <f>_xlfn.XLOOKUP(Orders[[#This Row],[Customer ID]],customers!A:A,customers!B:B)</f>
        <v>Nicko Corps</v>
      </c>
      <c r="G363" s="2" t="str" cm="1">
        <f t="array" ref="G363">IF(_xlfn.XLOOKUP(C363,customers!A362:$A$1001,customers!C362:$C$1001,,0)=0,"",_xlfn.XLOOKUP(C363,customers!A362:$A$1001,customers!C362:$C$1001,,0))</f>
        <v>ncorpsa0@gmpg.org</v>
      </c>
      <c r="H363" s="2" t="str" cm="1">
        <f t="array" ref="H363">_xlfn.XLOOKUP(C363,customers!A362:$A$1001,customers!G362:$G$1001,"Ireland",0)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5"/>
        <v>5.97</v>
      </c>
      <c r="N363" t="str" cm="1">
        <f t="array" ref="N363">_xlfn.IFS(I363="Rob","Robusta",I363="Exc","Excelsa",I363="Ara","Arabica",I363="Lib","Liberica")</f>
        <v>Robusta</v>
      </c>
      <c r="O363" t="str" cm="1">
        <f t="array" ref="O363">_xlfn.IFS(J363="M","Midium",J363="L","Light",J363="D","Dark")</f>
        <v>Midium</v>
      </c>
      <c r="P363" t="str">
        <f>_xlfn.XLOOKUP(Orders[[#This Row],[Customer ID]],customers!A:A,customers!I:I,,0)</f>
        <v>No</v>
      </c>
      <c r="Q363" t="str">
        <f>_xlfn.XLOOKUP(C364,customers!A:A,customers!B:B,"مش موجود")</f>
        <v>Feliks Babber</v>
      </c>
    </row>
    <row r="364" spans="1:17" x14ac:dyDescent="0.25">
      <c r="A364" s="2" t="s">
        <v>2532</v>
      </c>
      <c r="B364" s="3">
        <v>44686</v>
      </c>
      <c r="C364" s="2" t="s">
        <v>2533</v>
      </c>
      <c r="D364" t="s">
        <v>6171</v>
      </c>
      <c r="E364" s="2">
        <v>5</v>
      </c>
      <c r="F364" s="2" t="str">
        <f>_xlfn.XLOOKUP(Orders[[#This Row],[Customer ID]],customers!A:A,customers!B:B)</f>
        <v>Feliks Babber</v>
      </c>
      <c r="G364" s="2" t="str" cm="1">
        <f t="array" ref="G364">IF(_xlfn.XLOOKUP(C364,customers!A363:$A$1001,customers!C363:$C$1001,,0)=0,"",_xlfn.XLOOKUP(C364,customers!A363:$A$1001,customers!C363:$C$1001,,0))</f>
        <v>fbabbera2@stanford.edu</v>
      </c>
      <c r="H364" s="2" t="str" cm="1">
        <f t="array" ref="H364">_xlfn.XLOOKUP(C364,customers!A363:$A$1001,customers!G363:$G$1001,"Ireland",0)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5"/>
        <v>74.25</v>
      </c>
      <c r="N364" t="str" cm="1">
        <f t="array" ref="N364">_xlfn.IFS(I364="Rob","Robusta",I364="Exc","Excelsa",I364="Ara","Arabica",I364="Lib","Liberica")</f>
        <v>Excelsa</v>
      </c>
      <c r="O364" t="str" cm="1">
        <f t="array" ref="O364">_xlfn.IFS(J364="M","Midium",J364="L","Light",J364="D","Dark")</f>
        <v>Light</v>
      </c>
      <c r="P364" t="str">
        <f>_xlfn.XLOOKUP(Orders[[#This Row],[Customer ID]],customers!A:A,customers!I:I,,0)</f>
        <v>Yes</v>
      </c>
      <c r="Q364" t="str">
        <f>_xlfn.XLOOKUP(C365,customers!A:A,customers!B:B,"مش موجود")</f>
        <v>Kaja Loxton</v>
      </c>
    </row>
    <row r="365" spans="1:17" x14ac:dyDescent="0.25">
      <c r="A365" s="2" t="s">
        <v>2538</v>
      </c>
      <c r="B365" s="3">
        <v>44282</v>
      </c>
      <c r="C365" s="2" t="s">
        <v>2539</v>
      </c>
      <c r="D365" t="s">
        <v>6162</v>
      </c>
      <c r="E365" s="2">
        <v>6</v>
      </c>
      <c r="F365" s="2" t="str">
        <f>_xlfn.XLOOKUP(Orders[[#This Row],[Customer ID]],customers!A:A,customers!B:B)</f>
        <v>Kaja Loxton</v>
      </c>
      <c r="G365" s="2" t="str" cm="1">
        <f t="array" ref="G365">IF(_xlfn.XLOOKUP(C365,customers!A364:$A$1001,customers!C364:$C$1001,,0)=0,"",_xlfn.XLOOKUP(C365,customers!A364:$A$1001,customers!C364:$C$1001,,0))</f>
        <v>kloxtona3@opensource.org</v>
      </c>
      <c r="H365" s="2" t="str" cm="1">
        <f t="array" ref="H365">_xlfn.XLOOKUP(C365,customers!A364:$A$1001,customers!G364:$G$1001,"Ireland",0)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5"/>
        <v>87.300000000000011</v>
      </c>
      <c r="N365" t="str" cm="1">
        <f t="array" ref="N365">_xlfn.IFS(I365="Rob","Robusta",I365="Exc","Excelsa",I365="Ara","Arabica",I365="Lib","Liberica")</f>
        <v>Liberica</v>
      </c>
      <c r="O365" t="str" cm="1">
        <f t="array" ref="O365">_xlfn.IFS(J365="M","Midium",J365="L","Light",J365="D","Dark")</f>
        <v>Midium</v>
      </c>
      <c r="P365" t="str">
        <f>_xlfn.XLOOKUP(Orders[[#This Row],[Customer ID]],customers!A:A,customers!I:I,,0)</f>
        <v>No</v>
      </c>
      <c r="Q365" t="str">
        <f>_xlfn.XLOOKUP(C366,customers!A:A,customers!B:B,"مش موجود")</f>
        <v>Parker Tofful</v>
      </c>
    </row>
    <row r="366" spans="1:17" x14ac:dyDescent="0.25">
      <c r="A366" s="2" t="s">
        <v>2543</v>
      </c>
      <c r="B366" s="3">
        <v>43582</v>
      </c>
      <c r="C366" s="2" t="s">
        <v>2544</v>
      </c>
      <c r="D366" t="s">
        <v>6183</v>
      </c>
      <c r="E366" s="2">
        <v>6</v>
      </c>
      <c r="F366" s="2" t="str">
        <f>_xlfn.XLOOKUP(Orders[[#This Row],[Customer ID]],customers!A:A,customers!B:B)</f>
        <v>Parker Tofful</v>
      </c>
      <c r="G366" s="2" t="str" cm="1">
        <f t="array" ref="G366">IF(_xlfn.XLOOKUP(C366,customers!A365:$A$1001,customers!C365:$C$1001,,0)=0,"",_xlfn.XLOOKUP(C366,customers!A365:$A$1001,customers!C365:$C$1001,,0))</f>
        <v>ptoffula4@posterous.com</v>
      </c>
      <c r="H366" s="2" t="str" cm="1">
        <f t="array" ref="H366">_xlfn.XLOOKUP(C366,customers!A365:$A$1001,customers!G365:$G$1001,"Ireland",0)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5"/>
        <v>72.900000000000006</v>
      </c>
      <c r="N366" t="str" cm="1">
        <f t="array" ref="N366">_xlfn.IFS(I366="Rob","Robusta",I366="Exc","Excelsa",I366="Ara","Arabica",I366="Lib","Liberica")</f>
        <v>Excelsa</v>
      </c>
      <c r="O366" t="str" cm="1">
        <f t="array" ref="O366">_xlfn.IFS(J366="M","Midium",J366="L","Light",J366="D","Dark")</f>
        <v>Dark</v>
      </c>
      <c r="P366" t="str">
        <f>_xlfn.XLOOKUP(Orders[[#This Row],[Customer ID]],customers!A:A,customers!I:I,,0)</f>
        <v>Yes</v>
      </c>
      <c r="Q366" t="str">
        <f>_xlfn.XLOOKUP(C367,customers!A:A,customers!B:B,"مش موجود")</f>
        <v>Casi Gwinnett</v>
      </c>
    </row>
    <row r="367" spans="1:17" x14ac:dyDescent="0.25">
      <c r="A367" s="2" t="s">
        <v>2549</v>
      </c>
      <c r="B367" s="3">
        <v>44464</v>
      </c>
      <c r="C367" s="2" t="s">
        <v>2550</v>
      </c>
      <c r="D367" t="s">
        <v>6169</v>
      </c>
      <c r="E367" s="2">
        <v>1</v>
      </c>
      <c r="F367" s="2" t="str">
        <f>_xlfn.XLOOKUP(Orders[[#This Row],[Customer ID]],customers!A:A,customers!B:B)</f>
        <v>Casi Gwinnett</v>
      </c>
      <c r="G367" s="2" t="str" cm="1">
        <f t="array" ref="G367">IF(_xlfn.XLOOKUP(C367,customers!A366:$A$1001,customers!C366:$C$1001,,0)=0,"",_xlfn.XLOOKUP(C367,customers!A366:$A$1001,customers!C366:$C$1001,,0))</f>
        <v>cgwinnetta5@behance.net</v>
      </c>
      <c r="H367" s="2" t="str" cm="1">
        <f t="array" ref="H367">_xlfn.XLOOKUP(C367,customers!A366:$A$1001,customers!G366:$G$1001,"Ireland",0)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5"/>
        <v>7.77</v>
      </c>
      <c r="N367" t="str" cm="1">
        <f t="array" ref="N367">_xlfn.IFS(I367="Rob","Robusta",I367="Exc","Excelsa",I367="Ara","Arabica",I367="Lib","Liberica")</f>
        <v>Liberica</v>
      </c>
      <c r="O367" t="str" cm="1">
        <f t="array" ref="O367">_xlfn.IFS(J367="M","Midium",J367="L","Light",J367="D","Dark")</f>
        <v>Dark</v>
      </c>
      <c r="P367" t="str">
        <f>_xlfn.XLOOKUP(Orders[[#This Row],[Customer ID]],customers!A:A,customers!I:I,,0)</f>
        <v>No</v>
      </c>
      <c r="Q367" t="str">
        <f>_xlfn.XLOOKUP(C368,customers!A:A,customers!B:B,"مش موجود")</f>
        <v>Saree Ellesworth</v>
      </c>
    </row>
    <row r="368" spans="1:17" x14ac:dyDescent="0.25">
      <c r="A368" s="2" t="s">
        <v>2554</v>
      </c>
      <c r="B368" s="3">
        <v>43874</v>
      </c>
      <c r="C368" s="2" t="s">
        <v>2555</v>
      </c>
      <c r="D368" t="s">
        <v>6144</v>
      </c>
      <c r="E368" s="2">
        <v>6</v>
      </c>
      <c r="F368" s="2" t="str">
        <f>_xlfn.XLOOKUP(Orders[[#This Row],[Customer ID]],customers!A:A,customers!B:B)</f>
        <v>Saree Ellesworth</v>
      </c>
      <c r="G368" s="2" t="str" cm="1">
        <f t="array" ref="G368">IF(_xlfn.XLOOKUP(C368,customers!A367:$A$1001,customers!C367:$C$1001,,0)=0,"",_xlfn.XLOOKUP(C368,customers!A367:$A$1001,customers!C367:$C$1001,,0))</f>
        <v/>
      </c>
      <c r="H368" s="2" t="str" cm="1">
        <f t="array" ref="H368">_xlfn.XLOOKUP(C368,customers!A367:$A$1001,customers!G367:$G$1001,"Ireland",0)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5"/>
        <v>43.74</v>
      </c>
      <c r="N368" t="str" cm="1">
        <f t="array" ref="N368">_xlfn.IFS(I368="Rob","Robusta",I368="Exc","Excelsa",I368="Ara","Arabica",I368="Lib","Liberica")</f>
        <v>Excelsa</v>
      </c>
      <c r="O368" t="str" cm="1">
        <f t="array" ref="O368">_xlfn.IFS(J368="M","Midium",J368="L","Light",J368="D","Dark")</f>
        <v>Dark</v>
      </c>
      <c r="P368" t="str">
        <f>_xlfn.XLOOKUP(Orders[[#This Row],[Customer ID]],customers!A:A,customers!I:I,,0)</f>
        <v>No</v>
      </c>
      <c r="Q368" t="str">
        <f>_xlfn.XLOOKUP(C369,customers!A:A,customers!B:B,"مش موجود")</f>
        <v>Silvio Iorizzi</v>
      </c>
    </row>
    <row r="369" spans="1:17" x14ac:dyDescent="0.25">
      <c r="A369" s="2" t="s">
        <v>2559</v>
      </c>
      <c r="B369" s="3">
        <v>44393</v>
      </c>
      <c r="C369" s="2" t="s">
        <v>2560</v>
      </c>
      <c r="D369" t="s">
        <v>6159</v>
      </c>
      <c r="E369" s="2">
        <v>2</v>
      </c>
      <c r="F369" s="2" t="str">
        <f>_xlfn.XLOOKUP(Orders[[#This Row],[Customer ID]],customers!A:A,customers!B:B)</f>
        <v>Silvio Iorizzi</v>
      </c>
      <c r="G369" s="2" t="str" cm="1">
        <f t="array" ref="G369">IF(_xlfn.XLOOKUP(C369,customers!A368:$A$1001,customers!C368:$C$1001,,0)=0,"",_xlfn.XLOOKUP(C369,customers!A368:$A$1001,customers!C368:$C$1001,,0))</f>
        <v/>
      </c>
      <c r="H369" s="2" t="str" cm="1">
        <f t="array" ref="H369">_xlfn.XLOOKUP(C369,customers!A368:$A$1001,customers!G368:$G$1001,"Ireland",0)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5"/>
        <v>8.73</v>
      </c>
      <c r="N369" t="str" cm="1">
        <f t="array" ref="N369">_xlfn.IFS(I369="Rob","Robusta",I369="Exc","Excelsa",I369="Ara","Arabica",I369="Lib","Liberica")</f>
        <v>Liberica</v>
      </c>
      <c r="O369" t="str" cm="1">
        <f t="array" ref="O369">_xlfn.IFS(J369="M","Midium",J369="L","Light",J369="D","Dark")</f>
        <v>Midium</v>
      </c>
      <c r="P369" t="str">
        <f>_xlfn.XLOOKUP(Orders[[#This Row],[Customer ID]],customers!A:A,customers!I:I,,0)</f>
        <v>Yes</v>
      </c>
      <c r="Q369" t="str">
        <f>_xlfn.XLOOKUP(C370,customers!A:A,customers!B:B,"مش موجود")</f>
        <v>Leesa Flaonier</v>
      </c>
    </row>
    <row r="370" spans="1:17" x14ac:dyDescent="0.25">
      <c r="A370" s="2" t="s">
        <v>2563</v>
      </c>
      <c r="B370" s="3">
        <v>44692</v>
      </c>
      <c r="C370" s="2" t="s">
        <v>2564</v>
      </c>
      <c r="D370" t="s">
        <v>6166</v>
      </c>
      <c r="E370" s="2">
        <v>2</v>
      </c>
      <c r="F370" s="2" t="str">
        <f>_xlfn.XLOOKUP(Orders[[#This Row],[Customer ID]],customers!A:A,customers!B:B)</f>
        <v>Leesa Flaonier</v>
      </c>
      <c r="G370" s="2" t="str" cm="1">
        <f t="array" ref="G370">IF(_xlfn.XLOOKUP(C370,customers!A369:$A$1001,customers!C369:$C$1001,,0)=0,"",_xlfn.XLOOKUP(C370,customers!A369:$A$1001,customers!C369:$C$1001,,0))</f>
        <v>lflaoniera8@wordpress.org</v>
      </c>
      <c r="H370" s="2" t="str" cm="1">
        <f t="array" ref="H370">_xlfn.XLOOKUP(C370,customers!A369:$A$1001,customers!G369:$G$1001,"Ireland",0)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5"/>
        <v>63.249999999999993</v>
      </c>
      <c r="N370" t="str" cm="1">
        <f t="array" ref="N370">_xlfn.IFS(I370="Rob","Robusta",I370="Exc","Excelsa",I370="Ara","Arabica",I370="Lib","Liberica")</f>
        <v>Excelsa</v>
      </c>
      <c r="O370" t="str" cm="1">
        <f t="array" ref="O370">_xlfn.IFS(J370="M","Midium",J370="L","Light",J370="D","Dark")</f>
        <v>Midium</v>
      </c>
      <c r="P370" t="str">
        <f>_xlfn.XLOOKUP(Orders[[#This Row],[Customer ID]],customers!A:A,customers!I:I,,0)</f>
        <v>No</v>
      </c>
      <c r="Q370" t="str">
        <f>_xlfn.XLOOKUP(C371,customers!A:A,customers!B:B,"مش موجود")</f>
        <v>Abba Pummell</v>
      </c>
    </row>
    <row r="371" spans="1:17" x14ac:dyDescent="0.25">
      <c r="A371" s="2" t="s">
        <v>2569</v>
      </c>
      <c r="B371" s="3">
        <v>43500</v>
      </c>
      <c r="C371" s="2" t="s">
        <v>2570</v>
      </c>
      <c r="D371" t="s">
        <v>6176</v>
      </c>
      <c r="E371" s="2">
        <v>1</v>
      </c>
      <c r="F371" s="2" t="str">
        <f>_xlfn.XLOOKUP(Orders[[#This Row],[Customer ID]],customers!A:A,customers!B:B)</f>
        <v>Abba Pummell</v>
      </c>
      <c r="G371" s="2" t="str" cm="1">
        <f t="array" ref="G371">IF(_xlfn.XLOOKUP(C371,customers!A370:$A$1001,customers!C370:$C$1001,,0)=0,"",_xlfn.XLOOKUP(C371,customers!A370:$A$1001,customers!C370:$C$1001,,0))</f>
        <v/>
      </c>
      <c r="H371" s="2" t="str" cm="1">
        <f t="array" ref="H371">_xlfn.XLOOKUP(C371,customers!A370:$A$1001,customers!G370:$G$1001,"Ireland",0)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5"/>
        <v>8.91</v>
      </c>
      <c r="N371" t="str" cm="1">
        <f t="array" ref="N371">_xlfn.IFS(I371="Rob","Robusta",I371="Exc","Excelsa",I371="Ara","Arabica",I371="Lib","Liberica")</f>
        <v>Excelsa</v>
      </c>
      <c r="O371" t="str" cm="1">
        <f t="array" ref="O371">_xlfn.IFS(J371="M","Midium",J371="L","Light",J371="D","Dark")</f>
        <v>Light</v>
      </c>
      <c r="P371" t="str">
        <f>_xlfn.XLOOKUP(Orders[[#This Row],[Customer ID]],customers!A:A,customers!I:I,,0)</f>
        <v>Yes</v>
      </c>
      <c r="Q371" t="str">
        <f>_xlfn.XLOOKUP(C372,customers!A:A,customers!B:B,"مش موجود")</f>
        <v>Corinna Catcheside</v>
      </c>
    </row>
    <row r="372" spans="1:17" x14ac:dyDescent="0.25">
      <c r="A372" s="2" t="s">
        <v>2573</v>
      </c>
      <c r="B372" s="3">
        <v>43501</v>
      </c>
      <c r="C372" s="2" t="s">
        <v>2574</v>
      </c>
      <c r="D372" t="s">
        <v>6183</v>
      </c>
      <c r="E372" s="2">
        <v>2</v>
      </c>
      <c r="F372" s="2" t="str">
        <f>_xlfn.XLOOKUP(Orders[[#This Row],[Customer ID]],customers!A:A,customers!B:B)</f>
        <v>Corinna Catcheside</v>
      </c>
      <c r="G372" s="2" t="str" cm="1">
        <f t="array" ref="G372">IF(_xlfn.XLOOKUP(C372,customers!A371:$A$1001,customers!C371:$C$1001,,0)=0,"",_xlfn.XLOOKUP(C372,customers!A371:$A$1001,customers!C371:$C$1001,,0))</f>
        <v>ccatchesideaa@macromedia.com</v>
      </c>
      <c r="H372" s="2" t="str" cm="1">
        <f t="array" ref="H372">_xlfn.XLOOKUP(C372,customers!A371:$A$1001,customers!G371:$G$1001,"Ireland",0)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5"/>
        <v>24.3</v>
      </c>
      <c r="N372" t="str" cm="1">
        <f t="array" ref="N372">_xlfn.IFS(I372="Rob","Robusta",I372="Exc","Excelsa",I372="Ara","Arabica",I372="Lib","Liberica")</f>
        <v>Excelsa</v>
      </c>
      <c r="O372" t="str" cm="1">
        <f t="array" ref="O372">_xlfn.IFS(J372="M","Midium",J372="L","Light",J372="D","Dark")</f>
        <v>Dark</v>
      </c>
      <c r="P372" t="str">
        <f>_xlfn.XLOOKUP(Orders[[#This Row],[Customer ID]],customers!A:A,customers!I:I,,0)</f>
        <v>Yes</v>
      </c>
      <c r="Q372" t="str">
        <f>_xlfn.XLOOKUP(C373,customers!A:A,customers!B:B,"مش موجود")</f>
        <v>Cortney Gibbonson</v>
      </c>
    </row>
    <row r="373" spans="1:17" x14ac:dyDescent="0.25">
      <c r="A373" s="2" t="s">
        <v>2579</v>
      </c>
      <c r="B373" s="3">
        <v>44705</v>
      </c>
      <c r="C373" s="2" t="s">
        <v>2580</v>
      </c>
      <c r="D373" t="s">
        <v>6180</v>
      </c>
      <c r="E373" s="2">
        <v>6</v>
      </c>
      <c r="F373" s="2" t="str">
        <f>_xlfn.XLOOKUP(Orders[[#This Row],[Customer ID]],customers!A:A,customers!B:B)</f>
        <v>Cortney Gibbonson</v>
      </c>
      <c r="G373" s="2" t="str" cm="1">
        <f t="array" ref="G373">IF(_xlfn.XLOOKUP(C373,customers!A372:$A$1001,customers!C372:$C$1001,,0)=0,"",_xlfn.XLOOKUP(C373,customers!A372:$A$1001,customers!C372:$C$1001,,0))</f>
        <v>cgibbonsonab@accuweather.com</v>
      </c>
      <c r="H373" s="2" t="str" cm="1">
        <f t="array" ref="H373">_xlfn.XLOOKUP(C373,customers!A372:$A$1001,customers!G372:$G$1001,"Ireland",0)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5"/>
        <v>46.62</v>
      </c>
      <c r="N373" t="str" cm="1">
        <f t="array" ref="N373">_xlfn.IFS(I373="Rob","Robusta",I373="Exc","Excelsa",I373="Ara","Arabica",I373="Lib","Liberica")</f>
        <v>Arabica</v>
      </c>
      <c r="O373" t="str" cm="1">
        <f t="array" ref="O373">_xlfn.IFS(J373="M","Midium",J373="L","Light",J373="D","Dark")</f>
        <v>Light</v>
      </c>
      <c r="P373" t="str">
        <f>_xlfn.XLOOKUP(Orders[[#This Row],[Customer ID]],customers!A:A,customers!I:I,,0)</f>
        <v>Yes</v>
      </c>
      <c r="Q373" t="str">
        <f>_xlfn.XLOOKUP(C374,customers!A:A,customers!B:B,"مش موجود")</f>
        <v>Terri Farra</v>
      </c>
    </row>
    <row r="374" spans="1:17" x14ac:dyDescent="0.25">
      <c r="A374" s="2" t="s">
        <v>2585</v>
      </c>
      <c r="B374" s="3">
        <v>44108</v>
      </c>
      <c r="C374" s="2" t="s">
        <v>2586</v>
      </c>
      <c r="D374" t="s">
        <v>6173</v>
      </c>
      <c r="E374" s="2">
        <v>6</v>
      </c>
      <c r="F374" s="2" t="str">
        <f>_xlfn.XLOOKUP(Orders[[#This Row],[Customer ID]],customers!A:A,customers!B:B)</f>
        <v>Terri Farra</v>
      </c>
      <c r="G374" s="2" t="str" cm="1">
        <f t="array" ref="G374">IF(_xlfn.XLOOKUP(C374,customers!A373:$A$1001,customers!C373:$C$1001,,0)=0,"",_xlfn.XLOOKUP(C374,customers!A373:$A$1001,customers!C373:$C$1001,,0))</f>
        <v>tfarraac@behance.net</v>
      </c>
      <c r="H374" s="2" t="str" cm="1">
        <f t="array" ref="H374">_xlfn.XLOOKUP(C374,customers!A373:$A$1001,customers!G373:$G$1001,"Ireland",0)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5"/>
        <v>43.019999999999996</v>
      </c>
      <c r="N374" t="str" cm="1">
        <f t="array" ref="N374">_xlfn.IFS(I374="Rob","Robusta",I374="Exc","Excelsa",I374="Ara","Arabica",I374="Lib","Liberica")</f>
        <v>Robusta</v>
      </c>
      <c r="O374" t="str" cm="1">
        <f t="array" ref="O374">_xlfn.IFS(J374="M","Midium",J374="L","Light",J374="D","Dark")</f>
        <v>Light</v>
      </c>
      <c r="P374" t="str">
        <f>_xlfn.XLOOKUP(Orders[[#This Row],[Customer ID]],customers!A:A,customers!I:I,,0)</f>
        <v>No</v>
      </c>
      <c r="Q374" t="str">
        <f>_xlfn.XLOOKUP(C375,customers!A:A,customers!B:B,"مش موجود")</f>
        <v>Corney Curme</v>
      </c>
    </row>
    <row r="375" spans="1:17" x14ac:dyDescent="0.25">
      <c r="A375" s="2" t="s">
        <v>2591</v>
      </c>
      <c r="B375" s="3">
        <v>44742</v>
      </c>
      <c r="C375" s="2" t="s">
        <v>2592</v>
      </c>
      <c r="D375" t="s">
        <v>6158</v>
      </c>
      <c r="E375" s="2">
        <v>3</v>
      </c>
      <c r="F375" s="2" t="str">
        <f>_xlfn.XLOOKUP(Orders[[#This Row],[Customer ID]],customers!A:A,customers!B:B)</f>
        <v>Corney Curme</v>
      </c>
      <c r="G375" s="2" t="str" cm="1">
        <f t="array" ref="G375">IF(_xlfn.XLOOKUP(C375,customers!A374:$A$1001,customers!C374:$C$1001,,0)=0,"",_xlfn.XLOOKUP(C375,customers!A374:$A$1001,customers!C374:$C$1001,,0))</f>
        <v/>
      </c>
      <c r="H375" s="2" t="str" cm="1">
        <f t="array" ref="H375">_xlfn.XLOOKUP(C375,customers!A374:$A$1001,customers!G374:$G$1001,"Ireland",0)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5"/>
        <v>17.91</v>
      </c>
      <c r="N375" t="str" cm="1">
        <f t="array" ref="N375">_xlfn.IFS(I375="Rob","Robusta",I375="Exc","Excelsa",I375="Ara","Arabica",I375="Lib","Liberica")</f>
        <v>Arabica</v>
      </c>
      <c r="O375" t="str" cm="1">
        <f t="array" ref="O375">_xlfn.IFS(J375="M","Midium",J375="L","Light",J375="D","Dark")</f>
        <v>Dark</v>
      </c>
      <c r="P375" t="str">
        <f>_xlfn.XLOOKUP(Orders[[#This Row],[Customer ID]],customers!A:A,customers!I:I,,0)</f>
        <v>Yes</v>
      </c>
      <c r="Q375" t="str">
        <f>_xlfn.XLOOKUP(C376,customers!A:A,customers!B:B,"مش موجود")</f>
        <v>Gothart Bamfield</v>
      </c>
    </row>
    <row r="376" spans="1:17" x14ac:dyDescent="0.25">
      <c r="A376" s="2" t="s">
        <v>2597</v>
      </c>
      <c r="B376" s="3">
        <v>44125</v>
      </c>
      <c r="C376" s="2" t="s">
        <v>2598</v>
      </c>
      <c r="D376" t="s">
        <v>6161</v>
      </c>
      <c r="E376" s="2">
        <v>4</v>
      </c>
      <c r="F376" s="2" t="str">
        <f>_xlfn.XLOOKUP(Orders[[#This Row],[Customer ID]],customers!A:A,customers!B:B)</f>
        <v>Gothart Bamfield</v>
      </c>
      <c r="G376" s="2" t="str" cm="1">
        <f t="array" ref="G376">IF(_xlfn.XLOOKUP(C376,customers!A375:$A$1001,customers!C375:$C$1001,,0)=0,"",_xlfn.XLOOKUP(C376,customers!A375:$A$1001,customers!C375:$C$1001,,0))</f>
        <v>gbamfieldae@yellowpages.com</v>
      </c>
      <c r="H376" s="2" t="str" cm="1">
        <f t="array" ref="H376">_xlfn.XLOOKUP(C376,customers!A375:$A$1001,customers!G375:$G$1001,"Ireland",0)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5"/>
        <v>38.04</v>
      </c>
      <c r="N376" t="str" cm="1">
        <f t="array" ref="N376">_xlfn.IFS(I376="Rob","Robusta",I376="Exc","Excelsa",I376="Ara","Arabica",I376="Lib","Liberica")</f>
        <v>Liberica</v>
      </c>
      <c r="O376" t="str" cm="1">
        <f t="array" ref="O376">_xlfn.IFS(J376="M","Midium",J376="L","Light",J376="D","Dark")</f>
        <v>Light</v>
      </c>
      <c r="P376" t="str">
        <f>_xlfn.XLOOKUP(Orders[[#This Row],[Customer ID]],customers!A:A,customers!I:I,,0)</f>
        <v>Yes</v>
      </c>
      <c r="Q376" t="str">
        <f>_xlfn.XLOOKUP(C377,customers!A:A,customers!B:B,"مش موجود")</f>
        <v>Waylin Hollingdale</v>
      </c>
    </row>
    <row r="377" spans="1:17" x14ac:dyDescent="0.25">
      <c r="A377" s="2" t="s">
        <v>2603</v>
      </c>
      <c r="B377" s="3">
        <v>44120</v>
      </c>
      <c r="C377" s="2" t="s">
        <v>2604</v>
      </c>
      <c r="D377" t="s">
        <v>6152</v>
      </c>
      <c r="E377" s="2">
        <v>2</v>
      </c>
      <c r="F377" s="2" t="str">
        <f>_xlfn.XLOOKUP(Orders[[#This Row],[Customer ID]],customers!A:A,customers!B:B)</f>
        <v>Waylin Hollingdale</v>
      </c>
      <c r="G377" s="2" t="str" cm="1">
        <f t="array" ref="G377">IF(_xlfn.XLOOKUP(C377,customers!A376:$A$1001,customers!C376:$C$1001,,0)=0,"",_xlfn.XLOOKUP(C377,customers!A376:$A$1001,customers!C376:$C$1001,,0))</f>
        <v>whollingdaleaf@about.me</v>
      </c>
      <c r="H377" s="2" t="str" cm="1">
        <f t="array" ref="H377">_xlfn.XLOOKUP(C377,customers!A376:$A$1001,customers!G376:$G$1001,"Ireland",0)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5"/>
        <v>6.75</v>
      </c>
      <c r="N377" t="str" cm="1">
        <f t="array" ref="N377">_xlfn.IFS(I377="Rob","Robusta",I377="Exc","Excelsa",I377="Ara","Arabica",I377="Lib","Liberica")</f>
        <v>Arabica</v>
      </c>
      <c r="O377" t="str" cm="1">
        <f t="array" ref="O377">_xlfn.IFS(J377="M","Midium",J377="L","Light",J377="D","Dark")</f>
        <v>Midium</v>
      </c>
      <c r="P377" t="str">
        <f>_xlfn.XLOOKUP(Orders[[#This Row],[Customer ID]],customers!A:A,customers!I:I,,0)</f>
        <v>Yes</v>
      </c>
      <c r="Q377" t="str">
        <f>_xlfn.XLOOKUP(C378,customers!A:A,customers!B:B,"مش موجود")</f>
        <v>Judd De Leek</v>
      </c>
    </row>
    <row r="378" spans="1:17" x14ac:dyDescent="0.25">
      <c r="A378" s="2" t="s">
        <v>2609</v>
      </c>
      <c r="B378" s="3">
        <v>44097</v>
      </c>
      <c r="C378" s="2" t="s">
        <v>2610</v>
      </c>
      <c r="D378" t="s">
        <v>6146</v>
      </c>
      <c r="E378" s="2">
        <v>1</v>
      </c>
      <c r="F378" s="2" t="str">
        <f>_xlfn.XLOOKUP(Orders[[#This Row],[Customer ID]],customers!A:A,customers!B:B)</f>
        <v>Judd De Leek</v>
      </c>
      <c r="G378" s="2" t="str" cm="1">
        <f t="array" ref="G378">IF(_xlfn.XLOOKUP(C378,customers!A377:$A$1001,customers!C377:$C$1001,,0)=0,"",_xlfn.XLOOKUP(C378,customers!A377:$A$1001,customers!C377:$C$1001,,0))</f>
        <v>jdeag@xrea.com</v>
      </c>
      <c r="H378" s="2" t="str" cm="1">
        <f t="array" ref="H378">_xlfn.XLOOKUP(C378,customers!A377:$A$1001,customers!G377:$G$1001,"Ireland",0)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5"/>
        <v>5.97</v>
      </c>
      <c r="N378" t="str" cm="1">
        <f t="array" ref="N378">_xlfn.IFS(I378="Rob","Robusta",I378="Exc","Excelsa",I378="Ara","Arabica",I378="Lib","Liberica")</f>
        <v>Robusta</v>
      </c>
      <c r="O378" t="str" cm="1">
        <f t="array" ref="O378">_xlfn.IFS(J378="M","Midium",J378="L","Light",J378="D","Dark")</f>
        <v>Midium</v>
      </c>
      <c r="P378" t="str">
        <f>_xlfn.XLOOKUP(Orders[[#This Row],[Customer ID]],customers!A:A,customers!I:I,,0)</f>
        <v>Yes</v>
      </c>
      <c r="Q378" t="str">
        <f>_xlfn.XLOOKUP(C379,customers!A:A,customers!B:B,"مش موجود")</f>
        <v>Vanya Skullet</v>
      </c>
    </row>
    <row r="379" spans="1:17" x14ac:dyDescent="0.25">
      <c r="A379" s="2" t="s">
        <v>2615</v>
      </c>
      <c r="B379" s="3">
        <v>43532</v>
      </c>
      <c r="C379" s="2" t="s">
        <v>2616</v>
      </c>
      <c r="D379" t="s">
        <v>6163</v>
      </c>
      <c r="E379" s="2">
        <v>3</v>
      </c>
      <c r="F379" s="2" t="str">
        <f>_xlfn.XLOOKUP(Orders[[#This Row],[Customer ID]],customers!A:A,customers!B:B)</f>
        <v>Vanya Skullet</v>
      </c>
      <c r="G379" s="2" t="str" cm="1">
        <f t="array" ref="G379">IF(_xlfn.XLOOKUP(C379,customers!A378:$A$1001,customers!C378:$C$1001,,0)=0,"",_xlfn.XLOOKUP(C379,customers!A378:$A$1001,customers!C378:$C$1001,,0))</f>
        <v>vskulletah@tinyurl.com</v>
      </c>
      <c r="H379" s="2" t="str" cm="1">
        <f t="array" ref="H379">_xlfn.XLOOKUP(C379,customers!A378:$A$1001,customers!G378:$G$1001,"Ireland",0)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5"/>
        <v>8.0549999999999997</v>
      </c>
      <c r="N379" t="str" cm="1">
        <f t="array" ref="N379">_xlfn.IFS(I379="Rob","Robusta",I379="Exc","Excelsa",I379="Ara","Arabica",I379="Lib","Liberica")</f>
        <v>Robusta</v>
      </c>
      <c r="O379" t="str" cm="1">
        <f t="array" ref="O379">_xlfn.IFS(J379="M","Midium",J379="L","Light",J379="D","Dark")</f>
        <v>Dark</v>
      </c>
      <c r="P379" t="str">
        <f>_xlfn.XLOOKUP(Orders[[#This Row],[Customer ID]],customers!A:A,customers!I:I,,0)</f>
        <v>No</v>
      </c>
      <c r="Q379" t="str">
        <f>_xlfn.XLOOKUP(C380,customers!A:A,customers!B:B,"مش موجود")</f>
        <v>Jany Rudeforth</v>
      </c>
    </row>
    <row r="380" spans="1:17" x14ac:dyDescent="0.25">
      <c r="A380" s="2" t="s">
        <v>2621</v>
      </c>
      <c r="B380" s="3">
        <v>44377</v>
      </c>
      <c r="C380" s="2" t="s">
        <v>2622</v>
      </c>
      <c r="D380" t="s">
        <v>6180</v>
      </c>
      <c r="E380" s="2">
        <v>3</v>
      </c>
      <c r="F380" s="2" t="str">
        <f>_xlfn.XLOOKUP(Orders[[#This Row],[Customer ID]],customers!A:A,customers!B:B)</f>
        <v>Jany Rudeforth</v>
      </c>
      <c r="G380" s="2" t="str" cm="1">
        <f t="array" ref="G380">IF(_xlfn.XLOOKUP(C380,customers!A379:$A$1001,customers!C379:$C$1001,,0)=0,"",_xlfn.XLOOKUP(C380,customers!A379:$A$1001,customers!C379:$C$1001,,0))</f>
        <v>jrudeforthai@wunderground.com</v>
      </c>
      <c r="H380" s="2" t="str" cm="1">
        <f t="array" ref="H380">_xlfn.XLOOKUP(C380,customers!A379:$A$1001,customers!G379:$G$1001,"Ireland",0)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5"/>
        <v>23.31</v>
      </c>
      <c r="N380" t="str" cm="1">
        <f t="array" ref="N380">_xlfn.IFS(I380="Rob","Robusta",I380="Exc","Excelsa",I380="Ara","Arabica",I380="Lib","Liberica")</f>
        <v>Arabica</v>
      </c>
      <c r="O380" t="str" cm="1">
        <f t="array" ref="O380">_xlfn.IFS(J380="M","Midium",J380="L","Light",J380="D","Dark")</f>
        <v>Light</v>
      </c>
      <c r="P380" t="str">
        <f>_xlfn.XLOOKUP(Orders[[#This Row],[Customer ID]],customers!A:A,customers!I:I,,0)</f>
        <v>Yes</v>
      </c>
      <c r="Q380" t="str">
        <f>_xlfn.XLOOKUP(C381,customers!A:A,customers!B:B,"مش موجود")</f>
        <v>Ashbey Tomaszewski</v>
      </c>
    </row>
    <row r="381" spans="1:17" x14ac:dyDescent="0.25">
      <c r="A381" s="2" t="s">
        <v>2627</v>
      </c>
      <c r="B381" s="3">
        <v>43690</v>
      </c>
      <c r="C381" s="2" t="s">
        <v>2628</v>
      </c>
      <c r="D381" t="s">
        <v>6173</v>
      </c>
      <c r="E381" s="2">
        <v>6</v>
      </c>
      <c r="F381" s="2" t="str">
        <f>_xlfn.XLOOKUP(Orders[[#This Row],[Customer ID]],customers!A:A,customers!B:B)</f>
        <v>Ashbey Tomaszewski</v>
      </c>
      <c r="G381" s="2" t="str" cm="1">
        <f t="array" ref="G381">IF(_xlfn.XLOOKUP(C381,customers!A380:$A$1001,customers!C380:$C$1001,,0)=0,"",_xlfn.XLOOKUP(C381,customers!A380:$A$1001,customers!C380:$C$1001,,0))</f>
        <v>atomaszewskiaj@answers.com</v>
      </c>
      <c r="H381" s="2" t="str" cm="1">
        <f t="array" ref="H381">_xlfn.XLOOKUP(C381,customers!A380:$A$1001,customers!G380:$G$1001,"Ireland",0)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5"/>
        <v>43.019999999999996</v>
      </c>
      <c r="N381" t="str" cm="1">
        <f t="array" ref="N381">_xlfn.IFS(I381="Rob","Robusta",I381="Exc","Excelsa",I381="Ara","Arabica",I381="Lib","Liberica")</f>
        <v>Robusta</v>
      </c>
      <c r="O381" t="str" cm="1">
        <f t="array" ref="O381">_xlfn.IFS(J381="M","Midium",J381="L","Light",J381="D","Dark")</f>
        <v>Light</v>
      </c>
      <c r="P381" t="str">
        <f>_xlfn.XLOOKUP(Orders[[#This Row],[Customer ID]],customers!A:A,customers!I:I,,0)</f>
        <v>Yes</v>
      </c>
      <c r="Q381" t="str">
        <f>_xlfn.XLOOKUP(C382,customers!A:A,customers!B:B,"مش موجود")</f>
        <v>Flynn Antony</v>
      </c>
    </row>
    <row r="382" spans="1:17" x14ac:dyDescent="0.25">
      <c r="A382" s="2" t="s">
        <v>2632</v>
      </c>
      <c r="B382" s="3">
        <v>44249</v>
      </c>
      <c r="C382" s="2" t="s">
        <v>2331</v>
      </c>
      <c r="D382" t="s">
        <v>6169</v>
      </c>
      <c r="E382" s="2">
        <v>3</v>
      </c>
      <c r="F382" s="2" t="str">
        <f>_xlfn.XLOOKUP(Orders[[#This Row],[Customer ID]],customers!A:A,customers!B:B)</f>
        <v>Flynn Antony</v>
      </c>
      <c r="G382" s="2" t="e" cm="1">
        <f t="array" ref="G382">IF(_xlfn.XLOOKUP(C382,customers!A381:$A$1001,customers!C381:$C$1001,,0)=0,"",_xlfn.XLOOKUP(C382,customers!A381:$A$1001,customers!C381:$C$1001,,0))</f>
        <v>#N/A</v>
      </c>
      <c r="H382" s="2" t="str" cm="1">
        <f t="array" ref="H382">_xlfn.XLOOKUP(C382,customers!A381:$A$1001,customers!G381:$G$1001,"Ireland",0)</f>
        <v>Ireland</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5"/>
        <v>23.31</v>
      </c>
      <c r="N382" t="str" cm="1">
        <f t="array" ref="N382">_xlfn.IFS(I382="Rob","Robusta",I382="Exc","Excelsa",I382="Ara","Arabica",I382="Lib","Liberica")</f>
        <v>Liberica</v>
      </c>
      <c r="O382" t="str" cm="1">
        <f t="array" ref="O382">_xlfn.IFS(J382="M","Midium",J382="L","Light",J382="D","Dark")</f>
        <v>Dark</v>
      </c>
      <c r="P382" t="str">
        <f>_xlfn.XLOOKUP(Orders[[#This Row],[Customer ID]],customers!A:A,customers!I:I,,0)</f>
        <v>No</v>
      </c>
      <c r="Q382" t="str">
        <f>_xlfn.XLOOKUP(C383,customers!A:A,customers!B:B,"مش موجود")</f>
        <v>Pren Bess</v>
      </c>
    </row>
    <row r="383" spans="1:17" x14ac:dyDescent="0.25">
      <c r="A383" s="2" t="s">
        <v>2638</v>
      </c>
      <c r="B383" s="3">
        <v>44646</v>
      </c>
      <c r="C383" s="2" t="s">
        <v>2639</v>
      </c>
      <c r="D383" t="s">
        <v>6154</v>
      </c>
      <c r="E383" s="2">
        <v>5</v>
      </c>
      <c r="F383" s="2" t="str">
        <f>_xlfn.XLOOKUP(Orders[[#This Row],[Customer ID]],customers!A:A,customers!B:B)</f>
        <v>Pren Bess</v>
      </c>
      <c r="G383" s="2" t="str" cm="1">
        <f t="array" ref="G383">IF(_xlfn.XLOOKUP(C383,customers!A382:$A$1001,customers!C382:$C$1001,,0)=0,"",_xlfn.XLOOKUP(C383,customers!A382:$A$1001,customers!C382:$C$1001,,0))</f>
        <v>pbessal@qq.com</v>
      </c>
      <c r="H383" s="2" t="str" cm="1">
        <f t="array" ref="H383">_xlfn.XLOOKUP(C383,customers!A382:$A$1001,customers!G382:$G$1001,"Ireland",0)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5"/>
        <v>14.924999999999999</v>
      </c>
      <c r="N383" t="str" cm="1">
        <f t="array" ref="N383">_xlfn.IFS(I383="Rob","Robusta",I383="Exc","Excelsa",I383="Ara","Arabica",I383="Lib","Liberica")</f>
        <v>Arabica</v>
      </c>
      <c r="O383" t="str" cm="1">
        <f t="array" ref="O383">_xlfn.IFS(J383="M","Midium",J383="L","Light",J383="D","Dark")</f>
        <v>Dark</v>
      </c>
      <c r="P383" t="str">
        <f>_xlfn.XLOOKUP(Orders[[#This Row],[Customer ID]],customers!A:A,customers!I:I,,0)</f>
        <v>Yes</v>
      </c>
      <c r="Q383" t="str">
        <f>_xlfn.XLOOKUP(C384,customers!A:A,customers!B:B,"مش موجود")</f>
        <v>Elka Windress</v>
      </c>
    </row>
    <row r="384" spans="1:17" x14ac:dyDescent="0.25">
      <c r="A384" s="2" t="s">
        <v>2644</v>
      </c>
      <c r="B384" s="3">
        <v>43840</v>
      </c>
      <c r="C384" s="2" t="s">
        <v>2645</v>
      </c>
      <c r="D384" t="s">
        <v>6144</v>
      </c>
      <c r="E384" s="2">
        <v>3</v>
      </c>
      <c r="F384" s="2" t="str">
        <f>_xlfn.XLOOKUP(Orders[[#This Row],[Customer ID]],customers!A:A,customers!B:B)</f>
        <v>Elka Windress</v>
      </c>
      <c r="G384" s="2" t="str" cm="1">
        <f t="array" ref="G384">IF(_xlfn.XLOOKUP(C384,customers!A383:$A$1001,customers!C383:$C$1001,,0)=0,"",_xlfn.XLOOKUP(C384,customers!A383:$A$1001,customers!C383:$C$1001,,0))</f>
        <v>ewindressam@marketwatch.com</v>
      </c>
      <c r="H384" s="2" t="str" cm="1">
        <f t="array" ref="H384">_xlfn.XLOOKUP(C384,customers!A383:$A$1001,customers!G383:$G$1001,"Ireland",0)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5"/>
        <v>21.87</v>
      </c>
      <c r="N384" t="str" cm="1">
        <f t="array" ref="N384">_xlfn.IFS(I384="Rob","Robusta",I384="Exc","Excelsa",I384="Ara","Arabica",I384="Lib","Liberica")</f>
        <v>Excelsa</v>
      </c>
      <c r="O384" t="str" cm="1">
        <f t="array" ref="O384">_xlfn.IFS(J384="M","Midium",J384="L","Light",J384="D","Dark")</f>
        <v>Dark</v>
      </c>
      <c r="P384" t="str">
        <f>_xlfn.XLOOKUP(Orders[[#This Row],[Customer ID]],customers!A:A,customers!I:I,,0)</f>
        <v>No</v>
      </c>
      <c r="Q384" t="str">
        <f>_xlfn.XLOOKUP(C385,customers!A:A,customers!B:B,"مش موجود")</f>
        <v>Marty Kidstoun</v>
      </c>
    </row>
    <row r="385" spans="1:17" x14ac:dyDescent="0.25">
      <c r="A385" s="2" t="s">
        <v>2650</v>
      </c>
      <c r="B385" s="3">
        <v>43586</v>
      </c>
      <c r="C385" s="2" t="s">
        <v>2651</v>
      </c>
      <c r="D385" t="s">
        <v>6176</v>
      </c>
      <c r="E385" s="2">
        <v>6</v>
      </c>
      <c r="F385" s="2" t="str">
        <f>_xlfn.XLOOKUP(Orders[[#This Row],[Customer ID]],customers!A:A,customers!B:B)</f>
        <v>Marty Kidstoun</v>
      </c>
      <c r="G385" s="2" t="str" cm="1">
        <f t="array" ref="G385">IF(_xlfn.XLOOKUP(C385,customers!A384:$A$1001,customers!C384:$C$1001,,0)=0,"",_xlfn.XLOOKUP(C385,customers!A384:$A$1001,customers!C384:$C$1001,,0))</f>
        <v/>
      </c>
      <c r="H385" s="2" t="str" cm="1">
        <f t="array" ref="H385">_xlfn.XLOOKUP(C385,customers!A384:$A$1001,customers!G384:$G$1001,"Ireland",0)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5"/>
        <v>53.46</v>
      </c>
      <c r="N385" t="str" cm="1">
        <f t="array" ref="N385">_xlfn.IFS(I385="Rob","Robusta",I385="Exc","Excelsa",I385="Ara","Arabica",I385="Lib","Liberica")</f>
        <v>Excelsa</v>
      </c>
      <c r="O385" t="str" cm="1">
        <f t="array" ref="O385">_xlfn.IFS(J385="M","Midium",J385="L","Light",J385="D","Dark")</f>
        <v>Light</v>
      </c>
      <c r="P385" t="str">
        <f>_xlfn.XLOOKUP(Orders[[#This Row],[Customer ID]],customers!A:A,customers!I:I,,0)</f>
        <v>Yes</v>
      </c>
      <c r="Q385" t="str">
        <f>_xlfn.XLOOKUP(C386,customers!A:A,customers!B:B,"مش موجود")</f>
        <v>Nickey Dimbleby</v>
      </c>
    </row>
    <row r="386" spans="1:17" x14ac:dyDescent="0.25">
      <c r="A386" s="2" t="s">
        <v>2655</v>
      </c>
      <c r="B386" s="3">
        <v>43870</v>
      </c>
      <c r="C386" s="2" t="s">
        <v>2656</v>
      </c>
      <c r="D386" t="s">
        <v>6182</v>
      </c>
      <c r="E386" s="2">
        <v>4</v>
      </c>
      <c r="F386" s="2" t="str">
        <f>_xlfn.XLOOKUP(Orders[[#This Row],[Customer ID]],customers!A:A,customers!B:B)</f>
        <v>Nickey Dimbleby</v>
      </c>
      <c r="G386" s="2" t="str" cm="1">
        <f t="array" ref="G386">IF(_xlfn.XLOOKUP(C386,customers!A385:$A$1001,customers!C385:$C$1001,,0)=0,"",_xlfn.XLOOKUP(C386,customers!A385:$A$1001,customers!C385:$C$1001,,0))</f>
        <v/>
      </c>
      <c r="H386" s="2" t="str" cm="1">
        <f t="array" ref="H386">_xlfn.XLOOKUP(C386,customers!A385:$A$1001,customers!G385:$G$1001,"Ireland",0)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5"/>
        <v>119.13999999999999</v>
      </c>
      <c r="N386" t="str" cm="1">
        <f t="array" ref="N386">_xlfn.IFS(I386="Rob","Robusta",I386="Exc","Excelsa",I386="Ara","Arabica",I386="Lib","Liberica")</f>
        <v>Arabica</v>
      </c>
      <c r="O386" t="str" cm="1">
        <f t="array" ref="O386">_xlfn.IFS(J386="M","Midium",J386="L","Light",J386="D","Dark")</f>
        <v>Light</v>
      </c>
      <c r="P386" t="str">
        <f>_xlfn.XLOOKUP(Orders[[#This Row],[Customer ID]],customers!A:A,customers!I:I,,0)</f>
        <v>No</v>
      </c>
      <c r="Q386" t="str">
        <f>_xlfn.XLOOKUP(C387,customers!A:A,customers!B:B,"مش موجود")</f>
        <v>Virgil Baumadier</v>
      </c>
    </row>
    <row r="387" spans="1:17" x14ac:dyDescent="0.25">
      <c r="A387" s="2" t="s">
        <v>2660</v>
      </c>
      <c r="B387" s="3">
        <v>44559</v>
      </c>
      <c r="C387" s="2" t="s">
        <v>2661</v>
      </c>
      <c r="D387" t="s">
        <v>6160</v>
      </c>
      <c r="E387" s="2">
        <v>5</v>
      </c>
      <c r="F387" s="2" t="str">
        <f>_xlfn.XLOOKUP(Orders[[#This Row],[Customer ID]],customers!A:A,customers!B:B)</f>
        <v>Virgil Baumadier</v>
      </c>
      <c r="G387" s="2" t="str" cm="1">
        <f t="array" ref="G387">IF(_xlfn.XLOOKUP(C387,customers!A386:$A$1001,customers!C386:$C$1001,,0)=0,"",_xlfn.XLOOKUP(C387,customers!A386:$A$1001,customers!C386:$C$1001,,0))</f>
        <v>vbaumadierap@google.cn</v>
      </c>
      <c r="H387" s="2" t="str" cm="1">
        <f t="array" ref="H387">_xlfn.XLOOKUP(C387,customers!A386:$A$1001,customers!G386:$G$1001,"Ireland",0)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6">L387*E387</f>
        <v>43.650000000000006</v>
      </c>
      <c r="N387" t="str" cm="1">
        <f t="array" ref="N387">_xlfn.IFS(I387="Rob","Robusta",I387="Exc","Excelsa",I387="Ara","Arabica",I387="Lib","Liberica")</f>
        <v>Liberica</v>
      </c>
      <c r="O387" t="str" cm="1">
        <f t="array" ref="O387">_xlfn.IFS(J387="M","Midium",J387="L","Light",J387="D","Dark")</f>
        <v>Midium</v>
      </c>
      <c r="P387" t="str">
        <f>_xlfn.XLOOKUP(Orders[[#This Row],[Customer ID]],customers!A:A,customers!I:I,,0)</f>
        <v>Yes</v>
      </c>
      <c r="Q387" t="str">
        <f>_xlfn.XLOOKUP(C388,customers!A:A,customers!B:B,"مش موجود")</f>
        <v>Lenore Messenbird</v>
      </c>
    </row>
    <row r="388" spans="1:17" x14ac:dyDescent="0.25">
      <c r="A388" s="2" t="s">
        <v>2666</v>
      </c>
      <c r="B388" s="3">
        <v>44083</v>
      </c>
      <c r="C388" s="2" t="s">
        <v>2667</v>
      </c>
      <c r="D388" t="s">
        <v>6154</v>
      </c>
      <c r="E388" s="2">
        <v>6</v>
      </c>
      <c r="F388" s="2" t="str">
        <f>_xlfn.XLOOKUP(Orders[[#This Row],[Customer ID]],customers!A:A,customers!B:B)</f>
        <v>Lenore Messenbird</v>
      </c>
      <c r="G388" s="2" t="str" cm="1">
        <f t="array" ref="G388">IF(_xlfn.XLOOKUP(C388,customers!A387:$A$1001,customers!C387:$C$1001,,0)=0,"",_xlfn.XLOOKUP(C388,customers!A387:$A$1001,customers!C387:$C$1001,,0))</f>
        <v/>
      </c>
      <c r="H388" s="2" t="str" cm="1">
        <f t="array" ref="H388">_xlfn.XLOOKUP(C388,customers!A387:$A$1001,customers!G387:$G$1001,"Ireland",0)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6"/>
        <v>17.91</v>
      </c>
      <c r="N388" t="str" cm="1">
        <f t="array" ref="N388">_xlfn.IFS(I388="Rob","Robusta",I388="Exc","Excelsa",I388="Ara","Arabica",I388="Lib","Liberica")</f>
        <v>Arabica</v>
      </c>
      <c r="O388" t="str" cm="1">
        <f t="array" ref="O388">_xlfn.IFS(J388="M","Midium",J388="L","Light",J388="D","Dark")</f>
        <v>Dark</v>
      </c>
      <c r="P388" t="str">
        <f>_xlfn.XLOOKUP(Orders[[#This Row],[Customer ID]],customers!A:A,customers!I:I,,0)</f>
        <v>Yes</v>
      </c>
      <c r="Q388" t="str">
        <f>_xlfn.XLOOKUP(C389,customers!A:A,customers!B:B,"مش موجود")</f>
        <v>Shirleen Welds</v>
      </c>
    </row>
    <row r="389" spans="1:17" x14ac:dyDescent="0.25">
      <c r="A389" s="2" t="s">
        <v>2671</v>
      </c>
      <c r="B389" s="3">
        <v>44455</v>
      </c>
      <c r="C389" s="2" t="s">
        <v>2672</v>
      </c>
      <c r="D389" t="s">
        <v>6171</v>
      </c>
      <c r="E389" s="2">
        <v>5</v>
      </c>
      <c r="F389" s="2" t="str">
        <f>_xlfn.XLOOKUP(Orders[[#This Row],[Customer ID]],customers!A:A,customers!B:B)</f>
        <v>Shirleen Welds</v>
      </c>
      <c r="G389" s="2" t="str" cm="1">
        <f t="array" ref="G389">IF(_xlfn.XLOOKUP(C389,customers!A388:$A$1001,customers!C388:$C$1001,,0)=0,"",_xlfn.XLOOKUP(C389,customers!A388:$A$1001,customers!C388:$C$1001,,0))</f>
        <v>sweldsar@wired.com</v>
      </c>
      <c r="H389" s="2" t="str" cm="1">
        <f t="array" ref="H389">_xlfn.XLOOKUP(C389,customers!A388:$A$1001,customers!G388:$G$1001,"Ireland",0)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6"/>
        <v>74.25</v>
      </c>
      <c r="N389" t="str" cm="1">
        <f t="array" ref="N389">_xlfn.IFS(I389="Rob","Robusta",I389="Exc","Excelsa",I389="Ara","Arabica",I389="Lib","Liberica")</f>
        <v>Excelsa</v>
      </c>
      <c r="O389" t="str" cm="1">
        <f t="array" ref="O389">_xlfn.IFS(J389="M","Midium",J389="L","Light",J389="D","Dark")</f>
        <v>Light</v>
      </c>
      <c r="P389" t="str">
        <f>_xlfn.XLOOKUP(Orders[[#This Row],[Customer ID]],customers!A:A,customers!I:I,,0)</f>
        <v>Yes</v>
      </c>
      <c r="Q389" t="str">
        <f>_xlfn.XLOOKUP(C390,customers!A:A,customers!B:B,"مش موجود")</f>
        <v>Maisie Sarvar</v>
      </c>
    </row>
    <row r="390" spans="1:17" x14ac:dyDescent="0.25">
      <c r="A390" s="2" t="s">
        <v>2677</v>
      </c>
      <c r="B390" s="3">
        <v>44130</v>
      </c>
      <c r="C390" s="2" t="s">
        <v>2678</v>
      </c>
      <c r="D390" t="s">
        <v>6150</v>
      </c>
      <c r="E390" s="2">
        <v>3</v>
      </c>
      <c r="F390" s="2" t="str">
        <f>_xlfn.XLOOKUP(Orders[[#This Row],[Customer ID]],customers!A:A,customers!B:B)</f>
        <v>Maisie Sarvar</v>
      </c>
      <c r="G390" s="2" t="str" cm="1">
        <f t="array" ref="G390">IF(_xlfn.XLOOKUP(C390,customers!A389:$A$1001,customers!C389:$C$1001,,0)=0,"",_xlfn.XLOOKUP(C390,customers!A389:$A$1001,customers!C389:$C$1001,,0))</f>
        <v>msarvaras@artisteer.com</v>
      </c>
      <c r="H390" s="2" t="str" cm="1">
        <f t="array" ref="H390">_xlfn.XLOOKUP(C390,customers!A389:$A$1001,customers!G389:$G$1001,"Ireland",0)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6"/>
        <v>11.654999999999999</v>
      </c>
      <c r="N390" t="str" cm="1">
        <f t="array" ref="N390">_xlfn.IFS(I390="Rob","Robusta",I390="Exc","Excelsa",I390="Ara","Arabica",I390="Lib","Liberica")</f>
        <v>Liberica</v>
      </c>
      <c r="O390" t="str" cm="1">
        <f t="array" ref="O390">_xlfn.IFS(J390="M","Midium",J390="L","Light",J390="D","Dark")</f>
        <v>Dark</v>
      </c>
      <c r="P390" t="str">
        <f>_xlfn.XLOOKUP(Orders[[#This Row],[Customer ID]],customers!A:A,customers!I:I,,0)</f>
        <v>Yes</v>
      </c>
      <c r="Q390" t="str">
        <f>_xlfn.XLOOKUP(C391,customers!A:A,customers!B:B,"مش موجود")</f>
        <v>Andrej Havick</v>
      </c>
    </row>
    <row r="391" spans="1:17" x14ac:dyDescent="0.25">
      <c r="A391" s="2" t="s">
        <v>2683</v>
      </c>
      <c r="B391" s="3">
        <v>43536</v>
      </c>
      <c r="C391" s="2" t="s">
        <v>2684</v>
      </c>
      <c r="D391" t="s">
        <v>6169</v>
      </c>
      <c r="E391" s="2">
        <v>3</v>
      </c>
      <c r="F391" s="2" t="str">
        <f>_xlfn.XLOOKUP(Orders[[#This Row],[Customer ID]],customers!A:A,customers!B:B)</f>
        <v>Andrej Havick</v>
      </c>
      <c r="G391" s="2" t="str" cm="1">
        <f t="array" ref="G391">IF(_xlfn.XLOOKUP(C391,customers!A390:$A$1001,customers!C390:$C$1001,,0)=0,"",_xlfn.XLOOKUP(C391,customers!A390:$A$1001,customers!C390:$C$1001,,0))</f>
        <v>ahavickat@nsw.gov.au</v>
      </c>
      <c r="H391" s="2" t="str" cm="1">
        <f t="array" ref="H391">_xlfn.XLOOKUP(C391,customers!A390:$A$1001,customers!G390:$G$1001,"Ireland",0)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6"/>
        <v>23.31</v>
      </c>
      <c r="N391" t="str" cm="1">
        <f t="array" ref="N391">_xlfn.IFS(I391="Rob","Robusta",I391="Exc","Excelsa",I391="Ara","Arabica",I391="Lib","Liberica")</f>
        <v>Liberica</v>
      </c>
      <c r="O391" t="str" cm="1">
        <f t="array" ref="O391">_xlfn.IFS(J391="M","Midium",J391="L","Light",J391="D","Dark")</f>
        <v>Dark</v>
      </c>
      <c r="P391" t="str">
        <f>_xlfn.XLOOKUP(Orders[[#This Row],[Customer ID]],customers!A:A,customers!I:I,,0)</f>
        <v>Yes</v>
      </c>
      <c r="Q391" t="str">
        <f>_xlfn.XLOOKUP(C392,customers!A:A,customers!B:B,"مش موجود")</f>
        <v>Sloan Diviny</v>
      </c>
    </row>
    <row r="392" spans="1:17" x14ac:dyDescent="0.25">
      <c r="A392" s="2" t="s">
        <v>2689</v>
      </c>
      <c r="B392" s="3">
        <v>44245</v>
      </c>
      <c r="C392" s="2" t="s">
        <v>2690</v>
      </c>
      <c r="D392" t="s">
        <v>6144</v>
      </c>
      <c r="E392" s="2">
        <v>2</v>
      </c>
      <c r="F392" s="2" t="str">
        <f>_xlfn.XLOOKUP(Orders[[#This Row],[Customer ID]],customers!A:A,customers!B:B)</f>
        <v>Sloan Diviny</v>
      </c>
      <c r="G392" s="2" t="str" cm="1">
        <f t="array" ref="G392">IF(_xlfn.XLOOKUP(C392,customers!A391:$A$1001,customers!C391:$C$1001,,0)=0,"",_xlfn.XLOOKUP(C392,customers!A391:$A$1001,customers!C391:$C$1001,,0))</f>
        <v>sdivinyau@ask.com</v>
      </c>
      <c r="H392" s="2" t="str" cm="1">
        <f t="array" ref="H392">_xlfn.XLOOKUP(C392,customers!A391:$A$1001,customers!G391:$G$1001,"Ireland",0)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6"/>
        <v>14.58</v>
      </c>
      <c r="N392" t="str" cm="1">
        <f t="array" ref="N392">_xlfn.IFS(I392="Rob","Robusta",I392="Exc","Excelsa",I392="Ara","Arabica",I392="Lib","Liberica")</f>
        <v>Excelsa</v>
      </c>
      <c r="O392" t="str" cm="1">
        <f t="array" ref="O392">_xlfn.IFS(J392="M","Midium",J392="L","Light",J392="D","Dark")</f>
        <v>Dark</v>
      </c>
      <c r="P392" t="str">
        <f>_xlfn.XLOOKUP(Orders[[#This Row],[Customer ID]],customers!A:A,customers!I:I,,0)</f>
        <v>Yes</v>
      </c>
      <c r="Q392" t="str">
        <f>_xlfn.XLOOKUP(C393,customers!A:A,customers!B:B,"مش موجود")</f>
        <v>Itch Norquoy</v>
      </c>
    </row>
    <row r="393" spans="1:17" x14ac:dyDescent="0.25">
      <c r="A393" s="2" t="s">
        <v>2694</v>
      </c>
      <c r="B393" s="3">
        <v>44133</v>
      </c>
      <c r="C393" s="2" t="s">
        <v>2695</v>
      </c>
      <c r="D393" t="s">
        <v>6157</v>
      </c>
      <c r="E393" s="2">
        <v>2</v>
      </c>
      <c r="F393" s="2" t="str">
        <f>_xlfn.XLOOKUP(Orders[[#This Row],[Customer ID]],customers!A:A,customers!B:B)</f>
        <v>Itch Norquoy</v>
      </c>
      <c r="G393" s="2" t="str" cm="1">
        <f t="array" ref="G393">IF(_xlfn.XLOOKUP(C393,customers!A392:$A$1001,customers!C392:$C$1001,,0)=0,"",_xlfn.XLOOKUP(C393,customers!A392:$A$1001,customers!C392:$C$1001,,0))</f>
        <v>inorquoyav@businessweek.com</v>
      </c>
      <c r="H393" s="2" t="str" cm="1">
        <f t="array" ref="H393">_xlfn.XLOOKUP(C393,customers!A392:$A$1001,customers!G392:$G$1001,"Ireland",0)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6"/>
        <v>13.5</v>
      </c>
      <c r="N393" t="str" cm="1">
        <f t="array" ref="N393">_xlfn.IFS(I393="Rob","Robusta",I393="Exc","Excelsa",I393="Ara","Arabica",I393="Lib","Liberica")</f>
        <v>Arabica</v>
      </c>
      <c r="O393" t="str" cm="1">
        <f t="array" ref="O393">_xlfn.IFS(J393="M","Midium",J393="L","Light",J393="D","Dark")</f>
        <v>Midium</v>
      </c>
      <c r="P393" t="str">
        <f>_xlfn.XLOOKUP(Orders[[#This Row],[Customer ID]],customers!A:A,customers!I:I,,0)</f>
        <v>No</v>
      </c>
      <c r="Q393" t="str">
        <f>_xlfn.XLOOKUP(C394,customers!A:A,customers!B:B,"مش موجود")</f>
        <v>Anson Iddison</v>
      </c>
    </row>
    <row r="394" spans="1:17" x14ac:dyDescent="0.25">
      <c r="A394" s="2" t="s">
        <v>2699</v>
      </c>
      <c r="B394" s="3">
        <v>44445</v>
      </c>
      <c r="C394" s="2" t="s">
        <v>2700</v>
      </c>
      <c r="D394" t="s">
        <v>6171</v>
      </c>
      <c r="E394" s="2">
        <v>6</v>
      </c>
      <c r="F394" s="2" t="str">
        <f>_xlfn.XLOOKUP(Orders[[#This Row],[Customer ID]],customers!A:A,customers!B:B)</f>
        <v>Anson Iddison</v>
      </c>
      <c r="G394" s="2" t="str" cm="1">
        <f t="array" ref="G394">IF(_xlfn.XLOOKUP(C394,customers!A393:$A$1001,customers!C393:$C$1001,,0)=0,"",_xlfn.XLOOKUP(C394,customers!A393:$A$1001,customers!C393:$C$1001,,0))</f>
        <v>aiddisonaw@usa.gov</v>
      </c>
      <c r="H394" s="2" t="str" cm="1">
        <f t="array" ref="H394">_xlfn.XLOOKUP(C394,customers!A393:$A$1001,customers!G393:$G$1001,"Ireland",0)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6"/>
        <v>89.1</v>
      </c>
      <c r="N394" t="str" cm="1">
        <f t="array" ref="N394">_xlfn.IFS(I394="Rob","Robusta",I394="Exc","Excelsa",I394="Ara","Arabica",I394="Lib","Liberica")</f>
        <v>Excelsa</v>
      </c>
      <c r="O394" t="str" cm="1">
        <f t="array" ref="O394">_xlfn.IFS(J394="M","Midium",J394="L","Light",J394="D","Dark")</f>
        <v>Light</v>
      </c>
      <c r="P394" t="str">
        <f>_xlfn.XLOOKUP(Orders[[#This Row],[Customer ID]],customers!A:A,customers!I:I,,0)</f>
        <v>No</v>
      </c>
      <c r="Q394" t="str">
        <f>_xlfn.XLOOKUP(C395,customers!A:A,customers!B:B,"مش موجود")</f>
        <v>Anson Iddison</v>
      </c>
    </row>
    <row r="395" spans="1:17" x14ac:dyDescent="0.25">
      <c r="A395" s="2" t="s">
        <v>2699</v>
      </c>
      <c r="B395" s="3">
        <v>44445</v>
      </c>
      <c r="C395" s="2" t="s">
        <v>2700</v>
      </c>
      <c r="D395" t="s">
        <v>6167</v>
      </c>
      <c r="E395" s="2">
        <v>1</v>
      </c>
      <c r="F395" s="2" t="str">
        <f>_xlfn.XLOOKUP(Orders[[#This Row],[Customer ID]],customers!A:A,customers!B:B)</f>
        <v>Anson Iddison</v>
      </c>
      <c r="G395" s="2" t="str" cm="1">
        <f t="array" ref="G395">IF(_xlfn.XLOOKUP(C395,customers!A394:$A$1001,customers!C394:$C$1001,,0)=0,"",_xlfn.XLOOKUP(C395,customers!A394:$A$1001,customers!C394:$C$1001,,0))</f>
        <v>aiddisonaw@usa.gov</v>
      </c>
      <c r="H395" s="2" t="str" cm="1">
        <f t="array" ref="H395">_xlfn.XLOOKUP(C395,customers!A394:$A$1001,customers!G394:$G$1001,"Ireland",0)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6"/>
        <v>3.8849999999999998</v>
      </c>
      <c r="N395" t="str" cm="1">
        <f t="array" ref="N395">_xlfn.IFS(I395="Rob","Robusta",I395="Exc","Excelsa",I395="Ara","Arabica",I395="Lib","Liberica")</f>
        <v>Arabica</v>
      </c>
      <c r="O395" t="str" cm="1">
        <f t="array" ref="O395">_xlfn.IFS(J395="M","Midium",J395="L","Light",J395="D","Dark")</f>
        <v>Light</v>
      </c>
      <c r="P395" t="str">
        <f>_xlfn.XLOOKUP(Orders[[#This Row],[Customer ID]],customers!A:A,customers!I:I,,0)</f>
        <v>No</v>
      </c>
      <c r="Q395" t="str">
        <f>_xlfn.XLOOKUP(C396,customers!A:A,customers!B:B,"مش موجود")</f>
        <v>Randal Longfield</v>
      </c>
    </row>
    <row r="396" spans="1:17" x14ac:dyDescent="0.25">
      <c r="A396" s="2" t="s">
        <v>2710</v>
      </c>
      <c r="B396" s="3">
        <v>44083</v>
      </c>
      <c r="C396" s="2" t="s">
        <v>2711</v>
      </c>
      <c r="D396" t="s">
        <v>6142</v>
      </c>
      <c r="E396" s="2">
        <v>4</v>
      </c>
      <c r="F396" s="2" t="str">
        <f>_xlfn.XLOOKUP(Orders[[#This Row],[Customer ID]],customers!A:A,customers!B:B)</f>
        <v>Randal Longfield</v>
      </c>
      <c r="G396" s="2" t="str" cm="1">
        <f t="array" ref="G396">IF(_xlfn.XLOOKUP(C396,customers!A395:$A$1001,customers!C395:$C$1001,,0)=0,"",_xlfn.XLOOKUP(C396,customers!A395:$A$1001,customers!C395:$C$1001,,0))</f>
        <v>rlongfielday@bluehost.com</v>
      </c>
      <c r="H396" s="2" t="str" cm="1">
        <f t="array" ref="H396">_xlfn.XLOOKUP(C396,customers!A395:$A$1001,customers!G395:$G$1001,"Ireland",0)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6"/>
        <v>109.93999999999998</v>
      </c>
      <c r="N396" t="str" cm="1">
        <f t="array" ref="N396">_xlfn.IFS(I396="Rob","Robusta",I396="Exc","Excelsa",I396="Ara","Arabica",I396="Lib","Liberica")</f>
        <v>Robusta</v>
      </c>
      <c r="O396" t="str" cm="1">
        <f t="array" ref="O396">_xlfn.IFS(J396="M","Midium",J396="L","Light",J396="D","Dark")</f>
        <v>Light</v>
      </c>
      <c r="P396" t="str">
        <f>_xlfn.XLOOKUP(Orders[[#This Row],[Customer ID]],customers!A:A,customers!I:I,,0)</f>
        <v>No</v>
      </c>
      <c r="Q396" t="str">
        <f>_xlfn.XLOOKUP(C397,customers!A:A,customers!B:B,"مش موجود")</f>
        <v>Gregorius Kislingbury</v>
      </c>
    </row>
    <row r="397" spans="1:17" x14ac:dyDescent="0.25">
      <c r="A397" s="2" t="s">
        <v>2716</v>
      </c>
      <c r="B397" s="3">
        <v>44465</v>
      </c>
      <c r="C397" s="2" t="s">
        <v>2717</v>
      </c>
      <c r="D397" t="s">
        <v>6169</v>
      </c>
      <c r="E397" s="2">
        <v>6</v>
      </c>
      <c r="F397" s="2" t="str">
        <f>_xlfn.XLOOKUP(Orders[[#This Row],[Customer ID]],customers!A:A,customers!B:B)</f>
        <v>Gregorius Kislingbury</v>
      </c>
      <c r="G397" s="2" t="str" cm="1">
        <f t="array" ref="G397">IF(_xlfn.XLOOKUP(C397,customers!A396:$A$1001,customers!C396:$C$1001,,0)=0,"",_xlfn.XLOOKUP(C397,customers!A396:$A$1001,customers!C396:$C$1001,,0))</f>
        <v>gkislingburyaz@samsung.com</v>
      </c>
      <c r="H397" s="2" t="str" cm="1">
        <f t="array" ref="H397">_xlfn.XLOOKUP(C397,customers!A396:$A$1001,customers!G396:$G$1001,"Ireland",0)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6"/>
        <v>46.62</v>
      </c>
      <c r="N397" t="str" cm="1">
        <f t="array" ref="N397">_xlfn.IFS(I397="Rob","Robusta",I397="Exc","Excelsa",I397="Ara","Arabica",I397="Lib","Liberica")</f>
        <v>Liberica</v>
      </c>
      <c r="O397" t="str" cm="1">
        <f t="array" ref="O397">_xlfn.IFS(J397="M","Midium",J397="L","Light",J397="D","Dark")</f>
        <v>Dark</v>
      </c>
      <c r="P397" t="str">
        <f>_xlfn.XLOOKUP(Orders[[#This Row],[Customer ID]],customers!A:A,customers!I:I,,0)</f>
        <v>Yes</v>
      </c>
      <c r="Q397" t="str">
        <f>_xlfn.XLOOKUP(C398,customers!A:A,customers!B:B,"مش موجود")</f>
        <v>Xenos Gibbons</v>
      </c>
    </row>
    <row r="398" spans="1:17" x14ac:dyDescent="0.25">
      <c r="A398" s="2" t="s">
        <v>2721</v>
      </c>
      <c r="B398" s="3">
        <v>44140</v>
      </c>
      <c r="C398" s="2" t="s">
        <v>2722</v>
      </c>
      <c r="D398" t="s">
        <v>6180</v>
      </c>
      <c r="E398" s="2">
        <v>5</v>
      </c>
      <c r="F398" s="2" t="str">
        <f>_xlfn.XLOOKUP(Orders[[#This Row],[Customer ID]],customers!A:A,customers!B:B)</f>
        <v>Xenos Gibbons</v>
      </c>
      <c r="G398" s="2" t="str" cm="1">
        <f t="array" ref="G398">IF(_xlfn.XLOOKUP(C398,customers!A397:$A$1001,customers!C397:$C$1001,,0)=0,"",_xlfn.XLOOKUP(C398,customers!A397:$A$1001,customers!C397:$C$1001,,0))</f>
        <v>xgibbonsb0@artisteer.com</v>
      </c>
      <c r="H398" s="2" t="str" cm="1">
        <f t="array" ref="H398">_xlfn.XLOOKUP(C398,customers!A397:$A$1001,customers!G397:$G$1001,"Ireland",0)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6"/>
        <v>38.849999999999994</v>
      </c>
      <c r="N398" t="str" cm="1">
        <f t="array" ref="N398">_xlfn.IFS(I398="Rob","Robusta",I398="Exc","Excelsa",I398="Ara","Arabica",I398="Lib","Liberica")</f>
        <v>Arabica</v>
      </c>
      <c r="O398" t="str" cm="1">
        <f t="array" ref="O398">_xlfn.IFS(J398="M","Midium",J398="L","Light",J398="D","Dark")</f>
        <v>Light</v>
      </c>
      <c r="P398" t="str">
        <f>_xlfn.XLOOKUP(Orders[[#This Row],[Customer ID]],customers!A:A,customers!I:I,,0)</f>
        <v>No</v>
      </c>
      <c r="Q398" t="str">
        <f>_xlfn.XLOOKUP(C399,customers!A:A,customers!B:B,"مش موجود")</f>
        <v>Fleur Parres</v>
      </c>
    </row>
    <row r="399" spans="1:17" x14ac:dyDescent="0.25">
      <c r="A399" s="2" t="s">
        <v>2727</v>
      </c>
      <c r="B399" s="3">
        <v>43720</v>
      </c>
      <c r="C399" s="2" t="s">
        <v>2728</v>
      </c>
      <c r="D399" t="s">
        <v>6169</v>
      </c>
      <c r="E399" s="2">
        <v>4</v>
      </c>
      <c r="F399" s="2" t="str">
        <f>_xlfn.XLOOKUP(Orders[[#This Row],[Customer ID]],customers!A:A,customers!B:B)</f>
        <v>Fleur Parres</v>
      </c>
      <c r="G399" s="2" t="str" cm="1">
        <f t="array" ref="G399">IF(_xlfn.XLOOKUP(C399,customers!A398:$A$1001,customers!C398:$C$1001,,0)=0,"",_xlfn.XLOOKUP(C399,customers!A398:$A$1001,customers!C398:$C$1001,,0))</f>
        <v>fparresb1@imageshack.us</v>
      </c>
      <c r="H399" s="2" t="str" cm="1">
        <f t="array" ref="H399">_xlfn.XLOOKUP(C399,customers!A398:$A$1001,customers!G398:$G$1001,"Ireland",0)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6"/>
        <v>31.08</v>
      </c>
      <c r="N399" t="str" cm="1">
        <f t="array" ref="N399">_xlfn.IFS(I399="Rob","Robusta",I399="Exc","Excelsa",I399="Ara","Arabica",I399="Lib","Liberica")</f>
        <v>Liberica</v>
      </c>
      <c r="O399" t="str" cm="1">
        <f t="array" ref="O399">_xlfn.IFS(J399="M","Midium",J399="L","Light",J399="D","Dark")</f>
        <v>Dark</v>
      </c>
      <c r="P399" t="str">
        <f>_xlfn.XLOOKUP(Orders[[#This Row],[Customer ID]],customers!A:A,customers!I:I,,0)</f>
        <v>Yes</v>
      </c>
      <c r="Q399" t="str">
        <f>_xlfn.XLOOKUP(C400,customers!A:A,customers!B:B,"مش موجود")</f>
        <v>Gran Sibray</v>
      </c>
    </row>
    <row r="400" spans="1:17" x14ac:dyDescent="0.25">
      <c r="A400" s="2" t="s">
        <v>2733</v>
      </c>
      <c r="B400" s="3">
        <v>43677</v>
      </c>
      <c r="C400" s="2" t="s">
        <v>2734</v>
      </c>
      <c r="D400" t="s">
        <v>6154</v>
      </c>
      <c r="E400" s="2">
        <v>6</v>
      </c>
      <c r="F400" s="2" t="str">
        <f>_xlfn.XLOOKUP(Orders[[#This Row],[Customer ID]],customers!A:A,customers!B:B)</f>
        <v>Gran Sibray</v>
      </c>
      <c r="G400" s="2" t="str" cm="1">
        <f t="array" ref="G400">IF(_xlfn.XLOOKUP(C400,customers!A399:$A$1001,customers!C399:$C$1001,,0)=0,"",_xlfn.XLOOKUP(C400,customers!A399:$A$1001,customers!C399:$C$1001,,0))</f>
        <v>gsibrayb2@wsj.com</v>
      </c>
      <c r="H400" s="2" t="str" cm="1">
        <f t="array" ref="H400">_xlfn.XLOOKUP(C400,customers!A399:$A$1001,customers!G399:$G$1001,"Ireland",0)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6"/>
        <v>17.91</v>
      </c>
      <c r="N400" t="str" cm="1">
        <f t="array" ref="N400">_xlfn.IFS(I400="Rob","Robusta",I400="Exc","Excelsa",I400="Ara","Arabica",I400="Lib","Liberica")</f>
        <v>Arabica</v>
      </c>
      <c r="O400" t="str" cm="1">
        <f t="array" ref="O400">_xlfn.IFS(J400="M","Midium",J400="L","Light",J400="D","Dark")</f>
        <v>Dark</v>
      </c>
      <c r="P400" t="str">
        <f>_xlfn.XLOOKUP(Orders[[#This Row],[Customer ID]],customers!A:A,customers!I:I,,0)</f>
        <v>Yes</v>
      </c>
      <c r="Q400" t="str">
        <f>_xlfn.XLOOKUP(C401,customers!A:A,customers!B:B,"مش موجود")</f>
        <v>Ingelbert Hotchkin</v>
      </c>
    </row>
    <row r="401" spans="1:17" x14ac:dyDescent="0.25">
      <c r="A401" s="2" t="s">
        <v>2739</v>
      </c>
      <c r="B401" s="3">
        <v>43539</v>
      </c>
      <c r="C401" s="2" t="s">
        <v>2740</v>
      </c>
      <c r="D401" t="s">
        <v>6185</v>
      </c>
      <c r="E401" s="2">
        <v>6</v>
      </c>
      <c r="F401" s="2" t="str">
        <f>_xlfn.XLOOKUP(Orders[[#This Row],[Customer ID]],customers!A:A,customers!B:B)</f>
        <v>Ingelbert Hotchkin</v>
      </c>
      <c r="G401" s="2" t="str" cm="1">
        <f t="array" ref="G401">IF(_xlfn.XLOOKUP(C401,customers!A400:$A$1001,customers!C400:$C$1001,,0)=0,"",_xlfn.XLOOKUP(C401,customers!A400:$A$1001,customers!C400:$C$1001,,0))</f>
        <v>ihotchkinb3@mit.edu</v>
      </c>
      <c r="H401" s="2" t="str" cm="1">
        <f t="array" ref="H401">_xlfn.XLOOKUP(C401,customers!A400:$A$1001,customers!G400:$G$1001,"Ireland",0)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6"/>
        <v>167.67000000000002</v>
      </c>
      <c r="N401" t="str" cm="1">
        <f t="array" ref="N401">_xlfn.IFS(I401="Rob","Robusta",I401="Exc","Excelsa",I401="Ara","Arabica",I401="Lib","Liberica")</f>
        <v>Excelsa</v>
      </c>
      <c r="O401" t="str" cm="1">
        <f t="array" ref="O401">_xlfn.IFS(J401="M","Midium",J401="L","Light",J401="D","Dark")</f>
        <v>Dark</v>
      </c>
      <c r="P401" t="str">
        <f>_xlfn.XLOOKUP(Orders[[#This Row],[Customer ID]],customers!A:A,customers!I:I,,0)</f>
        <v>No</v>
      </c>
      <c r="Q401" t="str">
        <f>_xlfn.XLOOKUP(C402,customers!A:A,customers!B:B,"مش موجود")</f>
        <v>Neely Broadberrie</v>
      </c>
    </row>
    <row r="402" spans="1:17" x14ac:dyDescent="0.25">
      <c r="A402" s="2" t="s">
        <v>2745</v>
      </c>
      <c r="B402" s="3">
        <v>44332</v>
      </c>
      <c r="C402" s="2" t="s">
        <v>2746</v>
      </c>
      <c r="D402" t="s">
        <v>6170</v>
      </c>
      <c r="E402" s="2">
        <v>4</v>
      </c>
      <c r="F402" s="2" t="str">
        <f>_xlfn.XLOOKUP(Orders[[#This Row],[Customer ID]],customers!A:A,customers!B:B)</f>
        <v>Neely Broadberrie</v>
      </c>
      <c r="G402" s="2" t="str" cm="1">
        <f t="array" ref="G402">IF(_xlfn.XLOOKUP(C402,customers!A401:$A$1001,customers!C401:$C$1001,,0)=0,"",_xlfn.XLOOKUP(C402,customers!A401:$A$1001,customers!C401:$C$1001,,0))</f>
        <v>nbroadberrieb4@gnu.org</v>
      </c>
      <c r="H402" s="2" t="str" cm="1">
        <f t="array" ref="H402">_xlfn.XLOOKUP(C402,customers!A401:$A$1001,customers!G401:$G$1001,"Ireland",0)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6"/>
        <v>63.4</v>
      </c>
      <c r="N402" t="str" cm="1">
        <f t="array" ref="N402">_xlfn.IFS(I402="Rob","Robusta",I402="Exc","Excelsa",I402="Ara","Arabica",I402="Lib","Liberica")</f>
        <v>Liberica</v>
      </c>
      <c r="O402" t="str" cm="1">
        <f t="array" ref="O402">_xlfn.IFS(J402="M","Midium",J402="L","Light",J402="D","Dark")</f>
        <v>Light</v>
      </c>
      <c r="P402" t="str">
        <f>_xlfn.XLOOKUP(Orders[[#This Row],[Customer ID]],customers!A:A,customers!I:I,,0)</f>
        <v>No</v>
      </c>
      <c r="Q402" t="str">
        <f>_xlfn.XLOOKUP(C403,customers!A:A,customers!B:B,"مش موجود")</f>
        <v>Rutger Pithcock</v>
      </c>
    </row>
    <row r="403" spans="1:17" x14ac:dyDescent="0.25">
      <c r="A403" s="2" t="s">
        <v>2751</v>
      </c>
      <c r="B403" s="3">
        <v>43591</v>
      </c>
      <c r="C403" s="2" t="s">
        <v>2752</v>
      </c>
      <c r="D403" t="s">
        <v>6159</v>
      </c>
      <c r="E403" s="2">
        <v>2</v>
      </c>
      <c r="F403" s="2" t="str">
        <f>_xlfn.XLOOKUP(Orders[[#This Row],[Customer ID]],customers!A:A,customers!B:B)</f>
        <v>Rutger Pithcock</v>
      </c>
      <c r="G403" s="2" t="str" cm="1">
        <f t="array" ref="G403">IF(_xlfn.XLOOKUP(C403,customers!A402:$A$1001,customers!C402:$C$1001,,0)=0,"",_xlfn.XLOOKUP(C403,customers!A402:$A$1001,customers!C402:$C$1001,,0))</f>
        <v>rpithcockb5@yellowbook.com</v>
      </c>
      <c r="H403" s="2" t="str" cm="1">
        <f t="array" ref="H403">_xlfn.XLOOKUP(C403,customers!A402:$A$1001,customers!G402:$G$1001,"Ireland",0)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6"/>
        <v>8.73</v>
      </c>
      <c r="N403" t="str" cm="1">
        <f t="array" ref="N403">_xlfn.IFS(I403="Rob","Robusta",I403="Exc","Excelsa",I403="Ara","Arabica",I403="Lib","Liberica")</f>
        <v>Liberica</v>
      </c>
      <c r="O403" t="str" cm="1">
        <f t="array" ref="O403">_xlfn.IFS(J403="M","Midium",J403="L","Light",J403="D","Dark")</f>
        <v>Midium</v>
      </c>
      <c r="P403" t="str">
        <f>_xlfn.XLOOKUP(Orders[[#This Row],[Customer ID]],customers!A:A,customers!I:I,,0)</f>
        <v>Yes</v>
      </c>
      <c r="Q403" t="str">
        <f>_xlfn.XLOOKUP(C404,customers!A:A,customers!B:B,"مش موجود")</f>
        <v>Gale Croysdale</v>
      </c>
    </row>
    <row r="404" spans="1:17" x14ac:dyDescent="0.25">
      <c r="A404" s="2" t="s">
        <v>2757</v>
      </c>
      <c r="B404" s="3">
        <v>43502</v>
      </c>
      <c r="C404" s="2" t="s">
        <v>2758</v>
      </c>
      <c r="D404" t="s">
        <v>6177</v>
      </c>
      <c r="E404" s="2">
        <v>3</v>
      </c>
      <c r="F404" s="2" t="str">
        <f>_xlfn.XLOOKUP(Orders[[#This Row],[Customer ID]],customers!A:A,customers!B:B)</f>
        <v>Gale Croysdale</v>
      </c>
      <c r="G404" s="2" t="str" cm="1">
        <f t="array" ref="G404">IF(_xlfn.XLOOKUP(C404,customers!A403:$A$1001,customers!C403:$C$1001,,0)=0,"",_xlfn.XLOOKUP(C404,customers!A403:$A$1001,customers!C403:$C$1001,,0))</f>
        <v>gcroysdaleb6@nih.gov</v>
      </c>
      <c r="H404" s="2" t="str" cm="1">
        <f t="array" ref="H404">_xlfn.XLOOKUP(C404,customers!A403:$A$1001,customers!G403:$G$1001,"Ireland",0)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6"/>
        <v>26.849999999999998</v>
      </c>
      <c r="N404" t="str" cm="1">
        <f t="array" ref="N404">_xlfn.IFS(I404="Rob","Robusta",I404="Exc","Excelsa",I404="Ara","Arabica",I404="Lib","Liberica")</f>
        <v>Robusta</v>
      </c>
      <c r="O404" t="str" cm="1">
        <f t="array" ref="O404">_xlfn.IFS(J404="M","Midium",J404="L","Light",J404="D","Dark")</f>
        <v>Dark</v>
      </c>
      <c r="P404" t="str">
        <f>_xlfn.XLOOKUP(Orders[[#This Row],[Customer ID]],customers!A:A,customers!I:I,,0)</f>
        <v>Yes</v>
      </c>
      <c r="Q404" t="str">
        <f>_xlfn.XLOOKUP(C405,customers!A:A,customers!B:B,"مش موجود")</f>
        <v>Benedetto Gozzett</v>
      </c>
    </row>
    <row r="405" spans="1:17" x14ac:dyDescent="0.25">
      <c r="A405" s="2" t="s">
        <v>2763</v>
      </c>
      <c r="B405" s="3">
        <v>44295</v>
      </c>
      <c r="C405" s="2" t="s">
        <v>2764</v>
      </c>
      <c r="D405" t="s">
        <v>6145</v>
      </c>
      <c r="E405" s="2">
        <v>2</v>
      </c>
      <c r="F405" s="2" t="str">
        <f>_xlfn.XLOOKUP(Orders[[#This Row],[Customer ID]],customers!A:A,customers!B:B)</f>
        <v>Benedetto Gozzett</v>
      </c>
      <c r="G405" s="2" t="str" cm="1">
        <f t="array" ref="G405">IF(_xlfn.XLOOKUP(C405,customers!A404:$A$1001,customers!C404:$C$1001,,0)=0,"",_xlfn.XLOOKUP(C405,customers!A404:$A$1001,customers!C404:$C$1001,,0))</f>
        <v>bgozzettb7@github.com</v>
      </c>
      <c r="H405" s="2" t="str" cm="1">
        <f t="array" ref="H405">_xlfn.XLOOKUP(C405,customers!A404:$A$1001,customers!G404:$G$1001,"Ireland",0)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6"/>
        <v>9.51</v>
      </c>
      <c r="N405" t="str" cm="1">
        <f t="array" ref="N405">_xlfn.IFS(I405="Rob","Robusta",I405="Exc","Excelsa",I405="Ara","Arabica",I405="Lib","Liberica")</f>
        <v>Liberica</v>
      </c>
      <c r="O405" t="str" cm="1">
        <f t="array" ref="O405">_xlfn.IFS(J405="M","Midium",J405="L","Light",J405="D","Dark")</f>
        <v>Light</v>
      </c>
      <c r="P405" t="str">
        <f>_xlfn.XLOOKUP(Orders[[#This Row],[Customer ID]],customers!A:A,customers!I:I,,0)</f>
        <v>No</v>
      </c>
      <c r="Q405" t="str">
        <f>_xlfn.XLOOKUP(C406,customers!A:A,customers!B:B,"مش موجود")</f>
        <v>Tania Craggs</v>
      </c>
    </row>
    <row r="406" spans="1:17" x14ac:dyDescent="0.25">
      <c r="A406" s="2" t="s">
        <v>2769</v>
      </c>
      <c r="B406" s="3">
        <v>43971</v>
      </c>
      <c r="C406" s="2" t="s">
        <v>2770</v>
      </c>
      <c r="D406" t="s">
        <v>6147</v>
      </c>
      <c r="E406" s="2">
        <v>4</v>
      </c>
      <c r="F406" s="2" t="str">
        <f>_xlfn.XLOOKUP(Orders[[#This Row],[Customer ID]],customers!A:A,customers!B:B)</f>
        <v>Tania Craggs</v>
      </c>
      <c r="G406" s="2" t="str" cm="1">
        <f t="array" ref="G406">IF(_xlfn.XLOOKUP(C406,customers!A405:$A$1001,customers!C405:$C$1001,,0)=0,"",_xlfn.XLOOKUP(C406,customers!A405:$A$1001,customers!C405:$C$1001,,0))</f>
        <v>tcraggsb8@house.gov</v>
      </c>
      <c r="H406" s="2" t="str" cm="1">
        <f t="array" ref="H406">_xlfn.XLOOKUP(C406,customers!A405:$A$1001,customers!G405:$G$1001,"Ireland",0)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6"/>
        <v>39.799999999999997</v>
      </c>
      <c r="N406" t="str" cm="1">
        <f t="array" ref="N406">_xlfn.IFS(I406="Rob","Robusta",I406="Exc","Excelsa",I406="Ara","Arabica",I406="Lib","Liberica")</f>
        <v>Arabica</v>
      </c>
      <c r="O406" t="str" cm="1">
        <f t="array" ref="O406">_xlfn.IFS(J406="M","Midium",J406="L","Light",J406="D","Dark")</f>
        <v>Dark</v>
      </c>
      <c r="P406" t="str">
        <f>_xlfn.XLOOKUP(Orders[[#This Row],[Customer ID]],customers!A:A,customers!I:I,,0)</f>
        <v>No</v>
      </c>
      <c r="Q406" t="str">
        <f>_xlfn.XLOOKUP(C407,customers!A:A,customers!B:B,"مش موجود")</f>
        <v>Leonie Cullrford</v>
      </c>
    </row>
    <row r="407" spans="1:17" x14ac:dyDescent="0.25">
      <c r="A407" s="2" t="s">
        <v>2775</v>
      </c>
      <c r="B407" s="3">
        <v>44167</v>
      </c>
      <c r="C407" s="2" t="s">
        <v>2776</v>
      </c>
      <c r="D407" t="s">
        <v>6139</v>
      </c>
      <c r="E407" s="2">
        <v>3</v>
      </c>
      <c r="F407" s="2" t="str">
        <f>_xlfn.XLOOKUP(Orders[[#This Row],[Customer ID]],customers!A:A,customers!B:B)</f>
        <v>Leonie Cullrford</v>
      </c>
      <c r="G407" s="2" t="str" cm="1">
        <f t="array" ref="G407">IF(_xlfn.XLOOKUP(C407,customers!A406:$A$1001,customers!C406:$C$1001,,0)=0,"",_xlfn.XLOOKUP(C407,customers!A406:$A$1001,customers!C406:$C$1001,,0))</f>
        <v>lcullrfordb9@xing.com</v>
      </c>
      <c r="H407" s="2" t="str" cm="1">
        <f t="array" ref="H407">_xlfn.XLOOKUP(C407,customers!A406:$A$1001,customers!G406:$G$1001,"Ireland",0)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6"/>
        <v>24.75</v>
      </c>
      <c r="N407" t="str" cm="1">
        <f t="array" ref="N407">_xlfn.IFS(I407="Rob","Robusta",I407="Exc","Excelsa",I407="Ara","Arabica",I407="Lib","Liberica")</f>
        <v>Excelsa</v>
      </c>
      <c r="O407" t="str" cm="1">
        <f t="array" ref="O407">_xlfn.IFS(J407="M","Midium",J407="L","Light",J407="D","Dark")</f>
        <v>Midium</v>
      </c>
      <c r="P407" t="str">
        <f>_xlfn.XLOOKUP(Orders[[#This Row],[Customer ID]],customers!A:A,customers!I:I,,0)</f>
        <v>Yes</v>
      </c>
      <c r="Q407" t="str">
        <f>_xlfn.XLOOKUP(C408,customers!A:A,customers!B:B,"مش موجود")</f>
        <v>Auguste Rizon</v>
      </c>
    </row>
    <row r="408" spans="1:17" x14ac:dyDescent="0.25">
      <c r="A408" s="2" t="s">
        <v>2781</v>
      </c>
      <c r="B408" s="3">
        <v>44416</v>
      </c>
      <c r="C408" s="2" t="s">
        <v>2782</v>
      </c>
      <c r="D408" t="s">
        <v>6141</v>
      </c>
      <c r="E408" s="2">
        <v>5</v>
      </c>
      <c r="F408" s="2" t="str">
        <f>_xlfn.XLOOKUP(Orders[[#This Row],[Customer ID]],customers!A:A,customers!B:B)</f>
        <v>Auguste Rizon</v>
      </c>
      <c r="G408" s="2" t="str" cm="1">
        <f t="array" ref="G408">IF(_xlfn.XLOOKUP(C408,customers!A407:$A$1001,customers!C407:$C$1001,,0)=0,"",_xlfn.XLOOKUP(C408,customers!A407:$A$1001,customers!C407:$C$1001,,0))</f>
        <v>arizonba@xing.com</v>
      </c>
      <c r="H408" s="2" t="str" cm="1">
        <f t="array" ref="H408">_xlfn.XLOOKUP(C408,customers!A407:$A$1001,customers!G407:$G$1001,"Ireland",0)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6"/>
        <v>68.75</v>
      </c>
      <c r="N408" t="str" cm="1">
        <f t="array" ref="N408">_xlfn.IFS(I408="Rob","Robusta",I408="Exc","Excelsa",I408="Ara","Arabica",I408="Lib","Liberica")</f>
        <v>Excelsa</v>
      </c>
      <c r="O408" t="str" cm="1">
        <f t="array" ref="O408">_xlfn.IFS(J408="M","Midium",J408="L","Light",J408="D","Dark")</f>
        <v>Midium</v>
      </c>
      <c r="P408" t="str">
        <f>_xlfn.XLOOKUP(Orders[[#This Row],[Customer ID]],customers!A:A,customers!I:I,,0)</f>
        <v>Yes</v>
      </c>
      <c r="Q408" t="str">
        <f>_xlfn.XLOOKUP(C409,customers!A:A,customers!B:B,"مش موجود")</f>
        <v>Lorin Guerrazzi</v>
      </c>
    </row>
    <row r="409" spans="1:17" x14ac:dyDescent="0.25">
      <c r="A409" s="2" t="s">
        <v>2787</v>
      </c>
      <c r="B409" s="3">
        <v>44595</v>
      </c>
      <c r="C409" s="2" t="s">
        <v>2788</v>
      </c>
      <c r="D409" t="s">
        <v>6139</v>
      </c>
      <c r="E409" s="2">
        <v>6</v>
      </c>
      <c r="F409" s="2" t="str">
        <f>_xlfn.XLOOKUP(Orders[[#This Row],[Customer ID]],customers!A:A,customers!B:B)</f>
        <v>Lorin Guerrazzi</v>
      </c>
      <c r="G409" s="2" t="str" cm="1">
        <f t="array" ref="G409">IF(_xlfn.XLOOKUP(C409,customers!A408:$A$1001,customers!C408:$C$1001,,0)=0,"",_xlfn.XLOOKUP(C409,customers!A408:$A$1001,customers!C408:$C$1001,,0))</f>
        <v/>
      </c>
      <c r="H409" s="2" t="str" cm="1">
        <f t="array" ref="H409">_xlfn.XLOOKUP(C409,customers!A408:$A$1001,customers!G408:$G$1001,"Ireland",0)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6"/>
        <v>49.5</v>
      </c>
      <c r="N409" t="str" cm="1">
        <f t="array" ref="N409">_xlfn.IFS(I409="Rob","Robusta",I409="Exc","Excelsa",I409="Ara","Arabica",I409="Lib","Liberica")</f>
        <v>Excelsa</v>
      </c>
      <c r="O409" t="str" cm="1">
        <f t="array" ref="O409">_xlfn.IFS(J409="M","Midium",J409="L","Light",J409="D","Dark")</f>
        <v>Midium</v>
      </c>
      <c r="P409" t="str">
        <f>_xlfn.XLOOKUP(Orders[[#This Row],[Customer ID]],customers!A:A,customers!I:I,,0)</f>
        <v>No</v>
      </c>
      <c r="Q409" t="str">
        <f>_xlfn.XLOOKUP(C410,customers!A:A,customers!B:B,"مش موجود")</f>
        <v>Felice Miell</v>
      </c>
    </row>
    <row r="410" spans="1:17" x14ac:dyDescent="0.25">
      <c r="A410" s="2" t="s">
        <v>2792</v>
      </c>
      <c r="B410" s="3">
        <v>44659</v>
      </c>
      <c r="C410" s="2" t="s">
        <v>2793</v>
      </c>
      <c r="D410" t="s">
        <v>6175</v>
      </c>
      <c r="E410" s="2">
        <v>2</v>
      </c>
      <c r="F410" s="2" t="str">
        <f>_xlfn.XLOOKUP(Orders[[#This Row],[Customer ID]],customers!A:A,customers!B:B)</f>
        <v>Felice Miell</v>
      </c>
      <c r="G410" s="2" t="str" cm="1">
        <f t="array" ref="G410">IF(_xlfn.XLOOKUP(C410,customers!A409:$A$1001,customers!C409:$C$1001,,0)=0,"",_xlfn.XLOOKUP(C410,customers!A409:$A$1001,customers!C409:$C$1001,,0))</f>
        <v>fmiellbc@spiegel.de</v>
      </c>
      <c r="H410" s="2" t="str" cm="1">
        <f t="array" ref="H410">_xlfn.XLOOKUP(C410,customers!A409:$A$1001,customers!G409:$G$1001,"Ireland",0)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6"/>
        <v>51.749999999999993</v>
      </c>
      <c r="N410" t="str" cm="1">
        <f t="array" ref="N410">_xlfn.IFS(I410="Rob","Robusta",I410="Exc","Excelsa",I410="Ara","Arabica",I410="Lib","Liberica")</f>
        <v>Arabica</v>
      </c>
      <c r="O410" t="str" cm="1">
        <f t="array" ref="O410">_xlfn.IFS(J410="M","Midium",J410="L","Light",J410="D","Dark")</f>
        <v>Midium</v>
      </c>
      <c r="P410" t="str">
        <f>_xlfn.XLOOKUP(Orders[[#This Row],[Customer ID]],customers!A:A,customers!I:I,,0)</f>
        <v>Yes</v>
      </c>
      <c r="Q410" t="str">
        <f>_xlfn.XLOOKUP(C411,customers!A:A,customers!B:B,"مش موجود")</f>
        <v>Hamish Skeech</v>
      </c>
    </row>
    <row r="411" spans="1:17" x14ac:dyDescent="0.25">
      <c r="A411" s="2" t="s">
        <v>2798</v>
      </c>
      <c r="B411" s="3">
        <v>44203</v>
      </c>
      <c r="C411" s="2" t="s">
        <v>2799</v>
      </c>
      <c r="D411" t="s">
        <v>6170</v>
      </c>
      <c r="E411" s="2">
        <v>3</v>
      </c>
      <c r="F411" s="2" t="str">
        <f>_xlfn.XLOOKUP(Orders[[#This Row],[Customer ID]],customers!A:A,customers!B:B)</f>
        <v>Hamish Skeech</v>
      </c>
      <c r="G411" s="2" t="str" cm="1">
        <f t="array" ref="G411">IF(_xlfn.XLOOKUP(C411,customers!A410:$A$1001,customers!C410:$C$1001,,0)=0,"",_xlfn.XLOOKUP(C411,customers!A410:$A$1001,customers!C410:$C$1001,,0))</f>
        <v/>
      </c>
      <c r="H411" s="2" t="str" cm="1">
        <f t="array" ref="H411">_xlfn.XLOOKUP(C411,customers!A410:$A$1001,customers!G410:$G$1001,"Ireland",0)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6"/>
        <v>47.55</v>
      </c>
      <c r="N411" t="str" cm="1">
        <f t="array" ref="N411">_xlfn.IFS(I411="Rob","Robusta",I411="Exc","Excelsa",I411="Ara","Arabica",I411="Lib","Liberica")</f>
        <v>Liberica</v>
      </c>
      <c r="O411" t="str" cm="1">
        <f t="array" ref="O411">_xlfn.IFS(J411="M","Midium",J411="L","Light",J411="D","Dark")</f>
        <v>Light</v>
      </c>
      <c r="P411" t="str">
        <f>_xlfn.XLOOKUP(Orders[[#This Row],[Customer ID]],customers!A:A,customers!I:I,,0)</f>
        <v>Yes</v>
      </c>
      <c r="Q411" t="str">
        <f>_xlfn.XLOOKUP(C412,customers!A:A,customers!B:B,"مش موجود")</f>
        <v>Giordano Lorenzin</v>
      </c>
    </row>
    <row r="412" spans="1:17" x14ac:dyDescent="0.25">
      <c r="A412" s="2" t="s">
        <v>2803</v>
      </c>
      <c r="B412" s="3">
        <v>44441</v>
      </c>
      <c r="C412" s="2" t="s">
        <v>2804</v>
      </c>
      <c r="D412" t="s">
        <v>6167</v>
      </c>
      <c r="E412" s="2">
        <v>4</v>
      </c>
      <c r="F412" s="2" t="str">
        <f>_xlfn.XLOOKUP(Orders[[#This Row],[Customer ID]],customers!A:A,customers!B:B)</f>
        <v>Giordano Lorenzin</v>
      </c>
      <c r="G412" s="2" t="str" cm="1">
        <f t="array" ref="G412">IF(_xlfn.XLOOKUP(C412,customers!A411:$A$1001,customers!C411:$C$1001,,0)=0,"",_xlfn.XLOOKUP(C412,customers!A411:$A$1001,customers!C411:$C$1001,,0))</f>
        <v/>
      </c>
      <c r="H412" s="2" t="str" cm="1">
        <f t="array" ref="H412">_xlfn.XLOOKUP(C412,customers!A411:$A$1001,customers!G411:$G$1001,"Ireland",0)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6"/>
        <v>15.54</v>
      </c>
      <c r="N412" t="str" cm="1">
        <f t="array" ref="N412">_xlfn.IFS(I412="Rob","Robusta",I412="Exc","Excelsa",I412="Ara","Arabica",I412="Lib","Liberica")</f>
        <v>Arabica</v>
      </c>
      <c r="O412" t="str" cm="1">
        <f t="array" ref="O412">_xlfn.IFS(J412="M","Midium",J412="L","Light",J412="D","Dark")</f>
        <v>Light</v>
      </c>
      <c r="P412" t="str">
        <f>_xlfn.XLOOKUP(Orders[[#This Row],[Customer ID]],customers!A:A,customers!I:I,,0)</f>
        <v>No</v>
      </c>
      <c r="Q412" t="str">
        <f>_xlfn.XLOOKUP(C413,customers!A:A,customers!B:B,"مش موجود")</f>
        <v>Harwilll Bishell</v>
      </c>
    </row>
    <row r="413" spans="1:17" x14ac:dyDescent="0.25">
      <c r="A413" s="2" t="s">
        <v>2808</v>
      </c>
      <c r="B413" s="3">
        <v>44504</v>
      </c>
      <c r="C413" s="2" t="s">
        <v>2809</v>
      </c>
      <c r="D413" t="s">
        <v>6162</v>
      </c>
      <c r="E413" s="2">
        <v>6</v>
      </c>
      <c r="F413" s="2" t="str">
        <f>_xlfn.XLOOKUP(Orders[[#This Row],[Customer ID]],customers!A:A,customers!B:B)</f>
        <v>Harwilll Bishell</v>
      </c>
      <c r="G413" s="2" t="str" cm="1">
        <f t="array" ref="G413">IF(_xlfn.XLOOKUP(C413,customers!A412:$A$1001,customers!C412:$C$1001,,0)=0,"",_xlfn.XLOOKUP(C413,customers!A412:$A$1001,customers!C412:$C$1001,,0))</f>
        <v/>
      </c>
      <c r="H413" s="2" t="str" cm="1">
        <f t="array" ref="H413">_xlfn.XLOOKUP(C413,customers!A412:$A$1001,customers!G412:$G$1001,"Ireland",0)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6"/>
        <v>87.300000000000011</v>
      </c>
      <c r="N413" t="str" cm="1">
        <f t="array" ref="N413">_xlfn.IFS(I413="Rob","Robusta",I413="Exc","Excelsa",I413="Ara","Arabica",I413="Lib","Liberica")</f>
        <v>Liberica</v>
      </c>
      <c r="O413" t="str" cm="1">
        <f t="array" ref="O413">_xlfn.IFS(J413="M","Midium",J413="L","Light",J413="D","Dark")</f>
        <v>Midium</v>
      </c>
      <c r="P413" t="str">
        <f>_xlfn.XLOOKUP(Orders[[#This Row],[Customer ID]],customers!A:A,customers!I:I,,0)</f>
        <v>Yes</v>
      </c>
      <c r="Q413" t="str">
        <f>_xlfn.XLOOKUP(C414,customers!A:A,customers!B:B,"مش موجود")</f>
        <v>Freeland Missenden</v>
      </c>
    </row>
    <row r="414" spans="1:17" x14ac:dyDescent="0.25">
      <c r="A414" s="2" t="s">
        <v>2813</v>
      </c>
      <c r="B414" s="3">
        <v>44410</v>
      </c>
      <c r="C414" s="2" t="s">
        <v>2814</v>
      </c>
      <c r="D414" t="s">
        <v>6155</v>
      </c>
      <c r="E414" s="2">
        <v>5</v>
      </c>
      <c r="F414" s="2" t="str">
        <f>_xlfn.XLOOKUP(Orders[[#This Row],[Customer ID]],customers!A:A,customers!B:B)</f>
        <v>Freeland Missenden</v>
      </c>
      <c r="G414" s="2" t="str" cm="1">
        <f t="array" ref="G414">IF(_xlfn.XLOOKUP(C414,customers!A413:$A$1001,customers!C413:$C$1001,,0)=0,"",_xlfn.XLOOKUP(C414,customers!A413:$A$1001,customers!C413:$C$1001,,0))</f>
        <v/>
      </c>
      <c r="H414" s="2" t="str" cm="1">
        <f t="array" ref="H414">_xlfn.XLOOKUP(C414,customers!A413:$A$1001,customers!G413:$G$1001,"Ireland",0)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6"/>
        <v>56.25</v>
      </c>
      <c r="N414" t="str" cm="1">
        <f t="array" ref="N414">_xlfn.IFS(I414="Rob","Robusta",I414="Exc","Excelsa",I414="Ara","Arabica",I414="Lib","Liberica")</f>
        <v>Arabica</v>
      </c>
      <c r="O414" t="str" cm="1">
        <f t="array" ref="O414">_xlfn.IFS(J414="M","Midium",J414="L","Light",J414="D","Dark")</f>
        <v>Midium</v>
      </c>
      <c r="P414" t="str">
        <f>_xlfn.XLOOKUP(Orders[[#This Row],[Customer ID]],customers!A:A,customers!I:I,,0)</f>
        <v>Yes</v>
      </c>
      <c r="Q414" t="str">
        <f>_xlfn.XLOOKUP(C415,customers!A:A,customers!B:B,"مش موجود")</f>
        <v>Waylan Springall</v>
      </c>
    </row>
    <row r="415" spans="1:17" x14ac:dyDescent="0.25">
      <c r="A415" s="2" t="s">
        <v>2818</v>
      </c>
      <c r="B415" s="3">
        <v>43857</v>
      </c>
      <c r="C415" s="2" t="s">
        <v>2819</v>
      </c>
      <c r="D415" t="s">
        <v>6164</v>
      </c>
      <c r="E415" s="2">
        <v>1</v>
      </c>
      <c r="F415" s="2" t="str">
        <f>_xlfn.XLOOKUP(Orders[[#This Row],[Customer ID]],customers!A:A,customers!B:B)</f>
        <v>Waylan Springall</v>
      </c>
      <c r="G415" s="2" t="str" cm="1">
        <f t="array" ref="G415">IF(_xlfn.XLOOKUP(C415,customers!A414:$A$1001,customers!C414:$C$1001,,0)=0,"",_xlfn.XLOOKUP(C415,customers!A414:$A$1001,customers!C414:$C$1001,,0))</f>
        <v>wspringallbh@jugem.jp</v>
      </c>
      <c r="H415" s="2" t="str" cm="1">
        <f t="array" ref="H415">_xlfn.XLOOKUP(C415,customers!A414:$A$1001,customers!G414:$G$1001,"Ireland",0)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6"/>
        <v>36.454999999999998</v>
      </c>
      <c r="N415" t="str" cm="1">
        <f t="array" ref="N415">_xlfn.IFS(I415="Rob","Robusta",I415="Exc","Excelsa",I415="Ara","Arabica",I415="Lib","Liberica")</f>
        <v>Liberica</v>
      </c>
      <c r="O415" t="str" cm="1">
        <f t="array" ref="O415">_xlfn.IFS(J415="M","Midium",J415="L","Light",J415="D","Dark")</f>
        <v>Light</v>
      </c>
      <c r="P415" t="str">
        <f>_xlfn.XLOOKUP(Orders[[#This Row],[Customer ID]],customers!A:A,customers!I:I,,0)</f>
        <v>Yes</v>
      </c>
      <c r="Q415" t="str">
        <f>_xlfn.XLOOKUP(C416,customers!A:A,customers!B:B,"مش موجود")</f>
        <v>Kiri Avramow</v>
      </c>
    </row>
    <row r="416" spans="1:17" x14ac:dyDescent="0.25">
      <c r="A416" s="2" t="s">
        <v>2824</v>
      </c>
      <c r="B416" s="3">
        <v>43802</v>
      </c>
      <c r="C416" s="2" t="s">
        <v>2825</v>
      </c>
      <c r="D416" t="s">
        <v>6178</v>
      </c>
      <c r="E416" s="2">
        <v>3</v>
      </c>
      <c r="F416" s="2" t="str">
        <f>_xlfn.XLOOKUP(Orders[[#This Row],[Customer ID]],customers!A:A,customers!B:B)</f>
        <v>Kiri Avramow</v>
      </c>
      <c r="G416" s="2" t="str" cm="1">
        <f t="array" ref="G416">IF(_xlfn.XLOOKUP(C416,customers!A415:$A$1001,customers!C415:$C$1001,,0)=0,"",_xlfn.XLOOKUP(C416,customers!A415:$A$1001,customers!C415:$C$1001,,0))</f>
        <v/>
      </c>
      <c r="H416" s="2" t="str" cm="1">
        <f t="array" ref="H416">_xlfn.XLOOKUP(C416,customers!A415:$A$1001,customers!G415:$G$1001,"Ireland",0)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6"/>
        <v>10.754999999999999</v>
      </c>
      <c r="N416" t="str" cm="1">
        <f t="array" ref="N416">_xlfn.IFS(I416="Rob","Robusta",I416="Exc","Excelsa",I416="Ara","Arabica",I416="Lib","Liberica")</f>
        <v>Robusta</v>
      </c>
      <c r="O416" t="str" cm="1">
        <f t="array" ref="O416">_xlfn.IFS(J416="M","Midium",J416="L","Light",J416="D","Dark")</f>
        <v>Light</v>
      </c>
      <c r="P416" t="str">
        <f>_xlfn.XLOOKUP(Orders[[#This Row],[Customer ID]],customers!A:A,customers!I:I,,0)</f>
        <v>Yes</v>
      </c>
      <c r="Q416" t="str">
        <f>_xlfn.XLOOKUP(C417,customers!A:A,customers!B:B,"مش موجود")</f>
        <v>Gregg Hawkyens</v>
      </c>
    </row>
    <row r="417" spans="1:17" x14ac:dyDescent="0.25">
      <c r="A417" s="2" t="s">
        <v>2829</v>
      </c>
      <c r="B417" s="3">
        <v>43683</v>
      </c>
      <c r="C417" s="2" t="s">
        <v>2830</v>
      </c>
      <c r="D417" t="s">
        <v>6174</v>
      </c>
      <c r="E417" s="2">
        <v>3</v>
      </c>
      <c r="F417" s="2" t="str">
        <f>_xlfn.XLOOKUP(Orders[[#This Row],[Customer ID]],customers!A:A,customers!B:B)</f>
        <v>Gregg Hawkyens</v>
      </c>
      <c r="G417" s="2" t="str" cm="1">
        <f t="array" ref="G417">IF(_xlfn.XLOOKUP(C417,customers!A416:$A$1001,customers!C416:$C$1001,,0)=0,"",_xlfn.XLOOKUP(C417,customers!A416:$A$1001,customers!C416:$C$1001,,0))</f>
        <v>ghawkyensbj@census.gov</v>
      </c>
      <c r="H417" s="2" t="str" cm="1">
        <f t="array" ref="H417">_xlfn.XLOOKUP(C417,customers!A416:$A$1001,customers!G416:$G$1001,"Ireland",0)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6"/>
        <v>8.9550000000000001</v>
      </c>
      <c r="N417" t="str" cm="1">
        <f t="array" ref="N417">_xlfn.IFS(I417="Rob","Robusta",I417="Exc","Excelsa",I417="Ara","Arabica",I417="Lib","Liberica")</f>
        <v>Robusta</v>
      </c>
      <c r="O417" t="str" cm="1">
        <f t="array" ref="O417">_xlfn.IFS(J417="M","Midium",J417="L","Light",J417="D","Dark")</f>
        <v>Midium</v>
      </c>
      <c r="P417" t="str">
        <f>_xlfn.XLOOKUP(Orders[[#This Row],[Customer ID]],customers!A:A,customers!I:I,,0)</f>
        <v>No</v>
      </c>
      <c r="Q417" t="str">
        <f>_xlfn.XLOOKUP(C418,customers!A:A,customers!B:B,"مش موجود")</f>
        <v>Reggis Pracy</v>
      </c>
    </row>
    <row r="418" spans="1:17" x14ac:dyDescent="0.25">
      <c r="A418" s="2" t="s">
        <v>2834</v>
      </c>
      <c r="B418" s="3">
        <v>43901</v>
      </c>
      <c r="C418" s="2" t="s">
        <v>2835</v>
      </c>
      <c r="D418" t="s">
        <v>6180</v>
      </c>
      <c r="E418" s="2">
        <v>3</v>
      </c>
      <c r="F418" s="2" t="str">
        <f>_xlfn.XLOOKUP(Orders[[#This Row],[Customer ID]],customers!A:A,customers!B:B)</f>
        <v>Reggis Pracy</v>
      </c>
      <c r="G418" s="2" t="str" cm="1">
        <f t="array" ref="G418">IF(_xlfn.XLOOKUP(C418,customers!A417:$A$1001,customers!C417:$C$1001,,0)=0,"",_xlfn.XLOOKUP(C418,customers!A417:$A$1001,customers!C417:$C$1001,,0))</f>
        <v/>
      </c>
      <c r="H418" s="2" t="str" cm="1">
        <f t="array" ref="H418">_xlfn.XLOOKUP(C418,customers!A417:$A$1001,customers!G417:$G$1001,"Ireland",0)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6"/>
        <v>23.31</v>
      </c>
      <c r="N418" t="str" cm="1">
        <f t="array" ref="N418">_xlfn.IFS(I418="Rob","Robusta",I418="Exc","Excelsa",I418="Ara","Arabica",I418="Lib","Liberica")</f>
        <v>Arabica</v>
      </c>
      <c r="O418" t="str" cm="1">
        <f t="array" ref="O418">_xlfn.IFS(J418="M","Midium",J418="L","Light",J418="D","Dark")</f>
        <v>Light</v>
      </c>
      <c r="P418" t="str">
        <f>_xlfn.XLOOKUP(Orders[[#This Row],[Customer ID]],customers!A:A,customers!I:I,,0)</f>
        <v>Yes</v>
      </c>
      <c r="Q418" t="str">
        <f>_xlfn.XLOOKUP(C419,customers!A:A,customers!B:B,"مش موجود")</f>
        <v>Paula Denis</v>
      </c>
    </row>
    <row r="419" spans="1:17" x14ac:dyDescent="0.25">
      <c r="A419" s="2" t="s">
        <v>2839</v>
      </c>
      <c r="B419" s="3">
        <v>44457</v>
      </c>
      <c r="C419" s="2" t="s">
        <v>2840</v>
      </c>
      <c r="D419" t="s">
        <v>6182</v>
      </c>
      <c r="E419" s="2">
        <v>1</v>
      </c>
      <c r="F419" s="2" t="str">
        <f>_xlfn.XLOOKUP(Orders[[#This Row],[Customer ID]],customers!A:A,customers!B:B)</f>
        <v>Paula Denis</v>
      </c>
      <c r="G419" s="2" t="str" cm="1">
        <f t="array" ref="G419">IF(_xlfn.XLOOKUP(C419,customers!A418:$A$1001,customers!C418:$C$1001,,0)=0,"",_xlfn.XLOOKUP(C419,customers!A418:$A$1001,customers!C418:$C$1001,,0))</f>
        <v/>
      </c>
      <c r="H419" s="2" t="str" cm="1">
        <f t="array" ref="H419">_xlfn.XLOOKUP(C419,customers!A418:$A$1001,customers!G418:$G$1001,"Ireland",0)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6"/>
        <v>29.784999999999997</v>
      </c>
      <c r="N419" t="str" cm="1">
        <f t="array" ref="N419">_xlfn.IFS(I419="Rob","Robusta",I419="Exc","Excelsa",I419="Ara","Arabica",I419="Lib","Liberica")</f>
        <v>Arabica</v>
      </c>
      <c r="O419" t="str" cm="1">
        <f t="array" ref="O419">_xlfn.IFS(J419="M","Midium",J419="L","Light",J419="D","Dark")</f>
        <v>Light</v>
      </c>
      <c r="P419" t="str">
        <f>_xlfn.XLOOKUP(Orders[[#This Row],[Customer ID]],customers!A:A,customers!I:I,,0)</f>
        <v>Yes</v>
      </c>
      <c r="Q419" t="str">
        <f>_xlfn.XLOOKUP(C420,customers!A:A,customers!B:B,"مش موجود")</f>
        <v>Broderick McGilvra</v>
      </c>
    </row>
    <row r="420" spans="1:17" x14ac:dyDescent="0.25">
      <c r="A420" s="2" t="s">
        <v>2844</v>
      </c>
      <c r="B420" s="3">
        <v>44142</v>
      </c>
      <c r="C420" s="2" t="s">
        <v>2845</v>
      </c>
      <c r="D420" t="s">
        <v>6182</v>
      </c>
      <c r="E420" s="2">
        <v>5</v>
      </c>
      <c r="F420" s="2" t="str">
        <f>_xlfn.XLOOKUP(Orders[[#This Row],[Customer ID]],customers!A:A,customers!B:B)</f>
        <v>Broderick McGilvra</v>
      </c>
      <c r="G420" s="2" t="str" cm="1">
        <f t="array" ref="G420">IF(_xlfn.XLOOKUP(C420,customers!A419:$A$1001,customers!C419:$C$1001,,0)=0,"",_xlfn.XLOOKUP(C420,customers!A419:$A$1001,customers!C419:$C$1001,,0))</f>
        <v>bmcgilvrabm@so-net.ne.jp</v>
      </c>
      <c r="H420" s="2" t="str" cm="1">
        <f t="array" ref="H420">_xlfn.XLOOKUP(C420,customers!A419:$A$1001,customers!G419:$G$1001,"Ireland",0)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6"/>
        <v>148.92499999999998</v>
      </c>
      <c r="N420" t="str" cm="1">
        <f t="array" ref="N420">_xlfn.IFS(I420="Rob","Robusta",I420="Exc","Excelsa",I420="Ara","Arabica",I420="Lib","Liberica")</f>
        <v>Arabica</v>
      </c>
      <c r="O420" t="str" cm="1">
        <f t="array" ref="O420">_xlfn.IFS(J420="M","Midium",J420="L","Light",J420="D","Dark")</f>
        <v>Light</v>
      </c>
      <c r="P420" t="str">
        <f>_xlfn.XLOOKUP(Orders[[#This Row],[Customer ID]],customers!A:A,customers!I:I,,0)</f>
        <v>Yes</v>
      </c>
      <c r="Q420" t="str">
        <f>_xlfn.XLOOKUP(C421,customers!A:A,customers!B:B,"مش موجود")</f>
        <v>Annabella Danzey</v>
      </c>
    </row>
    <row r="421" spans="1:17" x14ac:dyDescent="0.25">
      <c r="A421" s="2" t="s">
        <v>2849</v>
      </c>
      <c r="B421" s="3">
        <v>44739</v>
      </c>
      <c r="C421" s="2" t="s">
        <v>2850</v>
      </c>
      <c r="D421" t="s">
        <v>6160</v>
      </c>
      <c r="E421" s="2">
        <v>1</v>
      </c>
      <c r="F421" s="2" t="str">
        <f>_xlfn.XLOOKUP(Orders[[#This Row],[Customer ID]],customers!A:A,customers!B:B)</f>
        <v>Annabella Danzey</v>
      </c>
      <c r="G421" s="2" t="str" cm="1">
        <f t="array" ref="G421">IF(_xlfn.XLOOKUP(C421,customers!A420:$A$1001,customers!C420:$C$1001,,0)=0,"",_xlfn.XLOOKUP(C421,customers!A420:$A$1001,customers!C420:$C$1001,,0))</f>
        <v>adanzeybn@github.com</v>
      </c>
      <c r="H421" s="2" t="str" cm="1">
        <f t="array" ref="H421">_xlfn.XLOOKUP(C421,customers!A420:$A$1001,customers!G420:$G$1001,"Ireland",0)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6"/>
        <v>8.73</v>
      </c>
      <c r="N421" t="str" cm="1">
        <f t="array" ref="N421">_xlfn.IFS(I421="Rob","Robusta",I421="Exc","Excelsa",I421="Ara","Arabica",I421="Lib","Liberica")</f>
        <v>Liberica</v>
      </c>
      <c r="O421" t="str" cm="1">
        <f t="array" ref="O421">_xlfn.IFS(J421="M","Midium",J421="L","Light",J421="D","Dark")</f>
        <v>Midium</v>
      </c>
      <c r="P421" t="str">
        <f>_xlfn.XLOOKUP(Orders[[#This Row],[Customer ID]],customers!A:A,customers!I:I,,0)</f>
        <v>Yes</v>
      </c>
      <c r="Q421" t="str">
        <f>_xlfn.XLOOKUP(C422,customers!A:A,customers!B:B,"مش موجود")</f>
        <v>Terri Farra</v>
      </c>
    </row>
    <row r="422" spans="1:17" x14ac:dyDescent="0.25">
      <c r="A422" s="2" t="s">
        <v>2855</v>
      </c>
      <c r="B422" s="3">
        <v>43866</v>
      </c>
      <c r="C422" s="2" t="s">
        <v>2586</v>
      </c>
      <c r="D422" t="s">
        <v>6169</v>
      </c>
      <c r="E422" s="2">
        <v>4</v>
      </c>
      <c r="F422" s="2" t="str">
        <f>_xlfn.XLOOKUP(Orders[[#This Row],[Customer ID]],customers!A:A,customers!B:B)</f>
        <v>Terri Farra</v>
      </c>
      <c r="G422" s="2" t="e" cm="1">
        <f t="array" ref="G422">IF(_xlfn.XLOOKUP(C422,customers!A421:$A$1001,customers!C421:$C$1001,,0)=0,"",_xlfn.XLOOKUP(C422,customers!A421:$A$1001,customers!C421:$C$1001,,0))</f>
        <v>#N/A</v>
      </c>
      <c r="H422" s="2" t="str" cm="1">
        <f t="array" ref="H422">_xlfn.XLOOKUP(C422,customers!A421:$A$1001,customers!G421:$G$1001,"Ireland",0)</f>
        <v>Ireland</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6"/>
        <v>31.08</v>
      </c>
      <c r="N422" t="str" cm="1">
        <f t="array" ref="N422">_xlfn.IFS(I422="Rob","Robusta",I422="Exc","Excelsa",I422="Ara","Arabica",I422="Lib","Liberica")</f>
        <v>Liberica</v>
      </c>
      <c r="O422" t="str" cm="1">
        <f t="array" ref="O422">_xlfn.IFS(J422="M","Midium",J422="L","Light",J422="D","Dark")</f>
        <v>Dark</v>
      </c>
      <c r="P422" t="str">
        <f>_xlfn.XLOOKUP(Orders[[#This Row],[Customer ID]],customers!A:A,customers!I:I,,0)</f>
        <v>No</v>
      </c>
      <c r="Q422" t="str">
        <f>_xlfn.XLOOKUP(C423,customers!A:A,customers!B:B,"مش موجود")</f>
        <v>Terri Farra</v>
      </c>
    </row>
    <row r="423" spans="1:17" x14ac:dyDescent="0.25">
      <c r="A423" s="2" t="s">
        <v>2855</v>
      </c>
      <c r="B423" s="3">
        <v>43866</v>
      </c>
      <c r="C423" s="2" t="s">
        <v>2586</v>
      </c>
      <c r="D423" t="s">
        <v>6168</v>
      </c>
      <c r="E423" s="2">
        <v>6</v>
      </c>
      <c r="F423" s="2" t="str">
        <f>_xlfn.XLOOKUP(Orders[[#This Row],[Customer ID]],customers!A:A,customers!B:B)</f>
        <v>Terri Farra</v>
      </c>
      <c r="G423" s="2" t="e" cm="1">
        <f t="array" ref="G423">IF(_xlfn.XLOOKUP(C423,customers!A422:$A$1001,customers!C422:$C$1001,,0)=0,"",_xlfn.XLOOKUP(C423,customers!A422:$A$1001,customers!C422:$C$1001,,0))</f>
        <v>#N/A</v>
      </c>
      <c r="H423" s="2" t="str" cm="1">
        <f t="array" ref="H423">_xlfn.XLOOKUP(C423,customers!A422:$A$1001,customers!G422:$G$1001,"Ireland",0)</f>
        <v>Ireland</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6"/>
        <v>137.31</v>
      </c>
      <c r="N423" t="str" cm="1">
        <f t="array" ref="N423">_xlfn.IFS(I423="Rob","Robusta",I423="Exc","Excelsa",I423="Ara","Arabica",I423="Lib","Liberica")</f>
        <v>Arabica</v>
      </c>
      <c r="O423" t="str" cm="1">
        <f t="array" ref="O423">_xlfn.IFS(J423="M","Midium",J423="L","Light",J423="D","Dark")</f>
        <v>Dark</v>
      </c>
      <c r="P423" t="str">
        <f>_xlfn.XLOOKUP(Orders[[#This Row],[Customer ID]],customers!A:A,customers!I:I,,0)</f>
        <v>No</v>
      </c>
      <c r="Q423" t="str">
        <f>_xlfn.XLOOKUP(C424,customers!A:A,customers!B:B,"مش موجود")</f>
        <v>Nevins Glowacz</v>
      </c>
    </row>
    <row r="424" spans="1:17" x14ac:dyDescent="0.25">
      <c r="A424" s="2" t="s">
        <v>2866</v>
      </c>
      <c r="B424" s="3">
        <v>43868</v>
      </c>
      <c r="C424" s="2" t="s">
        <v>2867</v>
      </c>
      <c r="D424" t="s">
        <v>6158</v>
      </c>
      <c r="E424" s="2">
        <v>5</v>
      </c>
      <c r="F424" s="2" t="str">
        <f>_xlfn.XLOOKUP(Orders[[#This Row],[Customer ID]],customers!A:A,customers!B:B)</f>
        <v>Nevins Glowacz</v>
      </c>
      <c r="G424" s="2" t="str" cm="1">
        <f t="array" ref="G424">IF(_xlfn.XLOOKUP(C424,customers!A423:$A$1001,customers!C423:$C$1001,,0)=0,"",_xlfn.XLOOKUP(C424,customers!A423:$A$1001,customers!C423:$C$1001,,0))</f>
        <v/>
      </c>
      <c r="H424" s="2" t="str" cm="1">
        <f t="array" ref="H424">_xlfn.XLOOKUP(C424,customers!A423:$A$1001,customers!G423:$G$1001,"Ireland",0)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6"/>
        <v>29.849999999999998</v>
      </c>
      <c r="N424" t="str" cm="1">
        <f t="array" ref="N424">_xlfn.IFS(I424="Rob","Robusta",I424="Exc","Excelsa",I424="Ara","Arabica",I424="Lib","Liberica")</f>
        <v>Arabica</v>
      </c>
      <c r="O424" t="str" cm="1">
        <f t="array" ref="O424">_xlfn.IFS(J424="M","Midium",J424="L","Light",J424="D","Dark")</f>
        <v>Dark</v>
      </c>
      <c r="P424" t="str">
        <f>_xlfn.XLOOKUP(Orders[[#This Row],[Customer ID]],customers!A:A,customers!I:I,,0)</f>
        <v>No</v>
      </c>
      <c r="Q424" t="str">
        <f>_xlfn.XLOOKUP(C425,customers!A:A,customers!B:B,"مش موجود")</f>
        <v>Adelice Isabell</v>
      </c>
    </row>
    <row r="425" spans="1:17" x14ac:dyDescent="0.25">
      <c r="A425" s="2" t="s">
        <v>2871</v>
      </c>
      <c r="B425" s="3">
        <v>44183</v>
      </c>
      <c r="C425" s="2" t="s">
        <v>2872</v>
      </c>
      <c r="D425" t="s">
        <v>6146</v>
      </c>
      <c r="E425" s="2">
        <v>3</v>
      </c>
      <c r="F425" s="2" t="str">
        <f>_xlfn.XLOOKUP(Orders[[#This Row],[Customer ID]],customers!A:A,customers!B:B)</f>
        <v>Adelice Isabell</v>
      </c>
      <c r="G425" s="2" t="str" cm="1">
        <f t="array" ref="G425">IF(_xlfn.XLOOKUP(C425,customers!A424:$A$1001,customers!C424:$C$1001,,0)=0,"",_xlfn.XLOOKUP(C425,customers!A424:$A$1001,customers!C424:$C$1001,,0))</f>
        <v/>
      </c>
      <c r="H425" s="2" t="str" cm="1">
        <f t="array" ref="H425">_xlfn.XLOOKUP(C425,customers!A424:$A$1001,customers!G424:$G$1001,"Ireland",0)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6"/>
        <v>17.91</v>
      </c>
      <c r="N425" t="str" cm="1">
        <f t="array" ref="N425">_xlfn.IFS(I425="Rob","Robusta",I425="Exc","Excelsa",I425="Ara","Arabica",I425="Lib","Liberica")</f>
        <v>Robusta</v>
      </c>
      <c r="O425" t="str" cm="1">
        <f t="array" ref="O425">_xlfn.IFS(J425="M","Midium",J425="L","Light",J425="D","Dark")</f>
        <v>Midium</v>
      </c>
      <c r="P425" t="str">
        <f>_xlfn.XLOOKUP(Orders[[#This Row],[Customer ID]],customers!A:A,customers!I:I,,0)</f>
        <v>No</v>
      </c>
      <c r="Q425" t="str">
        <f>_xlfn.XLOOKUP(C426,customers!A:A,customers!B:B,"مش موجود")</f>
        <v>Yulma Dombrell</v>
      </c>
    </row>
    <row r="426" spans="1:17" x14ac:dyDescent="0.25">
      <c r="A426" s="2" t="s">
        <v>2876</v>
      </c>
      <c r="B426" s="3">
        <v>44431</v>
      </c>
      <c r="C426" s="2" t="s">
        <v>2877</v>
      </c>
      <c r="D426" t="s">
        <v>6176</v>
      </c>
      <c r="E426" s="2">
        <v>3</v>
      </c>
      <c r="F426" s="2" t="str">
        <f>_xlfn.XLOOKUP(Orders[[#This Row],[Customer ID]],customers!A:A,customers!B:B)</f>
        <v>Yulma Dombrell</v>
      </c>
      <c r="G426" s="2" t="str" cm="1">
        <f t="array" ref="G426">IF(_xlfn.XLOOKUP(C426,customers!A425:$A$1001,customers!C425:$C$1001,,0)=0,"",_xlfn.XLOOKUP(C426,customers!A425:$A$1001,customers!C425:$C$1001,,0))</f>
        <v>ydombrellbs@dedecms.com</v>
      </c>
      <c r="H426" s="2" t="str" cm="1">
        <f t="array" ref="H426">_xlfn.XLOOKUP(C426,customers!A425:$A$1001,customers!G425:$G$1001,"Ireland",0)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6"/>
        <v>26.73</v>
      </c>
      <c r="N426" t="str" cm="1">
        <f t="array" ref="N426">_xlfn.IFS(I426="Rob","Robusta",I426="Exc","Excelsa",I426="Ara","Arabica",I426="Lib","Liberica")</f>
        <v>Excelsa</v>
      </c>
      <c r="O426" t="str" cm="1">
        <f t="array" ref="O426">_xlfn.IFS(J426="M","Midium",J426="L","Light",J426="D","Dark")</f>
        <v>Light</v>
      </c>
      <c r="P426" t="str">
        <f>_xlfn.XLOOKUP(Orders[[#This Row],[Customer ID]],customers!A:A,customers!I:I,,0)</f>
        <v>Yes</v>
      </c>
      <c r="Q426" t="str">
        <f>_xlfn.XLOOKUP(C427,customers!A:A,customers!B:B,"مش موجود")</f>
        <v>Alric Darth</v>
      </c>
    </row>
    <row r="427" spans="1:17" x14ac:dyDescent="0.25">
      <c r="A427" s="2" t="s">
        <v>2882</v>
      </c>
      <c r="B427" s="3">
        <v>44428</v>
      </c>
      <c r="C427" s="2" t="s">
        <v>2883</v>
      </c>
      <c r="D427" t="s">
        <v>6177</v>
      </c>
      <c r="E427" s="2">
        <v>2</v>
      </c>
      <c r="F427" s="2" t="str">
        <f>_xlfn.XLOOKUP(Orders[[#This Row],[Customer ID]],customers!A:A,customers!B:B)</f>
        <v>Alric Darth</v>
      </c>
      <c r="G427" s="2" t="str" cm="1">
        <f t="array" ref="G427">IF(_xlfn.XLOOKUP(C427,customers!A426:$A$1001,customers!C426:$C$1001,,0)=0,"",_xlfn.XLOOKUP(C427,customers!A426:$A$1001,customers!C426:$C$1001,,0))</f>
        <v>adarthbt@t.co</v>
      </c>
      <c r="H427" s="2" t="str" cm="1">
        <f t="array" ref="H427">_xlfn.XLOOKUP(C427,customers!A426:$A$1001,customers!G426:$G$1001,"Ireland",0)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6"/>
        <v>17.899999999999999</v>
      </c>
      <c r="N427" t="str" cm="1">
        <f t="array" ref="N427">_xlfn.IFS(I427="Rob","Robusta",I427="Exc","Excelsa",I427="Ara","Arabica",I427="Lib","Liberica")</f>
        <v>Robusta</v>
      </c>
      <c r="O427" t="str" cm="1">
        <f t="array" ref="O427">_xlfn.IFS(J427="M","Midium",J427="L","Light",J427="D","Dark")</f>
        <v>Dark</v>
      </c>
      <c r="P427" t="str">
        <f>_xlfn.XLOOKUP(Orders[[#This Row],[Customer ID]],customers!A:A,customers!I:I,,0)</f>
        <v>No</v>
      </c>
      <c r="Q427" t="str">
        <f>_xlfn.XLOOKUP(C428,customers!A:A,customers!B:B,"مش موجود")</f>
        <v>Manuel Darrigoe</v>
      </c>
    </row>
    <row r="428" spans="1:17" x14ac:dyDescent="0.25">
      <c r="A428" s="2" t="s">
        <v>2888</v>
      </c>
      <c r="B428" s="3">
        <v>43556</v>
      </c>
      <c r="C428" s="2" t="s">
        <v>2889</v>
      </c>
      <c r="D428" t="s">
        <v>6178</v>
      </c>
      <c r="E428" s="2">
        <v>4</v>
      </c>
      <c r="F428" s="2" t="str">
        <f>_xlfn.XLOOKUP(Orders[[#This Row],[Customer ID]],customers!A:A,customers!B:B)</f>
        <v>Manuel Darrigoe</v>
      </c>
      <c r="G428" s="2" t="str" cm="1">
        <f t="array" ref="G428">IF(_xlfn.XLOOKUP(C428,customers!A427:$A$1001,customers!C427:$C$1001,,0)=0,"",_xlfn.XLOOKUP(C428,customers!A427:$A$1001,customers!C427:$C$1001,,0))</f>
        <v>mdarrigoebu@hud.gov</v>
      </c>
      <c r="H428" s="2" t="str" cm="1">
        <f t="array" ref="H428">_xlfn.XLOOKUP(C428,customers!A427:$A$1001,customers!G427:$G$1001,"Ireland",0)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6"/>
        <v>14.339999999999998</v>
      </c>
      <c r="N428" t="str" cm="1">
        <f t="array" ref="N428">_xlfn.IFS(I428="Rob","Robusta",I428="Exc","Excelsa",I428="Ara","Arabica",I428="Lib","Liberica")</f>
        <v>Robusta</v>
      </c>
      <c r="O428" t="str" cm="1">
        <f t="array" ref="O428">_xlfn.IFS(J428="M","Midium",J428="L","Light",J428="D","Dark")</f>
        <v>Light</v>
      </c>
      <c r="P428" t="str">
        <f>_xlfn.XLOOKUP(Orders[[#This Row],[Customer ID]],customers!A:A,customers!I:I,,0)</f>
        <v>Yes</v>
      </c>
      <c r="Q428" t="str">
        <f>_xlfn.XLOOKUP(C429,customers!A:A,customers!B:B,"مش موجود")</f>
        <v>Kynthia Berick</v>
      </c>
    </row>
    <row r="429" spans="1:17" x14ac:dyDescent="0.25">
      <c r="A429" s="2" t="s">
        <v>2894</v>
      </c>
      <c r="B429" s="3">
        <v>44224</v>
      </c>
      <c r="C429" s="2" t="s">
        <v>2895</v>
      </c>
      <c r="D429" t="s">
        <v>6175</v>
      </c>
      <c r="E429" s="2">
        <v>3</v>
      </c>
      <c r="F429" s="2" t="str">
        <f>_xlfn.XLOOKUP(Orders[[#This Row],[Customer ID]],customers!A:A,customers!B:B)</f>
        <v>Kynthia Berick</v>
      </c>
      <c r="G429" s="2" t="str" cm="1">
        <f t="array" ref="G429">IF(_xlfn.XLOOKUP(C429,customers!A428:$A$1001,customers!C428:$C$1001,,0)=0,"",_xlfn.XLOOKUP(C429,customers!A428:$A$1001,customers!C428:$C$1001,,0))</f>
        <v/>
      </c>
      <c r="H429" s="2" t="str" cm="1">
        <f t="array" ref="H429">_xlfn.XLOOKUP(C429,customers!A428:$A$1001,customers!G428:$G$1001,"Ireland",0)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6"/>
        <v>77.624999999999986</v>
      </c>
      <c r="N429" t="str" cm="1">
        <f t="array" ref="N429">_xlfn.IFS(I429="Rob","Robusta",I429="Exc","Excelsa",I429="Ara","Arabica",I429="Lib","Liberica")</f>
        <v>Arabica</v>
      </c>
      <c r="O429" t="str" cm="1">
        <f t="array" ref="O429">_xlfn.IFS(J429="M","Midium",J429="L","Light",J429="D","Dark")</f>
        <v>Midium</v>
      </c>
      <c r="P429" t="str">
        <f>_xlfn.XLOOKUP(Orders[[#This Row],[Customer ID]],customers!A:A,customers!I:I,,0)</f>
        <v>Yes</v>
      </c>
      <c r="Q429" t="str">
        <f>_xlfn.XLOOKUP(C430,customers!A:A,customers!B:B,"مش موجود")</f>
        <v>Minetta Ackrill</v>
      </c>
    </row>
    <row r="430" spans="1:17" x14ac:dyDescent="0.25">
      <c r="A430" s="2" t="s">
        <v>2899</v>
      </c>
      <c r="B430" s="3">
        <v>43759</v>
      </c>
      <c r="C430" s="2" t="s">
        <v>2900</v>
      </c>
      <c r="D430" t="s">
        <v>6179</v>
      </c>
      <c r="E430" s="2">
        <v>5</v>
      </c>
      <c r="F430" s="2" t="str">
        <f>_xlfn.XLOOKUP(Orders[[#This Row],[Customer ID]],customers!A:A,customers!B:B)</f>
        <v>Minetta Ackrill</v>
      </c>
      <c r="G430" s="2" t="str" cm="1">
        <f t="array" ref="G430">IF(_xlfn.XLOOKUP(C430,customers!A429:$A$1001,customers!C429:$C$1001,,0)=0,"",_xlfn.XLOOKUP(C430,customers!A429:$A$1001,customers!C429:$C$1001,,0))</f>
        <v>mackrillbw@bandcamp.com</v>
      </c>
      <c r="H430" s="2" t="str" cm="1">
        <f t="array" ref="H430">_xlfn.XLOOKUP(C430,customers!A429:$A$1001,customers!G429:$G$1001,"Ireland",0)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6"/>
        <v>59.75</v>
      </c>
      <c r="N430" t="str" cm="1">
        <f t="array" ref="N430">_xlfn.IFS(I430="Rob","Robusta",I430="Exc","Excelsa",I430="Ara","Arabica",I430="Lib","Liberica")</f>
        <v>Robusta</v>
      </c>
      <c r="O430" t="str" cm="1">
        <f t="array" ref="O430">_xlfn.IFS(J430="M","Midium",J430="L","Light",J430="D","Dark")</f>
        <v>Light</v>
      </c>
      <c r="P430" t="str">
        <f>_xlfn.XLOOKUP(Orders[[#This Row],[Customer ID]],customers!A:A,customers!I:I,,0)</f>
        <v>No</v>
      </c>
      <c r="Q430" t="str">
        <f>_xlfn.XLOOKUP(C431,customers!A:A,customers!B:B,"مش موجود")</f>
        <v>Terri Farra</v>
      </c>
    </row>
    <row r="431" spans="1:17" x14ac:dyDescent="0.25">
      <c r="A431" s="2" t="s">
        <v>2905</v>
      </c>
      <c r="B431" s="3">
        <v>44367</v>
      </c>
      <c r="C431" s="2" t="s">
        <v>2586</v>
      </c>
      <c r="D431" t="s">
        <v>6140</v>
      </c>
      <c r="E431" s="2">
        <v>6</v>
      </c>
      <c r="F431" s="2" t="str">
        <f>_xlfn.XLOOKUP(Orders[[#This Row],[Customer ID]],customers!A:A,customers!B:B)</f>
        <v>Terri Farra</v>
      </c>
      <c r="G431" s="2" t="e" cm="1">
        <f t="array" ref="G431">IF(_xlfn.XLOOKUP(C431,customers!A430:$A$1001,customers!C430:$C$1001,,0)=0,"",_xlfn.XLOOKUP(C431,customers!A430:$A$1001,customers!C430:$C$1001,,0))</f>
        <v>#N/A</v>
      </c>
      <c r="H431" s="2" t="str" cm="1">
        <f t="array" ref="H431">_xlfn.XLOOKUP(C431,customers!A430:$A$1001,customers!G430:$G$1001,"Ireland",0)</f>
        <v>Ireland</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6"/>
        <v>77.699999999999989</v>
      </c>
      <c r="N431" t="str" cm="1">
        <f t="array" ref="N431">_xlfn.IFS(I431="Rob","Robusta",I431="Exc","Excelsa",I431="Ara","Arabica",I431="Lib","Liberica")</f>
        <v>Arabica</v>
      </c>
      <c r="O431" t="str" cm="1">
        <f t="array" ref="O431">_xlfn.IFS(J431="M","Midium",J431="L","Light",J431="D","Dark")</f>
        <v>Light</v>
      </c>
      <c r="P431" t="str">
        <f>_xlfn.XLOOKUP(Orders[[#This Row],[Customer ID]],customers!A:A,customers!I:I,,0)</f>
        <v>No</v>
      </c>
      <c r="Q431" t="str">
        <f>_xlfn.XLOOKUP(C432,customers!A:A,customers!B:B,"مش موجود")</f>
        <v>Melosa Kippen</v>
      </c>
    </row>
    <row r="432" spans="1:17" x14ac:dyDescent="0.25">
      <c r="A432" s="2" t="s">
        <v>2911</v>
      </c>
      <c r="B432" s="3">
        <v>44504</v>
      </c>
      <c r="C432" s="2" t="s">
        <v>2912</v>
      </c>
      <c r="D432" t="s">
        <v>6163</v>
      </c>
      <c r="E432" s="2">
        <v>2</v>
      </c>
      <c r="F432" s="2" t="str">
        <f>_xlfn.XLOOKUP(Orders[[#This Row],[Customer ID]],customers!A:A,customers!B:B)</f>
        <v>Melosa Kippen</v>
      </c>
      <c r="G432" s="2" t="str" cm="1">
        <f t="array" ref="G432">IF(_xlfn.XLOOKUP(C432,customers!A431:$A$1001,customers!C431:$C$1001,,0)=0,"",_xlfn.XLOOKUP(C432,customers!A431:$A$1001,customers!C431:$C$1001,,0))</f>
        <v>mkippenby@dion.ne.jp</v>
      </c>
      <c r="H432" s="2" t="str" cm="1">
        <f t="array" ref="H432">_xlfn.XLOOKUP(C432,customers!A431:$A$1001,customers!G431:$G$1001,"Ireland",0)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6"/>
        <v>5.3699999999999992</v>
      </c>
      <c r="N432" t="str" cm="1">
        <f t="array" ref="N432">_xlfn.IFS(I432="Rob","Robusta",I432="Exc","Excelsa",I432="Ara","Arabica",I432="Lib","Liberica")</f>
        <v>Robusta</v>
      </c>
      <c r="O432" t="str" cm="1">
        <f t="array" ref="O432">_xlfn.IFS(J432="M","Midium",J432="L","Light",J432="D","Dark")</f>
        <v>Dark</v>
      </c>
      <c r="P432" t="str">
        <f>_xlfn.XLOOKUP(Orders[[#This Row],[Customer ID]],customers!A:A,customers!I:I,,0)</f>
        <v>Yes</v>
      </c>
      <c r="Q432" t="str">
        <f>_xlfn.XLOOKUP(C433,customers!A:A,customers!B:B,"مش موجود")</f>
        <v>Witty Ranson</v>
      </c>
    </row>
    <row r="433" spans="1:17" x14ac:dyDescent="0.25">
      <c r="A433" s="2" t="s">
        <v>2917</v>
      </c>
      <c r="B433" s="3">
        <v>44291</v>
      </c>
      <c r="C433" s="2" t="s">
        <v>2918</v>
      </c>
      <c r="D433" t="s">
        <v>6185</v>
      </c>
      <c r="E433" s="2">
        <v>3</v>
      </c>
      <c r="F433" s="2" t="str">
        <f>_xlfn.XLOOKUP(Orders[[#This Row],[Customer ID]],customers!A:A,customers!B:B)</f>
        <v>Witty Ranson</v>
      </c>
      <c r="G433" s="2" t="str" cm="1">
        <f t="array" ref="G433">IF(_xlfn.XLOOKUP(C433,customers!A432:$A$1001,customers!C432:$C$1001,,0)=0,"",_xlfn.XLOOKUP(C433,customers!A432:$A$1001,customers!C432:$C$1001,,0))</f>
        <v>wransonbz@ted.com</v>
      </c>
      <c r="H433" s="2" t="str" cm="1">
        <f t="array" ref="H433">_xlfn.XLOOKUP(C433,customers!A432:$A$1001,customers!G432:$G$1001,"Ireland",0)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6"/>
        <v>83.835000000000008</v>
      </c>
      <c r="N433" t="str" cm="1">
        <f t="array" ref="N433">_xlfn.IFS(I433="Rob","Robusta",I433="Exc","Excelsa",I433="Ara","Arabica",I433="Lib","Liberica")</f>
        <v>Excelsa</v>
      </c>
      <c r="O433" t="str" cm="1">
        <f t="array" ref="O433">_xlfn.IFS(J433="M","Midium",J433="L","Light",J433="D","Dark")</f>
        <v>Dark</v>
      </c>
      <c r="P433" t="str">
        <f>_xlfn.XLOOKUP(Orders[[#This Row],[Customer ID]],customers!A:A,customers!I:I,,0)</f>
        <v>Yes</v>
      </c>
      <c r="Q433" t="str">
        <f>_xlfn.XLOOKUP(C434,customers!A:A,customers!B:B,"مش موجود")</f>
        <v>Rod Gowdie</v>
      </c>
    </row>
    <row r="434" spans="1:17" x14ac:dyDescent="0.25">
      <c r="A434" s="2" t="s">
        <v>2923</v>
      </c>
      <c r="B434" s="3">
        <v>43808</v>
      </c>
      <c r="C434" s="2" t="s">
        <v>2924</v>
      </c>
      <c r="D434" t="s">
        <v>6155</v>
      </c>
      <c r="E434" s="2">
        <v>2</v>
      </c>
      <c r="F434" s="2" t="str">
        <f>_xlfn.XLOOKUP(Orders[[#This Row],[Customer ID]],customers!A:A,customers!B:B)</f>
        <v>Rod Gowdie</v>
      </c>
      <c r="G434" s="2" t="str" cm="1">
        <f t="array" ref="G434">IF(_xlfn.XLOOKUP(C434,customers!A433:$A$1001,customers!C433:$C$1001,,0)=0,"",_xlfn.XLOOKUP(C434,customers!A433:$A$1001,customers!C433:$C$1001,,0))</f>
        <v/>
      </c>
      <c r="H434" s="2" t="str" cm="1">
        <f t="array" ref="H434">_xlfn.XLOOKUP(C434,customers!A433:$A$1001,customers!G433:$G$1001,"Ireland",0)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6"/>
        <v>22.5</v>
      </c>
      <c r="N434" t="str" cm="1">
        <f t="array" ref="N434">_xlfn.IFS(I434="Rob","Robusta",I434="Exc","Excelsa",I434="Ara","Arabica",I434="Lib","Liberica")</f>
        <v>Arabica</v>
      </c>
      <c r="O434" t="str" cm="1">
        <f t="array" ref="O434">_xlfn.IFS(J434="M","Midium",J434="L","Light",J434="D","Dark")</f>
        <v>Midium</v>
      </c>
      <c r="P434" t="str">
        <f>_xlfn.XLOOKUP(Orders[[#This Row],[Customer ID]],customers!A:A,customers!I:I,,0)</f>
        <v>No</v>
      </c>
      <c r="Q434" t="str">
        <f>_xlfn.XLOOKUP(C435,customers!A:A,customers!B:B,"مش موجود")</f>
        <v>Lemuel Rignold</v>
      </c>
    </row>
    <row r="435" spans="1:17" x14ac:dyDescent="0.25">
      <c r="A435" s="2" t="s">
        <v>2928</v>
      </c>
      <c r="B435" s="3">
        <v>44563</v>
      </c>
      <c r="C435" s="2" t="s">
        <v>2929</v>
      </c>
      <c r="D435" t="s">
        <v>6181</v>
      </c>
      <c r="E435" s="2">
        <v>6</v>
      </c>
      <c r="F435" s="2" t="str">
        <f>_xlfn.XLOOKUP(Orders[[#This Row],[Customer ID]],customers!A:A,customers!B:B)</f>
        <v>Lemuel Rignold</v>
      </c>
      <c r="G435" s="2" t="str" cm="1">
        <f t="array" ref="G435">IF(_xlfn.XLOOKUP(C435,customers!A434:$A$1001,customers!C434:$C$1001,,0)=0,"",_xlfn.XLOOKUP(C435,customers!A434:$A$1001,customers!C434:$C$1001,,0))</f>
        <v>lrignoldc1@miibeian.gov.cn</v>
      </c>
      <c r="H435" s="2" t="str" cm="1">
        <f t="array" ref="H435">_xlfn.XLOOKUP(C435,customers!A434:$A$1001,customers!G434:$G$1001,"Ireland",0)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6"/>
        <v>200.78999999999996</v>
      </c>
      <c r="N435" t="str" cm="1">
        <f t="array" ref="N435">_xlfn.IFS(I435="Rob","Robusta",I435="Exc","Excelsa",I435="Ara","Arabica",I435="Lib","Liberica")</f>
        <v>Liberica</v>
      </c>
      <c r="O435" t="str" cm="1">
        <f t="array" ref="O435">_xlfn.IFS(J435="M","Midium",J435="L","Light",J435="D","Dark")</f>
        <v>Midium</v>
      </c>
      <c r="P435" t="str">
        <f>_xlfn.XLOOKUP(Orders[[#This Row],[Customer ID]],customers!A:A,customers!I:I,,0)</f>
        <v>Yes</v>
      </c>
      <c r="Q435" t="str">
        <f>_xlfn.XLOOKUP(C436,customers!A:A,customers!B:B,"مش موجود")</f>
        <v>Nevsa Fields</v>
      </c>
    </row>
    <row r="436" spans="1:17" x14ac:dyDescent="0.25">
      <c r="A436" s="2" t="s">
        <v>2934</v>
      </c>
      <c r="B436" s="3">
        <v>43807</v>
      </c>
      <c r="C436" s="2" t="s">
        <v>2935</v>
      </c>
      <c r="D436" t="s">
        <v>6155</v>
      </c>
      <c r="E436" s="2">
        <v>6</v>
      </c>
      <c r="F436" s="2" t="str">
        <f>_xlfn.XLOOKUP(Orders[[#This Row],[Customer ID]],customers!A:A,customers!B:B)</f>
        <v>Nevsa Fields</v>
      </c>
      <c r="G436" s="2" t="str" cm="1">
        <f t="array" ref="G436">IF(_xlfn.XLOOKUP(C436,customers!A435:$A$1001,customers!C435:$C$1001,,0)=0,"",_xlfn.XLOOKUP(C436,customers!A435:$A$1001,customers!C435:$C$1001,,0))</f>
        <v/>
      </c>
      <c r="H436" s="2" t="str" cm="1">
        <f t="array" ref="H436">_xlfn.XLOOKUP(C436,customers!A435:$A$1001,customers!G435:$G$1001,"Ireland",0)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6"/>
        <v>67.5</v>
      </c>
      <c r="N436" t="str" cm="1">
        <f t="array" ref="N436">_xlfn.IFS(I436="Rob","Robusta",I436="Exc","Excelsa",I436="Ara","Arabica",I436="Lib","Liberica")</f>
        <v>Arabica</v>
      </c>
      <c r="O436" t="str" cm="1">
        <f t="array" ref="O436">_xlfn.IFS(J436="M","Midium",J436="L","Light",J436="D","Dark")</f>
        <v>Midium</v>
      </c>
      <c r="P436" t="str">
        <f>_xlfn.XLOOKUP(Orders[[#This Row],[Customer ID]],customers!A:A,customers!I:I,,0)</f>
        <v>No</v>
      </c>
      <c r="Q436" t="str">
        <f>_xlfn.XLOOKUP(C437,customers!A:A,customers!B:B,"مش موجود")</f>
        <v>Chance Rowthorn</v>
      </c>
    </row>
    <row r="437" spans="1:17" x14ac:dyDescent="0.25">
      <c r="A437" s="2" t="s">
        <v>2939</v>
      </c>
      <c r="B437" s="3">
        <v>44528</v>
      </c>
      <c r="C437" s="2" t="s">
        <v>2940</v>
      </c>
      <c r="D437" t="s">
        <v>6139</v>
      </c>
      <c r="E437" s="2">
        <v>1</v>
      </c>
      <c r="F437" s="2" t="str">
        <f>_xlfn.XLOOKUP(Orders[[#This Row],[Customer ID]],customers!A:A,customers!B:B)</f>
        <v>Chance Rowthorn</v>
      </c>
      <c r="G437" s="2" t="str" cm="1">
        <f t="array" ref="G437">IF(_xlfn.XLOOKUP(C437,customers!A436:$A$1001,customers!C436:$C$1001,,0)=0,"",_xlfn.XLOOKUP(C437,customers!A436:$A$1001,customers!C436:$C$1001,,0))</f>
        <v>crowthornc3@msn.com</v>
      </c>
      <c r="H437" s="2" t="str" cm="1">
        <f t="array" ref="H437">_xlfn.XLOOKUP(C437,customers!A436:$A$1001,customers!G436:$G$1001,"Ireland",0)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6"/>
        <v>8.25</v>
      </c>
      <c r="N437" t="str" cm="1">
        <f t="array" ref="N437">_xlfn.IFS(I437="Rob","Robusta",I437="Exc","Excelsa",I437="Ara","Arabica",I437="Lib","Liberica")</f>
        <v>Excelsa</v>
      </c>
      <c r="O437" t="str" cm="1">
        <f t="array" ref="O437">_xlfn.IFS(J437="M","Midium",J437="L","Light",J437="D","Dark")</f>
        <v>Midium</v>
      </c>
      <c r="P437" t="str">
        <f>_xlfn.XLOOKUP(Orders[[#This Row],[Customer ID]],customers!A:A,customers!I:I,,0)</f>
        <v>No</v>
      </c>
      <c r="Q437" t="str">
        <f>_xlfn.XLOOKUP(C438,customers!A:A,customers!B:B,"مش موجود")</f>
        <v>Orly Ryland</v>
      </c>
    </row>
    <row r="438" spans="1:17" x14ac:dyDescent="0.25">
      <c r="A438" s="2" t="s">
        <v>2945</v>
      </c>
      <c r="B438" s="3">
        <v>44631</v>
      </c>
      <c r="C438" s="2" t="s">
        <v>2946</v>
      </c>
      <c r="D438" t="s">
        <v>6145</v>
      </c>
      <c r="E438" s="2">
        <v>2</v>
      </c>
      <c r="F438" s="2" t="str">
        <f>_xlfn.XLOOKUP(Orders[[#This Row],[Customer ID]],customers!A:A,customers!B:B)</f>
        <v>Orly Ryland</v>
      </c>
      <c r="G438" s="2" t="str" cm="1">
        <f t="array" ref="G438">IF(_xlfn.XLOOKUP(C438,customers!A437:$A$1001,customers!C437:$C$1001,,0)=0,"",_xlfn.XLOOKUP(C438,customers!A437:$A$1001,customers!C437:$C$1001,,0))</f>
        <v>orylandc4@deviantart.com</v>
      </c>
      <c r="H438" s="2" t="str" cm="1">
        <f t="array" ref="H438">_xlfn.XLOOKUP(C438,customers!A437:$A$1001,customers!G437:$G$1001,"Ireland",0)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6"/>
        <v>9.51</v>
      </c>
      <c r="N438" t="str" cm="1">
        <f t="array" ref="N438">_xlfn.IFS(I438="Rob","Robusta",I438="Exc","Excelsa",I438="Ara","Arabica",I438="Lib","Liberica")</f>
        <v>Liberica</v>
      </c>
      <c r="O438" t="str" cm="1">
        <f t="array" ref="O438">_xlfn.IFS(J438="M","Midium",J438="L","Light",J438="D","Dark")</f>
        <v>Light</v>
      </c>
      <c r="P438" t="str">
        <f>_xlfn.XLOOKUP(Orders[[#This Row],[Customer ID]],customers!A:A,customers!I:I,,0)</f>
        <v>Yes</v>
      </c>
      <c r="Q438" t="str">
        <f>_xlfn.XLOOKUP(C439,customers!A:A,customers!B:B,"مش موجود")</f>
        <v>Willabella Abramski</v>
      </c>
    </row>
    <row r="439" spans="1:17" x14ac:dyDescent="0.25">
      <c r="A439" s="2" t="s">
        <v>2951</v>
      </c>
      <c r="B439" s="3">
        <v>44213</v>
      </c>
      <c r="C439" s="2" t="s">
        <v>2952</v>
      </c>
      <c r="D439" t="s">
        <v>6165</v>
      </c>
      <c r="E439" s="2">
        <v>1</v>
      </c>
      <c r="F439" s="2" t="str">
        <f>_xlfn.XLOOKUP(Orders[[#This Row],[Customer ID]],customers!A:A,customers!B:B)</f>
        <v>Willabella Abramski</v>
      </c>
      <c r="G439" s="2" t="str" cm="1">
        <f t="array" ref="G439">IF(_xlfn.XLOOKUP(C439,customers!A438:$A$1001,customers!C438:$C$1001,,0)=0,"",_xlfn.XLOOKUP(C439,customers!A438:$A$1001,customers!C438:$C$1001,,0))</f>
        <v/>
      </c>
      <c r="H439" s="2" t="str" cm="1">
        <f t="array" ref="H439">_xlfn.XLOOKUP(C439,customers!A438:$A$1001,customers!G438:$G$1001,"Ireland",0)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6"/>
        <v>29.784999999999997</v>
      </c>
      <c r="N439" t="str" cm="1">
        <f t="array" ref="N439">_xlfn.IFS(I439="Rob","Robusta",I439="Exc","Excelsa",I439="Ara","Arabica",I439="Lib","Liberica")</f>
        <v>Liberica</v>
      </c>
      <c r="O439" t="str" cm="1">
        <f t="array" ref="O439">_xlfn.IFS(J439="M","Midium",J439="L","Light",J439="D","Dark")</f>
        <v>Dark</v>
      </c>
      <c r="P439" t="str">
        <f>_xlfn.XLOOKUP(Orders[[#This Row],[Customer ID]],customers!A:A,customers!I:I,,0)</f>
        <v>No</v>
      </c>
      <c r="Q439" t="str">
        <f>_xlfn.XLOOKUP(C440,customers!A:A,customers!B:B,"مش موجود")</f>
        <v>Morgen Seson</v>
      </c>
    </row>
    <row r="440" spans="1:17" x14ac:dyDescent="0.25">
      <c r="A440" s="2" t="s">
        <v>2956</v>
      </c>
      <c r="B440" s="3">
        <v>43483</v>
      </c>
      <c r="C440" s="2" t="s">
        <v>3042</v>
      </c>
      <c r="D440" t="s">
        <v>6169</v>
      </c>
      <c r="E440" s="2">
        <v>2</v>
      </c>
      <c r="F440" s="2" t="str">
        <f>_xlfn.XLOOKUP(Orders[[#This Row],[Customer ID]],customers!A:A,customers!B:B)</f>
        <v>Morgen Seson</v>
      </c>
      <c r="G440" s="2" t="str" cm="1">
        <f t="array" ref="G440">IF(_xlfn.XLOOKUP(C440,customers!A439:$A$1001,customers!C439:$C$1001,,0)=0,"",_xlfn.XLOOKUP(C440,customers!A439:$A$1001,customers!C439:$C$1001,,0))</f>
        <v>msesonck@census.gov</v>
      </c>
      <c r="H440" s="2" t="str" cm="1">
        <f t="array" ref="H440">_xlfn.XLOOKUP(C440,customers!A439:$A$1001,customers!G439:$G$1001,"Ireland",0)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6"/>
        <v>15.54</v>
      </c>
      <c r="N440" t="str" cm="1">
        <f t="array" ref="N440">_xlfn.IFS(I440="Rob","Robusta",I440="Exc","Excelsa",I440="Ara","Arabica",I440="Lib","Liberica")</f>
        <v>Liberica</v>
      </c>
      <c r="O440" t="str" cm="1">
        <f t="array" ref="O440">_xlfn.IFS(J440="M","Midium",J440="L","Light",J440="D","Dark")</f>
        <v>Dark</v>
      </c>
      <c r="P440" t="str">
        <f>_xlfn.XLOOKUP(Orders[[#This Row],[Customer ID]],customers!A:A,customers!I:I,,0)</f>
        <v>No</v>
      </c>
      <c r="Q440" t="str">
        <f>_xlfn.XLOOKUP(C441,customers!A:A,customers!B:B,"مش موجود")</f>
        <v>Chickie Ragless</v>
      </c>
    </row>
    <row r="441" spans="1:17" x14ac:dyDescent="0.25">
      <c r="A441" s="2" t="s">
        <v>2962</v>
      </c>
      <c r="B441" s="3">
        <v>43562</v>
      </c>
      <c r="C441" s="2" t="s">
        <v>2963</v>
      </c>
      <c r="D441" t="s">
        <v>6176</v>
      </c>
      <c r="E441" s="2">
        <v>4</v>
      </c>
      <c r="F441" s="2" t="str">
        <f>_xlfn.XLOOKUP(Orders[[#This Row],[Customer ID]],customers!A:A,customers!B:B)</f>
        <v>Chickie Ragless</v>
      </c>
      <c r="G441" s="2" t="str" cm="1">
        <f t="array" ref="G441">IF(_xlfn.XLOOKUP(C441,customers!A440:$A$1001,customers!C440:$C$1001,,0)=0,"",_xlfn.XLOOKUP(C441,customers!A440:$A$1001,customers!C440:$C$1001,,0))</f>
        <v>craglessc7@webmd.com</v>
      </c>
      <c r="H441" s="2" t="str" cm="1">
        <f t="array" ref="H441">_xlfn.XLOOKUP(C441,customers!A440:$A$1001,customers!G440:$G$1001,"Ireland",0)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6"/>
        <v>35.64</v>
      </c>
      <c r="N441" t="str" cm="1">
        <f t="array" ref="N441">_xlfn.IFS(I441="Rob","Robusta",I441="Exc","Excelsa",I441="Ara","Arabica",I441="Lib","Liberica")</f>
        <v>Excelsa</v>
      </c>
      <c r="O441" t="str" cm="1">
        <f t="array" ref="O441">_xlfn.IFS(J441="M","Midium",J441="L","Light",J441="D","Dark")</f>
        <v>Light</v>
      </c>
      <c r="P441" t="str">
        <f>_xlfn.XLOOKUP(Orders[[#This Row],[Customer ID]],customers!A:A,customers!I:I,,0)</f>
        <v>No</v>
      </c>
      <c r="Q441" t="str">
        <f>_xlfn.XLOOKUP(C442,customers!A:A,customers!B:B,"مش موجود")</f>
        <v>Freda Hollows</v>
      </c>
    </row>
    <row r="442" spans="1:17" x14ac:dyDescent="0.25">
      <c r="A442" s="2" t="s">
        <v>2968</v>
      </c>
      <c r="B442" s="3">
        <v>44230</v>
      </c>
      <c r="C442" s="2" t="s">
        <v>2969</v>
      </c>
      <c r="D442" t="s">
        <v>6175</v>
      </c>
      <c r="E442" s="2">
        <v>4</v>
      </c>
      <c r="F442" s="2" t="str">
        <f>_xlfn.XLOOKUP(Orders[[#This Row],[Customer ID]],customers!A:A,customers!B:B)</f>
        <v>Freda Hollows</v>
      </c>
      <c r="G442" s="2" t="str" cm="1">
        <f t="array" ref="G442">IF(_xlfn.XLOOKUP(C442,customers!A441:$A$1001,customers!C441:$C$1001,,0)=0,"",_xlfn.XLOOKUP(C442,customers!A441:$A$1001,customers!C441:$C$1001,,0))</f>
        <v>fhollowsc8@blogtalkradio.com</v>
      </c>
      <c r="H442" s="2" t="str" cm="1">
        <f t="array" ref="H442">_xlfn.XLOOKUP(C442,customers!A441:$A$1001,customers!G441:$G$1001,"Ireland",0)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6"/>
        <v>103.49999999999999</v>
      </c>
      <c r="N442" t="str" cm="1">
        <f t="array" ref="N442">_xlfn.IFS(I442="Rob","Robusta",I442="Exc","Excelsa",I442="Ara","Arabica",I442="Lib","Liberica")</f>
        <v>Arabica</v>
      </c>
      <c r="O442" t="str" cm="1">
        <f t="array" ref="O442">_xlfn.IFS(J442="M","Midium",J442="L","Light",J442="D","Dark")</f>
        <v>Midium</v>
      </c>
      <c r="P442" t="str">
        <f>_xlfn.XLOOKUP(Orders[[#This Row],[Customer ID]],customers!A:A,customers!I:I,,0)</f>
        <v>Yes</v>
      </c>
      <c r="Q442" t="str">
        <f>_xlfn.XLOOKUP(C443,customers!A:A,customers!B:B,"مش موجود")</f>
        <v>Livy Lathleiff</v>
      </c>
    </row>
    <row r="443" spans="1:17" x14ac:dyDescent="0.25">
      <c r="A443" s="2" t="s">
        <v>2974</v>
      </c>
      <c r="B443" s="3">
        <v>43573</v>
      </c>
      <c r="C443" s="2" t="s">
        <v>2975</v>
      </c>
      <c r="D443" t="s">
        <v>6183</v>
      </c>
      <c r="E443" s="2">
        <v>3</v>
      </c>
      <c r="F443" s="2" t="str">
        <f>_xlfn.XLOOKUP(Orders[[#This Row],[Customer ID]],customers!A:A,customers!B:B)</f>
        <v>Livy Lathleiff</v>
      </c>
      <c r="G443" s="2" t="str" cm="1">
        <f t="array" ref="G443">IF(_xlfn.XLOOKUP(C443,customers!A442:$A$1001,customers!C442:$C$1001,,0)=0,"",_xlfn.XLOOKUP(C443,customers!A442:$A$1001,customers!C442:$C$1001,,0))</f>
        <v>llathleiffc9@nationalgeographic.com</v>
      </c>
      <c r="H443" s="2" t="str" cm="1">
        <f t="array" ref="H443">_xlfn.XLOOKUP(C443,customers!A442:$A$1001,customers!G442:$G$1001,"Ireland",0)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6"/>
        <v>36.450000000000003</v>
      </c>
      <c r="N443" t="str" cm="1">
        <f t="array" ref="N443">_xlfn.IFS(I443="Rob","Robusta",I443="Exc","Excelsa",I443="Ara","Arabica",I443="Lib","Liberica")</f>
        <v>Excelsa</v>
      </c>
      <c r="O443" t="str" cm="1">
        <f t="array" ref="O443">_xlfn.IFS(J443="M","Midium",J443="L","Light",J443="D","Dark")</f>
        <v>Dark</v>
      </c>
      <c r="P443" t="str">
        <f>_xlfn.XLOOKUP(Orders[[#This Row],[Customer ID]],customers!A:A,customers!I:I,,0)</f>
        <v>Yes</v>
      </c>
      <c r="Q443" t="str">
        <f>_xlfn.XLOOKUP(C444,customers!A:A,customers!B:B,"مش موجود")</f>
        <v>Koralle Heads</v>
      </c>
    </row>
    <row r="444" spans="1:17" x14ac:dyDescent="0.25">
      <c r="A444" s="2" t="s">
        <v>2980</v>
      </c>
      <c r="B444" s="3">
        <v>44384</v>
      </c>
      <c r="C444" s="2" t="s">
        <v>2981</v>
      </c>
      <c r="D444" t="s">
        <v>6173</v>
      </c>
      <c r="E444" s="2">
        <v>5</v>
      </c>
      <c r="F444" s="2" t="str">
        <f>_xlfn.XLOOKUP(Orders[[#This Row],[Customer ID]],customers!A:A,customers!B:B)</f>
        <v>Koralle Heads</v>
      </c>
      <c r="G444" s="2" t="str" cm="1">
        <f t="array" ref="G444">IF(_xlfn.XLOOKUP(C444,customers!A443:$A$1001,customers!C443:$C$1001,,0)=0,"",_xlfn.XLOOKUP(C444,customers!A443:$A$1001,customers!C443:$C$1001,,0))</f>
        <v>kheadsca@jalbum.net</v>
      </c>
      <c r="H444" s="2" t="str" cm="1">
        <f t="array" ref="H444">_xlfn.XLOOKUP(C444,customers!A443:$A$1001,customers!G443:$G$1001,"Ireland",0)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6"/>
        <v>35.849999999999994</v>
      </c>
      <c r="N444" t="str" cm="1">
        <f t="array" ref="N444">_xlfn.IFS(I444="Rob","Robusta",I444="Exc","Excelsa",I444="Ara","Arabica",I444="Lib","Liberica")</f>
        <v>Robusta</v>
      </c>
      <c r="O444" t="str" cm="1">
        <f t="array" ref="O444">_xlfn.IFS(J444="M","Midium",J444="L","Light",J444="D","Dark")</f>
        <v>Light</v>
      </c>
      <c r="P444" t="str">
        <f>_xlfn.XLOOKUP(Orders[[#This Row],[Customer ID]],customers!A:A,customers!I:I,,0)</f>
        <v>No</v>
      </c>
      <c r="Q444" t="str">
        <f>_xlfn.XLOOKUP(C445,customers!A:A,customers!B:B,"مش موجود")</f>
        <v>Theo Bowne</v>
      </c>
    </row>
    <row r="445" spans="1:17" x14ac:dyDescent="0.25">
      <c r="A445" s="2" t="s">
        <v>2986</v>
      </c>
      <c r="B445" s="3">
        <v>44250</v>
      </c>
      <c r="C445" s="2" t="s">
        <v>2987</v>
      </c>
      <c r="D445" t="s">
        <v>6184</v>
      </c>
      <c r="E445" s="2">
        <v>5</v>
      </c>
      <c r="F445" s="2" t="str">
        <f>_xlfn.XLOOKUP(Orders[[#This Row],[Customer ID]],customers!A:A,customers!B:B)</f>
        <v>Theo Bowne</v>
      </c>
      <c r="G445" s="2" t="str" cm="1">
        <f t="array" ref="G445">IF(_xlfn.XLOOKUP(C445,customers!A444:$A$1001,customers!C444:$C$1001,,0)=0,"",_xlfn.XLOOKUP(C445,customers!A444:$A$1001,customers!C444:$C$1001,,0))</f>
        <v>tbownecb@unicef.org</v>
      </c>
      <c r="H445" s="2" t="str" cm="1">
        <f t="array" ref="H445">_xlfn.XLOOKUP(C445,customers!A444:$A$1001,customers!G444:$G$1001,"Ireland",0)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6"/>
        <v>22.274999999999999</v>
      </c>
      <c r="N445" t="str" cm="1">
        <f t="array" ref="N445">_xlfn.IFS(I445="Rob","Robusta",I445="Exc","Excelsa",I445="Ara","Arabica",I445="Lib","Liberica")</f>
        <v>Excelsa</v>
      </c>
      <c r="O445" t="str" cm="1">
        <f t="array" ref="O445">_xlfn.IFS(J445="M","Midium",J445="L","Light",J445="D","Dark")</f>
        <v>Light</v>
      </c>
      <c r="P445" t="str">
        <f>_xlfn.XLOOKUP(Orders[[#This Row],[Customer ID]],customers!A:A,customers!I:I,,0)</f>
        <v>Yes</v>
      </c>
      <c r="Q445" t="str">
        <f>_xlfn.XLOOKUP(C446,customers!A:A,customers!B:B,"مش موجود")</f>
        <v>Rasia Jacquemard</v>
      </c>
    </row>
    <row r="446" spans="1:17" x14ac:dyDescent="0.25">
      <c r="A446" s="2" t="s">
        <v>2992</v>
      </c>
      <c r="B446" s="3">
        <v>44418</v>
      </c>
      <c r="C446" s="2" t="s">
        <v>2993</v>
      </c>
      <c r="D446" t="s">
        <v>6156</v>
      </c>
      <c r="E446" s="2">
        <v>6</v>
      </c>
      <c r="F446" s="2" t="str">
        <f>_xlfn.XLOOKUP(Orders[[#This Row],[Customer ID]],customers!A:A,customers!B:B)</f>
        <v>Rasia Jacquemard</v>
      </c>
      <c r="G446" s="2" t="str" cm="1">
        <f t="array" ref="G446">IF(_xlfn.XLOOKUP(C446,customers!A445:$A$1001,customers!C445:$C$1001,,0)=0,"",_xlfn.XLOOKUP(C446,customers!A445:$A$1001,customers!C445:$C$1001,,0))</f>
        <v>rjacquemardcc@acquirethisname.com</v>
      </c>
      <c r="H446" s="2" t="str" cm="1">
        <f t="array" ref="H446">_xlfn.XLOOKUP(C446,customers!A445:$A$1001,customers!G445:$G$1001,"Ireland",0)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6"/>
        <v>24.75</v>
      </c>
      <c r="N446" t="str" cm="1">
        <f t="array" ref="N446">_xlfn.IFS(I446="Rob","Robusta",I446="Exc","Excelsa",I446="Ara","Arabica",I446="Lib","Liberica")</f>
        <v>Excelsa</v>
      </c>
      <c r="O446" t="str" cm="1">
        <f t="array" ref="O446">_xlfn.IFS(J446="M","Midium",J446="L","Light",J446="D","Dark")</f>
        <v>Midium</v>
      </c>
      <c r="P446" t="str">
        <f>_xlfn.XLOOKUP(Orders[[#This Row],[Customer ID]],customers!A:A,customers!I:I,,0)</f>
        <v>No</v>
      </c>
      <c r="Q446" t="str">
        <f>_xlfn.XLOOKUP(C447,customers!A:A,customers!B:B,"مش موجود")</f>
        <v>Kizzie Warman</v>
      </c>
    </row>
    <row r="447" spans="1:17" x14ac:dyDescent="0.25">
      <c r="A447" s="2" t="s">
        <v>2999</v>
      </c>
      <c r="B447" s="3">
        <v>43784</v>
      </c>
      <c r="C447" s="2" t="s">
        <v>3000</v>
      </c>
      <c r="D447" t="s">
        <v>6181</v>
      </c>
      <c r="E447" s="2">
        <v>2</v>
      </c>
      <c r="F447" s="2" t="str">
        <f>_xlfn.XLOOKUP(Orders[[#This Row],[Customer ID]],customers!A:A,customers!B:B)</f>
        <v>Kizzie Warman</v>
      </c>
      <c r="G447" s="2" t="str" cm="1">
        <f t="array" ref="G447">IF(_xlfn.XLOOKUP(C447,customers!A446:$A$1001,customers!C446:$C$1001,,0)=0,"",_xlfn.XLOOKUP(C447,customers!A446:$A$1001,customers!C446:$C$1001,,0))</f>
        <v>kwarmancd@printfriendly.com</v>
      </c>
      <c r="H447" s="2" t="str" cm="1">
        <f t="array" ref="H447">_xlfn.XLOOKUP(C447,customers!A446:$A$1001,customers!G446:$G$1001,"Ireland",0)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6"/>
        <v>66.929999999999993</v>
      </c>
      <c r="N447" t="str" cm="1">
        <f t="array" ref="N447">_xlfn.IFS(I447="Rob","Robusta",I447="Exc","Excelsa",I447="Ara","Arabica",I447="Lib","Liberica")</f>
        <v>Liberica</v>
      </c>
      <c r="O447" t="str" cm="1">
        <f t="array" ref="O447">_xlfn.IFS(J447="M","Midium",J447="L","Light",J447="D","Dark")</f>
        <v>Midium</v>
      </c>
      <c r="P447" t="str">
        <f>_xlfn.XLOOKUP(Orders[[#This Row],[Customer ID]],customers!A:A,customers!I:I,,0)</f>
        <v>Yes</v>
      </c>
      <c r="Q447" t="str">
        <f>_xlfn.XLOOKUP(C448,customers!A:A,customers!B:B,"مش موجود")</f>
        <v>Wain Cholomin</v>
      </c>
    </row>
    <row r="448" spans="1:17" x14ac:dyDescent="0.25">
      <c r="A448" s="2" t="s">
        <v>3004</v>
      </c>
      <c r="B448" s="3">
        <v>43816</v>
      </c>
      <c r="C448" s="2" t="s">
        <v>3005</v>
      </c>
      <c r="D448" t="s">
        <v>6160</v>
      </c>
      <c r="E448" s="2">
        <v>1</v>
      </c>
      <c r="F448" s="2" t="str">
        <f>_xlfn.XLOOKUP(Orders[[#This Row],[Customer ID]],customers!A:A,customers!B:B)</f>
        <v>Wain Cholomin</v>
      </c>
      <c r="G448" s="2" t="str" cm="1">
        <f t="array" ref="G448">IF(_xlfn.XLOOKUP(C448,customers!A447:$A$1001,customers!C447:$C$1001,,0)=0,"",_xlfn.XLOOKUP(C448,customers!A447:$A$1001,customers!C447:$C$1001,,0))</f>
        <v>wcholomince@about.com</v>
      </c>
      <c r="H448" s="2" t="str" cm="1">
        <f t="array" ref="H448">_xlfn.XLOOKUP(C448,customers!A447:$A$1001,customers!G447:$G$1001,"Ireland",0)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6"/>
        <v>8.73</v>
      </c>
      <c r="N448" t="str" cm="1">
        <f t="array" ref="N448">_xlfn.IFS(I448="Rob","Robusta",I448="Exc","Excelsa",I448="Ara","Arabica",I448="Lib","Liberica")</f>
        <v>Liberica</v>
      </c>
      <c r="O448" t="str" cm="1">
        <f t="array" ref="O448">_xlfn.IFS(J448="M","Midium",J448="L","Light",J448="D","Dark")</f>
        <v>Midium</v>
      </c>
      <c r="P448" t="str">
        <f>_xlfn.XLOOKUP(Orders[[#This Row],[Customer ID]],customers!A:A,customers!I:I,,0)</f>
        <v>Yes</v>
      </c>
      <c r="Q448" t="str">
        <f>_xlfn.XLOOKUP(C449,customers!A:A,customers!B:B,"مش موجود")</f>
        <v>Arleen Braidman</v>
      </c>
    </row>
    <row r="449" spans="1:17" x14ac:dyDescent="0.25">
      <c r="A449" s="2" t="s">
        <v>3010</v>
      </c>
      <c r="B449" s="3">
        <v>43908</v>
      </c>
      <c r="C449" s="2" t="s">
        <v>3011</v>
      </c>
      <c r="D449" t="s">
        <v>6146</v>
      </c>
      <c r="E449" s="2">
        <v>3</v>
      </c>
      <c r="F449" s="2" t="str">
        <f>_xlfn.XLOOKUP(Orders[[#This Row],[Customer ID]],customers!A:A,customers!B:B)</f>
        <v>Arleen Braidman</v>
      </c>
      <c r="G449" s="2" t="str" cm="1">
        <f t="array" ref="G449">IF(_xlfn.XLOOKUP(C449,customers!A448:$A$1001,customers!C448:$C$1001,,0)=0,"",_xlfn.XLOOKUP(C449,customers!A448:$A$1001,customers!C448:$C$1001,,0))</f>
        <v>abraidmancf@census.gov</v>
      </c>
      <c r="H449" s="2" t="str" cm="1">
        <f t="array" ref="H449">_xlfn.XLOOKUP(C449,customers!A448:$A$1001,customers!G448:$G$1001,"Ireland",0)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6"/>
        <v>17.91</v>
      </c>
      <c r="N449" t="str" cm="1">
        <f t="array" ref="N449">_xlfn.IFS(I449="Rob","Robusta",I449="Exc","Excelsa",I449="Ara","Arabica",I449="Lib","Liberica")</f>
        <v>Robusta</v>
      </c>
      <c r="O449" t="str" cm="1">
        <f t="array" ref="O449">_xlfn.IFS(J449="M","Midium",J449="L","Light",J449="D","Dark")</f>
        <v>Midium</v>
      </c>
      <c r="P449" t="str">
        <f>_xlfn.XLOOKUP(Orders[[#This Row],[Customer ID]],customers!A:A,customers!I:I,,0)</f>
        <v>No</v>
      </c>
      <c r="Q449" t="str">
        <f>_xlfn.XLOOKUP(C450,customers!A:A,customers!B:B,"مش موجود")</f>
        <v>Pru Durban</v>
      </c>
    </row>
    <row r="450" spans="1:17" x14ac:dyDescent="0.25">
      <c r="A450" s="2" t="s">
        <v>3015</v>
      </c>
      <c r="B450" s="3">
        <v>44718</v>
      </c>
      <c r="C450" s="2" t="s">
        <v>3016</v>
      </c>
      <c r="D450" t="s">
        <v>6173</v>
      </c>
      <c r="E450" s="2">
        <v>1</v>
      </c>
      <c r="F450" s="2" t="str">
        <f>_xlfn.XLOOKUP(Orders[[#This Row],[Customer ID]],customers!A:A,customers!B:B)</f>
        <v>Pru Durban</v>
      </c>
      <c r="G450" s="2" t="str" cm="1">
        <f t="array" ref="G450">IF(_xlfn.XLOOKUP(C450,customers!A449:$A$1001,customers!C449:$C$1001,,0)=0,"",_xlfn.XLOOKUP(C450,customers!A449:$A$1001,customers!C449:$C$1001,,0))</f>
        <v>pdurbancg@symantec.com</v>
      </c>
      <c r="H450" s="2" t="str" cm="1">
        <f t="array" ref="H450">_xlfn.XLOOKUP(C450,customers!A449:$A$1001,customers!G449:$G$1001,"Ireland",0)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6"/>
        <v>7.169999999999999</v>
      </c>
      <c r="N450" t="str" cm="1">
        <f t="array" ref="N450">_xlfn.IFS(I450="Rob","Robusta",I450="Exc","Excelsa",I450="Ara","Arabica",I450="Lib","Liberica")</f>
        <v>Robusta</v>
      </c>
      <c r="O450" t="str" cm="1">
        <f t="array" ref="O450">_xlfn.IFS(J450="M","Midium",J450="L","Light",J450="D","Dark")</f>
        <v>Light</v>
      </c>
      <c r="P450" t="str">
        <f>_xlfn.XLOOKUP(Orders[[#This Row],[Customer ID]],customers!A:A,customers!I:I,,0)</f>
        <v>No</v>
      </c>
      <c r="Q450" t="str">
        <f>_xlfn.XLOOKUP(C451,customers!A:A,customers!B:B,"مش موجود")</f>
        <v>Antone Harrold</v>
      </c>
    </row>
    <row r="451" spans="1:17" x14ac:dyDescent="0.25">
      <c r="A451" s="2" t="s">
        <v>3021</v>
      </c>
      <c r="B451" s="3">
        <v>44336</v>
      </c>
      <c r="C451" s="2" t="s">
        <v>3022</v>
      </c>
      <c r="D451" t="s">
        <v>6163</v>
      </c>
      <c r="E451" s="2">
        <v>2</v>
      </c>
      <c r="F451" s="2" t="str">
        <f>_xlfn.XLOOKUP(Orders[[#This Row],[Customer ID]],customers!A:A,customers!B:B)</f>
        <v>Antone Harrold</v>
      </c>
      <c r="G451" s="2" t="str" cm="1">
        <f t="array" ref="G451">IF(_xlfn.XLOOKUP(C451,customers!A450:$A$1001,customers!C450:$C$1001,,0)=0,"",_xlfn.XLOOKUP(C451,customers!A450:$A$1001,customers!C450:$C$1001,,0))</f>
        <v>aharroldch@miibeian.gov.cn</v>
      </c>
      <c r="H451" s="2" t="str" cm="1">
        <f t="array" ref="H451">_xlfn.XLOOKUP(C451,customers!A450:$A$1001,customers!G450:$G$1001,"Ireland",0)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7">L451*E451</f>
        <v>5.3699999999999992</v>
      </c>
      <c r="N451" t="str" cm="1">
        <f t="array" ref="N451">_xlfn.IFS(I451="Rob","Robusta",I451="Exc","Excelsa",I451="Ara","Arabica",I451="Lib","Liberica")</f>
        <v>Robusta</v>
      </c>
      <c r="O451" t="str" cm="1">
        <f t="array" ref="O451">_xlfn.IFS(J451="M","Midium",J451="L","Light",J451="D","Dark")</f>
        <v>Dark</v>
      </c>
      <c r="P451" t="str">
        <f>_xlfn.XLOOKUP(Orders[[#This Row],[Customer ID]],customers!A:A,customers!I:I,,0)</f>
        <v>No</v>
      </c>
      <c r="Q451" t="str">
        <f>_xlfn.XLOOKUP(C452,customers!A:A,customers!B:B,"مش موجود")</f>
        <v>Sim Pamphilon</v>
      </c>
    </row>
    <row r="452" spans="1:17" x14ac:dyDescent="0.25">
      <c r="A452" s="2" t="s">
        <v>3027</v>
      </c>
      <c r="B452" s="3">
        <v>44207</v>
      </c>
      <c r="C452" s="2" t="s">
        <v>3028</v>
      </c>
      <c r="D452" t="s">
        <v>6145</v>
      </c>
      <c r="E452" s="2">
        <v>5</v>
      </c>
      <c r="F452" s="2" t="str">
        <f>_xlfn.XLOOKUP(Orders[[#This Row],[Customer ID]],customers!A:A,customers!B:B)</f>
        <v>Sim Pamphilon</v>
      </c>
      <c r="G452" s="2" t="str" cm="1">
        <f t="array" ref="G452">IF(_xlfn.XLOOKUP(C452,customers!A451:$A$1001,customers!C451:$C$1001,,0)=0,"",_xlfn.XLOOKUP(C452,customers!A451:$A$1001,customers!C451:$C$1001,,0))</f>
        <v>spamphilonci@mlb.com</v>
      </c>
      <c r="H452" s="2" t="str" cm="1">
        <f t="array" ref="H452">_xlfn.XLOOKUP(C452,customers!A451:$A$1001,customers!G451:$G$1001,"Ireland",0)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7"/>
        <v>23.774999999999999</v>
      </c>
      <c r="N452" t="str" cm="1">
        <f t="array" ref="N452">_xlfn.IFS(I452="Rob","Robusta",I452="Exc","Excelsa",I452="Ara","Arabica",I452="Lib","Liberica")</f>
        <v>Liberica</v>
      </c>
      <c r="O452" t="str" cm="1">
        <f t="array" ref="O452">_xlfn.IFS(J452="M","Midium",J452="L","Light",J452="D","Dark")</f>
        <v>Light</v>
      </c>
      <c r="P452" t="str">
        <f>_xlfn.XLOOKUP(Orders[[#This Row],[Customer ID]],customers!A:A,customers!I:I,,0)</f>
        <v>No</v>
      </c>
      <c r="Q452" t="str">
        <f>_xlfn.XLOOKUP(C453,customers!A:A,customers!B:B,"مش موجود")</f>
        <v>Mohandis Spurden</v>
      </c>
    </row>
    <row r="453" spans="1:17" x14ac:dyDescent="0.25">
      <c r="A453" s="2" t="s">
        <v>3035</v>
      </c>
      <c r="B453" s="3">
        <v>43518</v>
      </c>
      <c r="C453" s="2" t="s">
        <v>3036</v>
      </c>
      <c r="D453" t="s">
        <v>6149</v>
      </c>
      <c r="E453" s="2">
        <v>2</v>
      </c>
      <c r="F453" s="2" t="str">
        <f>_xlfn.XLOOKUP(Orders[[#This Row],[Customer ID]],customers!A:A,customers!B:B)</f>
        <v>Mohandis Spurden</v>
      </c>
      <c r="G453" s="2" t="str" cm="1">
        <f t="array" ref="G453">IF(_xlfn.XLOOKUP(C453,customers!A452:$A$1001,customers!C452:$C$1001,,0)=0,"",_xlfn.XLOOKUP(C453,customers!A452:$A$1001,customers!C452:$C$1001,,0))</f>
        <v>mspurdencj@exblog.jp</v>
      </c>
      <c r="H453" s="2" t="str" cm="1">
        <f t="array" ref="H453">_xlfn.XLOOKUP(C453,customers!A452:$A$1001,customers!G452:$G$1001,"Ireland",0)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7"/>
        <v>41.169999999999995</v>
      </c>
      <c r="N453" t="str" cm="1">
        <f t="array" ref="N453">_xlfn.IFS(I453="Rob","Robusta",I453="Exc","Excelsa",I453="Ara","Arabica",I453="Lib","Liberica")</f>
        <v>Robusta</v>
      </c>
      <c r="O453" t="str" cm="1">
        <f t="array" ref="O453">_xlfn.IFS(J453="M","Midium",J453="L","Light",J453="D","Dark")</f>
        <v>Dark</v>
      </c>
      <c r="P453" t="str">
        <f>_xlfn.XLOOKUP(Orders[[#This Row],[Customer ID]],customers!A:A,customers!I:I,,0)</f>
        <v>Yes</v>
      </c>
      <c r="Q453" t="str">
        <f>_xlfn.XLOOKUP(C454,customers!A:A,customers!B:B,"مش موجود")</f>
        <v>Morgen Seson</v>
      </c>
    </row>
    <row r="454" spans="1:17" x14ac:dyDescent="0.25">
      <c r="A454" s="2" t="s">
        <v>3041</v>
      </c>
      <c r="B454" s="3">
        <v>44524</v>
      </c>
      <c r="C454" s="2" t="s">
        <v>3042</v>
      </c>
      <c r="D454" t="s">
        <v>6167</v>
      </c>
      <c r="E454" s="2">
        <v>3</v>
      </c>
      <c r="F454" s="2" t="str">
        <f>_xlfn.XLOOKUP(Orders[[#This Row],[Customer ID]],customers!A:A,customers!B:B)</f>
        <v>Morgen Seson</v>
      </c>
      <c r="G454" s="2" t="str" cm="1">
        <f t="array" ref="G454">IF(_xlfn.XLOOKUP(C454,customers!A453:$A$1001,customers!C453:$C$1001,,0)=0,"",_xlfn.XLOOKUP(C454,customers!A453:$A$1001,customers!C453:$C$1001,,0))</f>
        <v>msesonck@census.gov</v>
      </c>
      <c r="H454" s="2" t="str" cm="1">
        <f t="array" ref="H454">_xlfn.XLOOKUP(C454,customers!A453:$A$1001,customers!G453:$G$1001,"Ireland",0)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7"/>
        <v>11.654999999999999</v>
      </c>
      <c r="N454" t="str" cm="1">
        <f t="array" ref="N454">_xlfn.IFS(I454="Rob","Robusta",I454="Exc","Excelsa",I454="Ara","Arabica",I454="Lib","Liberica")</f>
        <v>Arabica</v>
      </c>
      <c r="O454" t="str" cm="1">
        <f t="array" ref="O454">_xlfn.IFS(J454="M","Midium",J454="L","Light",J454="D","Dark")</f>
        <v>Light</v>
      </c>
      <c r="P454" t="str">
        <f>_xlfn.XLOOKUP(Orders[[#This Row],[Customer ID]],customers!A:A,customers!I:I,,0)</f>
        <v>No</v>
      </c>
      <c r="Q454" t="str">
        <f>_xlfn.XLOOKUP(C455,customers!A:A,customers!B:B,"مش موجود")</f>
        <v>Nalani Pirrone</v>
      </c>
    </row>
    <row r="455" spans="1:17" x14ac:dyDescent="0.25">
      <c r="A455" s="2" t="s">
        <v>3047</v>
      </c>
      <c r="B455" s="3">
        <v>44579</v>
      </c>
      <c r="C455" s="2" t="s">
        <v>3048</v>
      </c>
      <c r="D455" t="s">
        <v>6161</v>
      </c>
      <c r="E455" s="2">
        <v>4</v>
      </c>
      <c r="F455" s="2" t="str">
        <f>_xlfn.XLOOKUP(Orders[[#This Row],[Customer ID]],customers!A:A,customers!B:B)</f>
        <v>Nalani Pirrone</v>
      </c>
      <c r="G455" s="2" t="str" cm="1">
        <f t="array" ref="G455">IF(_xlfn.XLOOKUP(C455,customers!A454:$A$1001,customers!C454:$C$1001,,0)=0,"",_xlfn.XLOOKUP(C455,customers!A454:$A$1001,customers!C454:$C$1001,,0))</f>
        <v>npirronecl@weibo.com</v>
      </c>
      <c r="H455" s="2" t="str" cm="1">
        <f t="array" ref="H455">_xlfn.XLOOKUP(C455,customers!A454:$A$1001,customers!G454:$G$1001,"Ireland",0)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7"/>
        <v>38.04</v>
      </c>
      <c r="N455" t="str" cm="1">
        <f t="array" ref="N455">_xlfn.IFS(I455="Rob","Robusta",I455="Exc","Excelsa",I455="Ara","Arabica",I455="Lib","Liberica")</f>
        <v>Liberica</v>
      </c>
      <c r="O455" t="str" cm="1">
        <f t="array" ref="O455">_xlfn.IFS(J455="M","Midium",J455="L","Light",J455="D","Dark")</f>
        <v>Light</v>
      </c>
      <c r="P455" t="str">
        <f>_xlfn.XLOOKUP(Orders[[#This Row],[Customer ID]],customers!A:A,customers!I:I,,0)</f>
        <v>No</v>
      </c>
      <c r="Q455" t="str">
        <f>_xlfn.XLOOKUP(C456,customers!A:A,customers!B:B,"مش موجود")</f>
        <v>Reube Cawley</v>
      </c>
    </row>
    <row r="456" spans="1:17" x14ac:dyDescent="0.25">
      <c r="A456" s="2" t="s">
        <v>3053</v>
      </c>
      <c r="B456" s="3">
        <v>44421</v>
      </c>
      <c r="C456" s="2" t="s">
        <v>3054</v>
      </c>
      <c r="D456" t="s">
        <v>6149</v>
      </c>
      <c r="E456" s="2">
        <v>4</v>
      </c>
      <c r="F456" s="2" t="str">
        <f>_xlfn.XLOOKUP(Orders[[#This Row],[Customer ID]],customers!A:A,customers!B:B)</f>
        <v>Reube Cawley</v>
      </c>
      <c r="G456" s="2" t="str" cm="1">
        <f t="array" ref="G456">IF(_xlfn.XLOOKUP(C456,customers!A455:$A$1001,customers!C455:$C$1001,,0)=0,"",_xlfn.XLOOKUP(C456,customers!A455:$A$1001,customers!C455:$C$1001,,0))</f>
        <v>rcawleycm@yellowbook.com</v>
      </c>
      <c r="H456" s="2" t="str" cm="1">
        <f t="array" ref="H456">_xlfn.XLOOKUP(C456,customers!A455:$A$1001,customers!G455:$G$1001,"Ireland",0)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7"/>
        <v>82.339999999999989</v>
      </c>
      <c r="N456" t="str" cm="1">
        <f t="array" ref="N456">_xlfn.IFS(I456="Rob","Robusta",I456="Exc","Excelsa",I456="Ara","Arabica",I456="Lib","Liberica")</f>
        <v>Robusta</v>
      </c>
      <c r="O456" t="str" cm="1">
        <f t="array" ref="O456">_xlfn.IFS(J456="M","Midium",J456="L","Light",J456="D","Dark")</f>
        <v>Dark</v>
      </c>
      <c r="P456" t="str">
        <f>_xlfn.XLOOKUP(Orders[[#This Row],[Customer ID]],customers!A:A,customers!I:I,,0)</f>
        <v>Yes</v>
      </c>
      <c r="Q456" t="str">
        <f>_xlfn.XLOOKUP(C457,customers!A:A,customers!B:B,"مش موجود")</f>
        <v>Stan Barribal</v>
      </c>
    </row>
    <row r="457" spans="1:17" x14ac:dyDescent="0.25">
      <c r="A457" s="2" t="s">
        <v>3058</v>
      </c>
      <c r="B457" s="3">
        <v>43841</v>
      </c>
      <c r="C457" s="2" t="s">
        <v>3059</v>
      </c>
      <c r="D457" t="s">
        <v>6145</v>
      </c>
      <c r="E457" s="2">
        <v>2</v>
      </c>
      <c r="F457" s="2" t="str">
        <f>_xlfn.XLOOKUP(Orders[[#This Row],[Customer ID]],customers!A:A,customers!B:B)</f>
        <v>Stan Barribal</v>
      </c>
      <c r="G457" s="2" t="str" cm="1">
        <f t="array" ref="G457">IF(_xlfn.XLOOKUP(C457,customers!A456:$A$1001,customers!C456:$C$1001,,0)=0,"",_xlfn.XLOOKUP(C457,customers!A456:$A$1001,customers!C456:$C$1001,,0))</f>
        <v>sbarribalcn@microsoft.com</v>
      </c>
      <c r="H457" s="2" t="str" cm="1">
        <f t="array" ref="H457">_xlfn.XLOOKUP(C457,customers!A456:$A$1001,customers!G456:$G$1001,"Ireland",0)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7"/>
        <v>9.51</v>
      </c>
      <c r="N457" t="str" cm="1">
        <f t="array" ref="N457">_xlfn.IFS(I457="Rob","Robusta",I457="Exc","Excelsa",I457="Ara","Arabica",I457="Lib","Liberica")</f>
        <v>Liberica</v>
      </c>
      <c r="O457" t="str" cm="1">
        <f t="array" ref="O457">_xlfn.IFS(J457="M","Midium",J457="L","Light",J457="D","Dark")</f>
        <v>Light</v>
      </c>
      <c r="P457" t="str">
        <f>_xlfn.XLOOKUP(Orders[[#This Row],[Customer ID]],customers!A:A,customers!I:I,,0)</f>
        <v>Yes</v>
      </c>
      <c r="Q457" t="str">
        <f>_xlfn.XLOOKUP(C458,customers!A:A,customers!B:B,"مش موجود")</f>
        <v>Agnes Adamides</v>
      </c>
    </row>
    <row r="458" spans="1:17" x14ac:dyDescent="0.25">
      <c r="A458" s="2" t="s">
        <v>3064</v>
      </c>
      <c r="B458" s="3">
        <v>44017</v>
      </c>
      <c r="C458" s="2" t="s">
        <v>3065</v>
      </c>
      <c r="D458" t="s">
        <v>6149</v>
      </c>
      <c r="E458" s="2">
        <v>2</v>
      </c>
      <c r="F458" s="2" t="str">
        <f>_xlfn.XLOOKUP(Orders[[#This Row],[Customer ID]],customers!A:A,customers!B:B)</f>
        <v>Agnes Adamides</v>
      </c>
      <c r="G458" s="2" t="str" cm="1">
        <f t="array" ref="G458">IF(_xlfn.XLOOKUP(C458,customers!A457:$A$1001,customers!C457:$C$1001,,0)=0,"",_xlfn.XLOOKUP(C458,customers!A457:$A$1001,customers!C457:$C$1001,,0))</f>
        <v>aadamidesco@bizjournals.com</v>
      </c>
      <c r="H458" s="2" t="str" cm="1">
        <f t="array" ref="H458">_xlfn.XLOOKUP(C458,customers!A457:$A$1001,customers!G457:$G$1001,"Ireland",0)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7"/>
        <v>41.169999999999995</v>
      </c>
      <c r="N458" t="str" cm="1">
        <f t="array" ref="N458">_xlfn.IFS(I458="Rob","Robusta",I458="Exc","Excelsa",I458="Ara","Arabica",I458="Lib","Liberica")</f>
        <v>Robusta</v>
      </c>
      <c r="O458" t="str" cm="1">
        <f t="array" ref="O458">_xlfn.IFS(J458="M","Midium",J458="L","Light",J458="D","Dark")</f>
        <v>Dark</v>
      </c>
      <c r="P458" t="str">
        <f>_xlfn.XLOOKUP(Orders[[#This Row],[Customer ID]],customers!A:A,customers!I:I,,0)</f>
        <v>No</v>
      </c>
      <c r="Q458" t="str">
        <f>_xlfn.XLOOKUP(C459,customers!A:A,customers!B:B,"مش موجود")</f>
        <v>Carmelita Thowes</v>
      </c>
    </row>
    <row r="459" spans="1:17" x14ac:dyDescent="0.25">
      <c r="A459" s="2" t="s">
        <v>3070</v>
      </c>
      <c r="B459" s="3">
        <v>43671</v>
      </c>
      <c r="C459" s="2" t="s">
        <v>3071</v>
      </c>
      <c r="D459" t="s">
        <v>6161</v>
      </c>
      <c r="E459" s="2">
        <v>5</v>
      </c>
      <c r="F459" s="2" t="str">
        <f>_xlfn.XLOOKUP(Orders[[#This Row],[Customer ID]],customers!A:A,customers!B:B)</f>
        <v>Carmelita Thowes</v>
      </c>
      <c r="G459" s="2" t="str" cm="1">
        <f t="array" ref="G459">IF(_xlfn.XLOOKUP(C459,customers!A458:$A$1001,customers!C458:$C$1001,,0)=0,"",_xlfn.XLOOKUP(C459,customers!A458:$A$1001,customers!C458:$C$1001,,0))</f>
        <v>cthowescp@craigslist.org</v>
      </c>
      <c r="H459" s="2" t="str" cm="1">
        <f t="array" ref="H459">_xlfn.XLOOKUP(C459,customers!A458:$A$1001,customers!G458:$G$1001,"Ireland",0)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7"/>
        <v>47.55</v>
      </c>
      <c r="N459" t="str" cm="1">
        <f t="array" ref="N459">_xlfn.IFS(I459="Rob","Robusta",I459="Exc","Excelsa",I459="Ara","Arabica",I459="Lib","Liberica")</f>
        <v>Liberica</v>
      </c>
      <c r="O459" t="str" cm="1">
        <f t="array" ref="O459">_xlfn.IFS(J459="M","Midium",J459="L","Light",J459="D","Dark")</f>
        <v>Light</v>
      </c>
      <c r="P459" t="str">
        <f>_xlfn.XLOOKUP(Orders[[#This Row],[Customer ID]],customers!A:A,customers!I:I,,0)</f>
        <v>No</v>
      </c>
      <c r="Q459" t="str">
        <f>_xlfn.XLOOKUP(C460,customers!A:A,customers!B:B,"مش موجود")</f>
        <v>Rodolfo Willoway</v>
      </c>
    </row>
    <row r="460" spans="1:17" x14ac:dyDescent="0.25">
      <c r="A460" s="2" t="s">
        <v>3076</v>
      </c>
      <c r="B460" s="3">
        <v>44707</v>
      </c>
      <c r="C460" s="2" t="s">
        <v>3077</v>
      </c>
      <c r="D460" t="s">
        <v>6155</v>
      </c>
      <c r="E460" s="2">
        <v>4</v>
      </c>
      <c r="F460" s="2" t="str">
        <f>_xlfn.XLOOKUP(Orders[[#This Row],[Customer ID]],customers!A:A,customers!B:B)</f>
        <v>Rodolfo Willoway</v>
      </c>
      <c r="G460" s="2" t="str" cm="1">
        <f t="array" ref="G460">IF(_xlfn.XLOOKUP(C460,customers!A459:$A$1001,customers!C459:$C$1001,,0)=0,"",_xlfn.XLOOKUP(C460,customers!A459:$A$1001,customers!C459:$C$1001,,0))</f>
        <v>rwillowaycq@admin.ch</v>
      </c>
      <c r="H460" s="2" t="str" cm="1">
        <f t="array" ref="H460">_xlfn.XLOOKUP(C460,customers!A459:$A$1001,customers!G459:$G$1001,"Ireland",0)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7"/>
        <v>45</v>
      </c>
      <c r="N460" t="str" cm="1">
        <f t="array" ref="N460">_xlfn.IFS(I460="Rob","Robusta",I460="Exc","Excelsa",I460="Ara","Arabica",I460="Lib","Liberica")</f>
        <v>Arabica</v>
      </c>
      <c r="O460" t="str" cm="1">
        <f t="array" ref="O460">_xlfn.IFS(J460="M","Midium",J460="L","Light",J460="D","Dark")</f>
        <v>Midium</v>
      </c>
      <c r="P460" t="str">
        <f>_xlfn.XLOOKUP(Orders[[#This Row],[Customer ID]],customers!A:A,customers!I:I,,0)</f>
        <v>No</v>
      </c>
      <c r="Q460" t="str">
        <f>_xlfn.XLOOKUP(C461,customers!A:A,customers!B:B,"مش موجود")</f>
        <v>Alvis Elwin</v>
      </c>
    </row>
    <row r="461" spans="1:17" x14ac:dyDescent="0.25">
      <c r="A461" s="2" t="s">
        <v>3082</v>
      </c>
      <c r="B461" s="3">
        <v>43840</v>
      </c>
      <c r="C461" s="2" t="s">
        <v>3083</v>
      </c>
      <c r="D461" t="s">
        <v>6145</v>
      </c>
      <c r="E461" s="2">
        <v>5</v>
      </c>
      <c r="F461" s="2" t="str">
        <f>_xlfn.XLOOKUP(Orders[[#This Row],[Customer ID]],customers!A:A,customers!B:B)</f>
        <v>Alvis Elwin</v>
      </c>
      <c r="G461" s="2" t="str" cm="1">
        <f t="array" ref="G461">IF(_xlfn.XLOOKUP(C461,customers!A460:$A$1001,customers!C460:$C$1001,,0)=0,"",_xlfn.XLOOKUP(C461,customers!A460:$A$1001,customers!C460:$C$1001,,0))</f>
        <v>aelwincr@privacy.gov.au</v>
      </c>
      <c r="H461" s="2" t="str" cm="1">
        <f t="array" ref="H461">_xlfn.XLOOKUP(C461,customers!A460:$A$1001,customers!G460:$G$1001,"Ireland",0)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7"/>
        <v>23.774999999999999</v>
      </c>
      <c r="N461" t="str" cm="1">
        <f t="array" ref="N461">_xlfn.IFS(I461="Rob","Robusta",I461="Exc","Excelsa",I461="Ara","Arabica",I461="Lib","Liberica")</f>
        <v>Liberica</v>
      </c>
      <c r="O461" t="str" cm="1">
        <f t="array" ref="O461">_xlfn.IFS(J461="M","Midium",J461="L","Light",J461="D","Dark")</f>
        <v>Light</v>
      </c>
      <c r="P461" t="str">
        <f>_xlfn.XLOOKUP(Orders[[#This Row],[Customer ID]],customers!A:A,customers!I:I,,0)</f>
        <v>No</v>
      </c>
      <c r="Q461" t="str">
        <f>_xlfn.XLOOKUP(C462,customers!A:A,customers!B:B,"مش موجود")</f>
        <v>Araldo Bilbrook</v>
      </c>
    </row>
    <row r="462" spans="1:17" x14ac:dyDescent="0.25">
      <c r="A462" s="2" t="s">
        <v>3088</v>
      </c>
      <c r="B462" s="3">
        <v>43602</v>
      </c>
      <c r="C462" s="2" t="s">
        <v>3089</v>
      </c>
      <c r="D462" t="s">
        <v>6172</v>
      </c>
      <c r="E462" s="2">
        <v>3</v>
      </c>
      <c r="F462" s="2" t="str">
        <f>_xlfn.XLOOKUP(Orders[[#This Row],[Customer ID]],customers!A:A,customers!B:B)</f>
        <v>Araldo Bilbrook</v>
      </c>
      <c r="G462" s="2" t="str" cm="1">
        <f t="array" ref="G462">IF(_xlfn.XLOOKUP(C462,customers!A461:$A$1001,customers!C461:$C$1001,,0)=0,"",_xlfn.XLOOKUP(C462,customers!A461:$A$1001,customers!C461:$C$1001,,0))</f>
        <v>abilbrookcs@booking.com</v>
      </c>
      <c r="H462" s="2" t="str" cm="1">
        <f t="array" ref="H462">_xlfn.XLOOKUP(C462,customers!A461:$A$1001,customers!G461:$G$1001,"Ireland",0)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7"/>
        <v>16.11</v>
      </c>
      <c r="N462" t="str" cm="1">
        <f t="array" ref="N462">_xlfn.IFS(I462="Rob","Robusta",I462="Exc","Excelsa",I462="Ara","Arabica",I462="Lib","Liberica")</f>
        <v>Robusta</v>
      </c>
      <c r="O462" t="str" cm="1">
        <f t="array" ref="O462">_xlfn.IFS(J462="M","Midium",J462="L","Light",J462="D","Dark")</f>
        <v>Dark</v>
      </c>
      <c r="P462" t="str">
        <f>_xlfn.XLOOKUP(Orders[[#This Row],[Customer ID]],customers!A:A,customers!I:I,,0)</f>
        <v>Yes</v>
      </c>
      <c r="Q462" t="str">
        <f>_xlfn.XLOOKUP(C463,customers!A:A,customers!B:B,"مش موجود")</f>
        <v>Ransell McKall</v>
      </c>
    </row>
    <row r="463" spans="1:17" x14ac:dyDescent="0.25">
      <c r="A463" s="2" t="s">
        <v>3094</v>
      </c>
      <c r="B463" s="3">
        <v>44036</v>
      </c>
      <c r="C463" s="2" t="s">
        <v>3095</v>
      </c>
      <c r="D463" t="s">
        <v>6163</v>
      </c>
      <c r="E463" s="2">
        <v>4</v>
      </c>
      <c r="F463" s="2" t="str">
        <f>_xlfn.XLOOKUP(Orders[[#This Row],[Customer ID]],customers!A:A,customers!B:B)</f>
        <v>Ransell McKall</v>
      </c>
      <c r="G463" s="2" t="str" cm="1">
        <f t="array" ref="G463">IF(_xlfn.XLOOKUP(C463,customers!A462:$A$1001,customers!C462:$C$1001,,0)=0,"",_xlfn.XLOOKUP(C463,customers!A462:$A$1001,customers!C462:$C$1001,,0))</f>
        <v>rmckallct@sakura.ne.jp</v>
      </c>
      <c r="H463" s="2" t="str" cm="1">
        <f t="array" ref="H463">_xlfn.XLOOKUP(C463,customers!A462:$A$1001,customers!G462:$G$1001,"Ireland",0)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7"/>
        <v>10.739999999999998</v>
      </c>
      <c r="N463" t="str" cm="1">
        <f t="array" ref="N463">_xlfn.IFS(I463="Rob","Robusta",I463="Exc","Excelsa",I463="Ara","Arabica",I463="Lib","Liberica")</f>
        <v>Robusta</v>
      </c>
      <c r="O463" t="str" cm="1">
        <f t="array" ref="O463">_xlfn.IFS(J463="M","Midium",J463="L","Light",J463="D","Dark")</f>
        <v>Dark</v>
      </c>
      <c r="P463" t="str">
        <f>_xlfn.XLOOKUP(Orders[[#This Row],[Customer ID]],customers!A:A,customers!I:I,,0)</f>
        <v>Yes</v>
      </c>
      <c r="Q463" t="str">
        <f>_xlfn.XLOOKUP(C464,customers!A:A,customers!B:B,"مش موجود")</f>
        <v>Borg Daile</v>
      </c>
    </row>
    <row r="464" spans="1:17" x14ac:dyDescent="0.25">
      <c r="A464" s="2" t="s">
        <v>3100</v>
      </c>
      <c r="B464" s="3">
        <v>44124</v>
      </c>
      <c r="C464" s="2" t="s">
        <v>3101</v>
      </c>
      <c r="D464" t="s">
        <v>6147</v>
      </c>
      <c r="E464" s="2">
        <v>5</v>
      </c>
      <c r="F464" s="2" t="str">
        <f>_xlfn.XLOOKUP(Orders[[#This Row],[Customer ID]],customers!A:A,customers!B:B)</f>
        <v>Borg Daile</v>
      </c>
      <c r="G464" s="2" t="str" cm="1">
        <f t="array" ref="G464">IF(_xlfn.XLOOKUP(C464,customers!A463:$A$1001,customers!C463:$C$1001,,0)=0,"",_xlfn.XLOOKUP(C464,customers!A463:$A$1001,customers!C463:$C$1001,,0))</f>
        <v>bdailecu@vistaprint.com</v>
      </c>
      <c r="H464" s="2" t="str" cm="1">
        <f t="array" ref="H464">_xlfn.XLOOKUP(C464,customers!A463:$A$1001,customers!G463:$G$1001,"Ireland",0)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7"/>
        <v>49.75</v>
      </c>
      <c r="N464" t="str" cm="1">
        <f t="array" ref="N464">_xlfn.IFS(I464="Rob","Robusta",I464="Exc","Excelsa",I464="Ara","Arabica",I464="Lib","Liberica")</f>
        <v>Arabica</v>
      </c>
      <c r="O464" t="str" cm="1">
        <f t="array" ref="O464">_xlfn.IFS(J464="M","Midium",J464="L","Light",J464="D","Dark")</f>
        <v>Dark</v>
      </c>
      <c r="P464" t="str">
        <f>_xlfn.XLOOKUP(Orders[[#This Row],[Customer ID]],customers!A:A,customers!I:I,,0)</f>
        <v>Yes</v>
      </c>
      <c r="Q464" t="str">
        <f>_xlfn.XLOOKUP(C465,customers!A:A,customers!B:B,"مش موجود")</f>
        <v>Adolphe Treherne</v>
      </c>
    </row>
    <row r="465" spans="1:17" x14ac:dyDescent="0.25">
      <c r="A465" s="2" t="s">
        <v>3106</v>
      </c>
      <c r="B465" s="3">
        <v>43730</v>
      </c>
      <c r="C465" s="2" t="s">
        <v>3107</v>
      </c>
      <c r="D465" t="s">
        <v>6141</v>
      </c>
      <c r="E465" s="2">
        <v>2</v>
      </c>
      <c r="F465" s="2" t="str">
        <f>_xlfn.XLOOKUP(Orders[[#This Row],[Customer ID]],customers!A:A,customers!B:B)</f>
        <v>Adolphe Treherne</v>
      </c>
      <c r="G465" s="2" t="str" cm="1">
        <f t="array" ref="G465">IF(_xlfn.XLOOKUP(C465,customers!A464:$A$1001,customers!C464:$C$1001,,0)=0,"",_xlfn.XLOOKUP(C465,customers!A464:$A$1001,customers!C464:$C$1001,,0))</f>
        <v>atrehernecv@state.tx.us</v>
      </c>
      <c r="H465" s="2" t="str" cm="1">
        <f t="array" ref="H465">_xlfn.XLOOKUP(C465,customers!A464:$A$1001,customers!G464:$G$1001,"Ireland",0)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7"/>
        <v>27.5</v>
      </c>
      <c r="N465" t="str" cm="1">
        <f t="array" ref="N465">_xlfn.IFS(I465="Rob","Robusta",I465="Exc","Excelsa",I465="Ara","Arabica",I465="Lib","Liberica")</f>
        <v>Excelsa</v>
      </c>
      <c r="O465" t="str" cm="1">
        <f t="array" ref="O465">_xlfn.IFS(J465="M","Midium",J465="L","Light",J465="D","Dark")</f>
        <v>Midium</v>
      </c>
      <c r="P465" t="str">
        <f>_xlfn.XLOOKUP(Orders[[#This Row],[Customer ID]],customers!A:A,customers!I:I,,0)</f>
        <v>No</v>
      </c>
      <c r="Q465" t="str">
        <f>_xlfn.XLOOKUP(C466,customers!A:A,customers!B:B,"مش موجود")</f>
        <v>Annetta Brentnall</v>
      </c>
    </row>
    <row r="466" spans="1:17" x14ac:dyDescent="0.25">
      <c r="A466" s="2" t="s">
        <v>3112</v>
      </c>
      <c r="B466" s="3">
        <v>43989</v>
      </c>
      <c r="C466" s="2" t="s">
        <v>3113</v>
      </c>
      <c r="D466" t="s">
        <v>6165</v>
      </c>
      <c r="E466" s="2">
        <v>4</v>
      </c>
      <c r="F466" s="2" t="str">
        <f>_xlfn.XLOOKUP(Orders[[#This Row],[Customer ID]],customers!A:A,customers!B:B)</f>
        <v>Annetta Brentnall</v>
      </c>
      <c r="G466" s="2" t="str" cm="1">
        <f t="array" ref="G466">IF(_xlfn.XLOOKUP(C466,customers!A465:$A$1001,customers!C465:$C$1001,,0)=0,"",_xlfn.XLOOKUP(C466,customers!A465:$A$1001,customers!C465:$C$1001,,0))</f>
        <v>abrentnallcw@biglobe.ne.jp</v>
      </c>
      <c r="H466" s="2" t="str" cm="1">
        <f t="array" ref="H466">_xlfn.XLOOKUP(C466,customers!A465:$A$1001,customers!G465:$G$1001,"Ireland",0)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7"/>
        <v>119.13999999999999</v>
      </c>
      <c r="N466" t="str" cm="1">
        <f t="array" ref="N466">_xlfn.IFS(I466="Rob","Robusta",I466="Exc","Excelsa",I466="Ara","Arabica",I466="Lib","Liberica")</f>
        <v>Liberica</v>
      </c>
      <c r="O466" t="str" cm="1">
        <f t="array" ref="O466">_xlfn.IFS(J466="M","Midium",J466="L","Light",J466="D","Dark")</f>
        <v>Dark</v>
      </c>
      <c r="P466" t="str">
        <f>_xlfn.XLOOKUP(Orders[[#This Row],[Customer ID]],customers!A:A,customers!I:I,,0)</f>
        <v>No</v>
      </c>
      <c r="Q466" t="str">
        <f>_xlfn.XLOOKUP(C467,customers!A:A,customers!B:B,"مش موجود")</f>
        <v>Dick Drinkall</v>
      </c>
    </row>
    <row r="467" spans="1:17" x14ac:dyDescent="0.25">
      <c r="A467" s="2" t="s">
        <v>3118</v>
      </c>
      <c r="B467" s="3">
        <v>43814</v>
      </c>
      <c r="C467" s="2" t="s">
        <v>3119</v>
      </c>
      <c r="D467" t="s">
        <v>6149</v>
      </c>
      <c r="E467" s="2">
        <v>1</v>
      </c>
      <c r="F467" s="2" t="str">
        <f>_xlfn.XLOOKUP(Orders[[#This Row],[Customer ID]],customers!A:A,customers!B:B)</f>
        <v>Dick Drinkall</v>
      </c>
      <c r="G467" s="2" t="str" cm="1">
        <f t="array" ref="G467">IF(_xlfn.XLOOKUP(C467,customers!A466:$A$1001,customers!C466:$C$1001,,0)=0,"",_xlfn.XLOOKUP(C467,customers!A466:$A$1001,customers!C466:$C$1001,,0))</f>
        <v>ddrinkallcx@psu.edu</v>
      </c>
      <c r="H467" s="2" t="str" cm="1">
        <f t="array" ref="H467">_xlfn.XLOOKUP(C467,customers!A466:$A$1001,customers!G466:$G$1001,"Ireland",0)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7"/>
        <v>20.584999999999997</v>
      </c>
      <c r="N467" t="str" cm="1">
        <f t="array" ref="N467">_xlfn.IFS(I467="Rob","Robusta",I467="Exc","Excelsa",I467="Ara","Arabica",I467="Lib","Liberica")</f>
        <v>Robusta</v>
      </c>
      <c r="O467" t="str" cm="1">
        <f t="array" ref="O467">_xlfn.IFS(J467="M","Midium",J467="L","Light",J467="D","Dark")</f>
        <v>Dark</v>
      </c>
      <c r="P467" t="str">
        <f>_xlfn.XLOOKUP(Orders[[#This Row],[Customer ID]],customers!A:A,customers!I:I,,0)</f>
        <v>Yes</v>
      </c>
      <c r="Q467" t="str">
        <f>_xlfn.XLOOKUP(C468,customers!A:A,customers!B:B,"مش موجود")</f>
        <v>Dagny Kornel</v>
      </c>
    </row>
    <row r="468" spans="1:17" x14ac:dyDescent="0.25">
      <c r="A468" s="2" t="s">
        <v>3124</v>
      </c>
      <c r="B468" s="3">
        <v>44171</v>
      </c>
      <c r="C468" s="2" t="s">
        <v>3125</v>
      </c>
      <c r="D468" t="s">
        <v>6154</v>
      </c>
      <c r="E468" s="2">
        <v>3</v>
      </c>
      <c r="F468" s="2" t="str">
        <f>_xlfn.XLOOKUP(Orders[[#This Row],[Customer ID]],customers!A:A,customers!B:B)</f>
        <v>Dagny Kornel</v>
      </c>
      <c r="G468" s="2" t="str" cm="1">
        <f t="array" ref="G468">IF(_xlfn.XLOOKUP(C468,customers!A467:$A$1001,customers!C467:$C$1001,,0)=0,"",_xlfn.XLOOKUP(C468,customers!A467:$A$1001,customers!C467:$C$1001,,0))</f>
        <v>dkornelcy@cyberchimps.com</v>
      </c>
      <c r="H468" s="2" t="str" cm="1">
        <f t="array" ref="H468">_xlfn.XLOOKUP(C468,customers!A467:$A$1001,customers!G467:$G$1001,"Ireland",0)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7"/>
        <v>8.9550000000000001</v>
      </c>
      <c r="N468" t="str" cm="1">
        <f t="array" ref="N468">_xlfn.IFS(I468="Rob","Robusta",I468="Exc","Excelsa",I468="Ara","Arabica",I468="Lib","Liberica")</f>
        <v>Arabica</v>
      </c>
      <c r="O468" t="str" cm="1">
        <f t="array" ref="O468">_xlfn.IFS(J468="M","Midium",J468="L","Light",J468="D","Dark")</f>
        <v>Dark</v>
      </c>
      <c r="P468" t="str">
        <f>_xlfn.XLOOKUP(Orders[[#This Row],[Customer ID]],customers!A:A,customers!I:I,,0)</f>
        <v>Yes</v>
      </c>
      <c r="Q468" t="str">
        <f>_xlfn.XLOOKUP(C469,customers!A:A,customers!B:B,"مش موجود")</f>
        <v>Rhona Lequeux</v>
      </c>
    </row>
    <row r="469" spans="1:17" x14ac:dyDescent="0.25">
      <c r="A469" s="2" t="s">
        <v>3130</v>
      </c>
      <c r="B469" s="3">
        <v>44536</v>
      </c>
      <c r="C469" s="2" t="s">
        <v>3131</v>
      </c>
      <c r="D469" t="s">
        <v>6158</v>
      </c>
      <c r="E469" s="2">
        <v>1</v>
      </c>
      <c r="F469" s="2" t="str">
        <f>_xlfn.XLOOKUP(Orders[[#This Row],[Customer ID]],customers!A:A,customers!B:B)</f>
        <v>Rhona Lequeux</v>
      </c>
      <c r="G469" s="2" t="str" cm="1">
        <f t="array" ref="G469">IF(_xlfn.XLOOKUP(C469,customers!A468:$A$1001,customers!C468:$C$1001,,0)=0,"",_xlfn.XLOOKUP(C469,customers!A468:$A$1001,customers!C468:$C$1001,,0))</f>
        <v>rlequeuxcz@newyorker.com</v>
      </c>
      <c r="H469" s="2" t="str" cm="1">
        <f t="array" ref="H469">_xlfn.XLOOKUP(C469,customers!A468:$A$1001,customers!G468:$G$1001,"Ireland",0)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7"/>
        <v>5.97</v>
      </c>
      <c r="N469" t="str" cm="1">
        <f t="array" ref="N469">_xlfn.IFS(I469="Rob","Robusta",I469="Exc","Excelsa",I469="Ara","Arabica",I469="Lib","Liberica")</f>
        <v>Arabica</v>
      </c>
      <c r="O469" t="str" cm="1">
        <f t="array" ref="O469">_xlfn.IFS(J469="M","Midium",J469="L","Light",J469="D","Dark")</f>
        <v>Dark</v>
      </c>
      <c r="P469" t="str">
        <f>_xlfn.XLOOKUP(Orders[[#This Row],[Customer ID]],customers!A:A,customers!I:I,,0)</f>
        <v>No</v>
      </c>
      <c r="Q469" t="str">
        <f>_xlfn.XLOOKUP(C470,customers!A:A,customers!B:B,"مش موجود")</f>
        <v>Julius Mccaull</v>
      </c>
    </row>
    <row r="470" spans="1:17" x14ac:dyDescent="0.25">
      <c r="A470" s="2" t="s">
        <v>3136</v>
      </c>
      <c r="B470" s="3">
        <v>44023</v>
      </c>
      <c r="C470" s="2" t="s">
        <v>3137</v>
      </c>
      <c r="D470" t="s">
        <v>6141</v>
      </c>
      <c r="E470" s="2">
        <v>3</v>
      </c>
      <c r="F470" s="2" t="str">
        <f>_xlfn.XLOOKUP(Orders[[#This Row],[Customer ID]],customers!A:A,customers!B:B)</f>
        <v>Julius Mccaull</v>
      </c>
      <c r="G470" s="2" t="str" cm="1">
        <f t="array" ref="G470">IF(_xlfn.XLOOKUP(C470,customers!A469:$A$1001,customers!C469:$C$1001,,0)=0,"",_xlfn.XLOOKUP(C470,customers!A469:$A$1001,customers!C469:$C$1001,,0))</f>
        <v>jmccaulld0@parallels.com</v>
      </c>
      <c r="H470" s="2" t="str" cm="1">
        <f t="array" ref="H470">_xlfn.XLOOKUP(C470,customers!A469:$A$1001,customers!G469:$G$1001,"Ireland",0)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7"/>
        <v>41.25</v>
      </c>
      <c r="N470" t="str" cm="1">
        <f t="array" ref="N470">_xlfn.IFS(I470="Rob","Robusta",I470="Exc","Excelsa",I470="Ara","Arabica",I470="Lib","Liberica")</f>
        <v>Excelsa</v>
      </c>
      <c r="O470" t="str" cm="1">
        <f t="array" ref="O470">_xlfn.IFS(J470="M","Midium",J470="L","Light",J470="D","Dark")</f>
        <v>Midium</v>
      </c>
      <c r="P470" t="str">
        <f>_xlfn.XLOOKUP(Orders[[#This Row],[Customer ID]],customers!A:A,customers!I:I,,0)</f>
        <v>Yes</v>
      </c>
      <c r="Q470" t="str">
        <f>_xlfn.XLOOKUP(C471,customers!A:A,customers!B:B,"مش موجود")</f>
        <v>Ailey Brash</v>
      </c>
    </row>
    <row r="471" spans="1:17" x14ac:dyDescent="0.25">
      <c r="A471" s="2" t="s">
        <v>3141</v>
      </c>
      <c r="B471" s="3">
        <v>44375</v>
      </c>
      <c r="C471" s="2" t="s">
        <v>3194</v>
      </c>
      <c r="D471" t="s">
        <v>6184</v>
      </c>
      <c r="E471" s="2">
        <v>5</v>
      </c>
      <c r="F471" s="2" t="str">
        <f>_xlfn.XLOOKUP(Orders[[#This Row],[Customer ID]],customers!A:A,customers!B:B)</f>
        <v>Ailey Brash</v>
      </c>
      <c r="G471" s="2" t="str" cm="1">
        <f t="array" ref="G471">IF(_xlfn.XLOOKUP(C471,customers!A470:$A$1001,customers!C470:$C$1001,,0)=0,"",_xlfn.XLOOKUP(C471,customers!A470:$A$1001,customers!C470:$C$1001,,0))</f>
        <v>abrashda@plala.or.jp</v>
      </c>
      <c r="H471" s="2" t="str" cm="1">
        <f t="array" ref="H471">_xlfn.XLOOKUP(C471,customers!A470:$A$1001,customers!G470:$G$1001,"Ireland",0)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7"/>
        <v>22.274999999999999</v>
      </c>
      <c r="N471" t="str" cm="1">
        <f t="array" ref="N471">_xlfn.IFS(I471="Rob","Robusta",I471="Exc","Excelsa",I471="Ara","Arabica",I471="Lib","Liberica")</f>
        <v>Excelsa</v>
      </c>
      <c r="O471" t="str" cm="1">
        <f t="array" ref="O471">_xlfn.IFS(J471="M","Midium",J471="L","Light",J471="D","Dark")</f>
        <v>Light</v>
      </c>
      <c r="P471" t="str">
        <f>_xlfn.XLOOKUP(Orders[[#This Row],[Customer ID]],customers!A:A,customers!I:I,,0)</f>
        <v>Yes</v>
      </c>
      <c r="Q471" t="str">
        <f>_xlfn.XLOOKUP(C472,customers!A:A,customers!B:B,"مش موجود")</f>
        <v>Alberto Hutchinson</v>
      </c>
    </row>
    <row r="472" spans="1:17" x14ac:dyDescent="0.25">
      <c r="A472" s="2" t="s">
        <v>3147</v>
      </c>
      <c r="B472" s="3">
        <v>44656</v>
      </c>
      <c r="C472" s="2" t="s">
        <v>3148</v>
      </c>
      <c r="D472" t="s">
        <v>6157</v>
      </c>
      <c r="E472" s="2">
        <v>1</v>
      </c>
      <c r="F472" s="2" t="str">
        <f>_xlfn.XLOOKUP(Orders[[#This Row],[Customer ID]],customers!A:A,customers!B:B)</f>
        <v>Alberto Hutchinson</v>
      </c>
      <c r="G472" s="2" t="str" cm="1">
        <f t="array" ref="G472">IF(_xlfn.XLOOKUP(C472,customers!A471:$A$1001,customers!C471:$C$1001,,0)=0,"",_xlfn.XLOOKUP(C472,customers!A471:$A$1001,customers!C471:$C$1001,,0))</f>
        <v>ahutchinsond2@imgur.com</v>
      </c>
      <c r="H472" s="2" t="str" cm="1">
        <f t="array" ref="H472">_xlfn.XLOOKUP(C472,customers!A471:$A$1001,customers!G471:$G$1001,"Ireland",0)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7"/>
        <v>6.75</v>
      </c>
      <c r="N472" t="str" cm="1">
        <f t="array" ref="N472">_xlfn.IFS(I472="Rob","Robusta",I472="Exc","Excelsa",I472="Ara","Arabica",I472="Lib","Liberica")</f>
        <v>Arabica</v>
      </c>
      <c r="O472" t="str" cm="1">
        <f t="array" ref="O472">_xlfn.IFS(J472="M","Midium",J472="L","Light",J472="D","Dark")</f>
        <v>Midium</v>
      </c>
      <c r="P472" t="str">
        <f>_xlfn.XLOOKUP(Orders[[#This Row],[Customer ID]],customers!A:A,customers!I:I,,0)</f>
        <v>Yes</v>
      </c>
      <c r="Q472" t="str">
        <f>_xlfn.XLOOKUP(C473,customers!A:A,customers!B:B,"مش موجود")</f>
        <v>Lamond Gheeraert</v>
      </c>
    </row>
    <row r="473" spans="1:17" x14ac:dyDescent="0.25">
      <c r="A473" s="2" t="s">
        <v>3153</v>
      </c>
      <c r="B473" s="3">
        <v>44644</v>
      </c>
      <c r="C473" s="2" t="s">
        <v>3154</v>
      </c>
      <c r="D473" t="s">
        <v>6181</v>
      </c>
      <c r="E473" s="2">
        <v>4</v>
      </c>
      <c r="F473" s="2" t="str">
        <f>_xlfn.XLOOKUP(Orders[[#This Row],[Customer ID]],customers!A:A,customers!B:B)</f>
        <v>Lamond Gheeraert</v>
      </c>
      <c r="G473" s="2" t="str" cm="1">
        <f t="array" ref="G473">IF(_xlfn.XLOOKUP(C473,customers!A472:$A$1001,customers!C472:$C$1001,,0)=0,"",_xlfn.XLOOKUP(C473,customers!A472:$A$1001,customers!C472:$C$1001,,0))</f>
        <v/>
      </c>
      <c r="H473" s="2" t="str" cm="1">
        <f t="array" ref="H473">_xlfn.XLOOKUP(C473,customers!A472:$A$1001,customers!G472:$G$1001,"Ireland",0)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7"/>
        <v>133.85999999999999</v>
      </c>
      <c r="N473" t="str" cm="1">
        <f t="array" ref="N473">_xlfn.IFS(I473="Rob","Robusta",I473="Exc","Excelsa",I473="Ara","Arabica",I473="Lib","Liberica")</f>
        <v>Liberica</v>
      </c>
      <c r="O473" t="str" cm="1">
        <f t="array" ref="O473">_xlfn.IFS(J473="M","Midium",J473="L","Light",J473="D","Dark")</f>
        <v>Midium</v>
      </c>
      <c r="P473" t="str">
        <f>_xlfn.XLOOKUP(Orders[[#This Row],[Customer ID]],customers!A:A,customers!I:I,,0)</f>
        <v>Yes</v>
      </c>
      <c r="Q473" t="str">
        <f>_xlfn.XLOOKUP(C474,customers!A:A,customers!B:B,"مش موجود")</f>
        <v>Roxine Drivers</v>
      </c>
    </row>
    <row r="474" spans="1:17" x14ac:dyDescent="0.25">
      <c r="A474" s="2" t="s">
        <v>3158</v>
      </c>
      <c r="B474" s="3">
        <v>43869</v>
      </c>
      <c r="C474" s="2" t="s">
        <v>3159</v>
      </c>
      <c r="D474" t="s">
        <v>6154</v>
      </c>
      <c r="E474" s="2">
        <v>2</v>
      </c>
      <c r="F474" s="2" t="str">
        <f>_xlfn.XLOOKUP(Orders[[#This Row],[Customer ID]],customers!A:A,customers!B:B)</f>
        <v>Roxine Drivers</v>
      </c>
      <c r="G474" s="2" t="str" cm="1">
        <f t="array" ref="G474">IF(_xlfn.XLOOKUP(C474,customers!A473:$A$1001,customers!C473:$C$1001,,0)=0,"",_xlfn.XLOOKUP(C474,customers!A473:$A$1001,customers!C473:$C$1001,,0))</f>
        <v>rdriversd4@hexun.com</v>
      </c>
      <c r="H474" s="2" t="str" cm="1">
        <f t="array" ref="H474">_xlfn.XLOOKUP(C474,customers!A473:$A$1001,customers!G473:$G$1001,"Ireland",0)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7"/>
        <v>5.97</v>
      </c>
      <c r="N474" t="str" cm="1">
        <f t="array" ref="N474">_xlfn.IFS(I474="Rob","Robusta",I474="Exc","Excelsa",I474="Ara","Arabica",I474="Lib","Liberica")</f>
        <v>Arabica</v>
      </c>
      <c r="O474" t="str" cm="1">
        <f t="array" ref="O474">_xlfn.IFS(J474="M","Midium",J474="L","Light",J474="D","Dark")</f>
        <v>Dark</v>
      </c>
      <c r="P474" t="str">
        <f>_xlfn.XLOOKUP(Orders[[#This Row],[Customer ID]],customers!A:A,customers!I:I,,0)</f>
        <v>No</v>
      </c>
      <c r="Q474" t="str">
        <f>_xlfn.XLOOKUP(C475,customers!A:A,customers!B:B,"مش موجود")</f>
        <v>Heloise Zeal</v>
      </c>
    </row>
    <row r="475" spans="1:17" x14ac:dyDescent="0.25">
      <c r="A475" s="2" t="s">
        <v>3164</v>
      </c>
      <c r="B475" s="3">
        <v>44603</v>
      </c>
      <c r="C475" s="2" t="s">
        <v>3165</v>
      </c>
      <c r="D475" t="s">
        <v>6140</v>
      </c>
      <c r="E475" s="2">
        <v>2</v>
      </c>
      <c r="F475" s="2" t="str">
        <f>_xlfn.XLOOKUP(Orders[[#This Row],[Customer ID]],customers!A:A,customers!B:B)</f>
        <v>Heloise Zeal</v>
      </c>
      <c r="G475" s="2" t="str" cm="1">
        <f t="array" ref="G475">IF(_xlfn.XLOOKUP(C475,customers!A474:$A$1001,customers!C474:$C$1001,,0)=0,"",_xlfn.XLOOKUP(C475,customers!A474:$A$1001,customers!C474:$C$1001,,0))</f>
        <v>hzeald5@google.de</v>
      </c>
      <c r="H475" s="2" t="str" cm="1">
        <f t="array" ref="H475">_xlfn.XLOOKUP(C475,customers!A474:$A$1001,customers!G474:$G$1001,"Ireland",0)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7"/>
        <v>25.9</v>
      </c>
      <c r="N475" t="str" cm="1">
        <f t="array" ref="N475">_xlfn.IFS(I475="Rob","Robusta",I475="Exc","Excelsa",I475="Ara","Arabica",I475="Lib","Liberica")</f>
        <v>Arabica</v>
      </c>
      <c r="O475" t="str" cm="1">
        <f t="array" ref="O475">_xlfn.IFS(J475="M","Midium",J475="L","Light",J475="D","Dark")</f>
        <v>Light</v>
      </c>
      <c r="P475" t="str">
        <f>_xlfn.XLOOKUP(Orders[[#This Row],[Customer ID]],customers!A:A,customers!I:I,,0)</f>
        <v>No</v>
      </c>
      <c r="Q475" t="str">
        <f>_xlfn.XLOOKUP(C476,customers!A:A,customers!B:B,"مش موجود")</f>
        <v>Granger Smallcombe</v>
      </c>
    </row>
    <row r="476" spans="1:17" x14ac:dyDescent="0.25">
      <c r="A476" s="2" t="s">
        <v>3170</v>
      </c>
      <c r="B476" s="3">
        <v>44014</v>
      </c>
      <c r="C476" s="2" t="s">
        <v>3171</v>
      </c>
      <c r="D476" t="s">
        <v>6166</v>
      </c>
      <c r="E476" s="2">
        <v>1</v>
      </c>
      <c r="F476" s="2" t="str">
        <f>_xlfn.XLOOKUP(Orders[[#This Row],[Customer ID]],customers!A:A,customers!B:B)</f>
        <v>Granger Smallcombe</v>
      </c>
      <c r="G476" s="2" t="str" cm="1">
        <f t="array" ref="G476">IF(_xlfn.XLOOKUP(C476,customers!A475:$A$1001,customers!C475:$C$1001,,0)=0,"",_xlfn.XLOOKUP(C476,customers!A475:$A$1001,customers!C475:$C$1001,,0))</f>
        <v>gsmallcombed6@ucla.edu</v>
      </c>
      <c r="H476" s="2" t="str" cm="1">
        <f t="array" ref="H476">_xlfn.XLOOKUP(C476,customers!A475:$A$1001,customers!G475:$G$1001,"Ireland",0)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7"/>
        <v>31.624999999999996</v>
      </c>
      <c r="N476" t="str" cm="1">
        <f t="array" ref="N476">_xlfn.IFS(I476="Rob","Robusta",I476="Exc","Excelsa",I476="Ara","Arabica",I476="Lib","Liberica")</f>
        <v>Excelsa</v>
      </c>
      <c r="O476" t="str" cm="1">
        <f t="array" ref="O476">_xlfn.IFS(J476="M","Midium",J476="L","Light",J476="D","Dark")</f>
        <v>Midium</v>
      </c>
      <c r="P476" t="str">
        <f>_xlfn.XLOOKUP(Orders[[#This Row],[Customer ID]],customers!A:A,customers!I:I,,0)</f>
        <v>Yes</v>
      </c>
      <c r="Q476" t="str">
        <f>_xlfn.XLOOKUP(C477,customers!A:A,customers!B:B,"مش موجود")</f>
        <v>Daryn Dibley</v>
      </c>
    </row>
    <row r="477" spans="1:17" x14ac:dyDescent="0.25">
      <c r="A477" s="2" t="s">
        <v>3176</v>
      </c>
      <c r="B477" s="3">
        <v>44767</v>
      </c>
      <c r="C477" s="2" t="s">
        <v>3177</v>
      </c>
      <c r="D477" t="s">
        <v>6159</v>
      </c>
      <c r="E477" s="2">
        <v>2</v>
      </c>
      <c r="F477" s="2" t="str">
        <f>_xlfn.XLOOKUP(Orders[[#This Row],[Customer ID]],customers!A:A,customers!B:B)</f>
        <v>Daryn Dibley</v>
      </c>
      <c r="G477" s="2" t="str" cm="1">
        <f t="array" ref="G477">IF(_xlfn.XLOOKUP(C477,customers!A476:$A$1001,customers!C476:$C$1001,,0)=0,"",_xlfn.XLOOKUP(C477,customers!A476:$A$1001,customers!C476:$C$1001,,0))</f>
        <v>ddibleyd7@feedburner.com</v>
      </c>
      <c r="H477" s="2" t="str" cm="1">
        <f t="array" ref="H477">_xlfn.XLOOKUP(C477,customers!A476:$A$1001,customers!G476:$G$1001,"Ireland",0)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7"/>
        <v>8.73</v>
      </c>
      <c r="N477" t="str" cm="1">
        <f t="array" ref="N477">_xlfn.IFS(I477="Rob","Robusta",I477="Exc","Excelsa",I477="Ara","Arabica",I477="Lib","Liberica")</f>
        <v>Liberica</v>
      </c>
      <c r="O477" t="str" cm="1">
        <f t="array" ref="O477">_xlfn.IFS(J477="M","Midium",J477="L","Light",J477="D","Dark")</f>
        <v>Midium</v>
      </c>
      <c r="P477" t="str">
        <f>_xlfn.XLOOKUP(Orders[[#This Row],[Customer ID]],customers!A:A,customers!I:I,,0)</f>
        <v>No</v>
      </c>
      <c r="Q477" t="str">
        <f>_xlfn.XLOOKUP(C478,customers!A:A,customers!B:B,"مش موجود")</f>
        <v>Gardy Dimitriou</v>
      </c>
    </row>
    <row r="478" spans="1:17" x14ac:dyDescent="0.25">
      <c r="A478" s="2" t="s">
        <v>3181</v>
      </c>
      <c r="B478" s="3">
        <v>44274</v>
      </c>
      <c r="C478" s="2" t="s">
        <v>3182</v>
      </c>
      <c r="D478" t="s">
        <v>6184</v>
      </c>
      <c r="E478" s="2">
        <v>6</v>
      </c>
      <c r="F478" s="2" t="str">
        <f>_xlfn.XLOOKUP(Orders[[#This Row],[Customer ID]],customers!A:A,customers!B:B)</f>
        <v>Gardy Dimitriou</v>
      </c>
      <c r="G478" s="2" t="str" cm="1">
        <f t="array" ref="G478">IF(_xlfn.XLOOKUP(C478,customers!A477:$A$1001,customers!C477:$C$1001,,0)=0,"",_xlfn.XLOOKUP(C478,customers!A477:$A$1001,customers!C477:$C$1001,,0))</f>
        <v>gdimitrioud8@chronoengine.com</v>
      </c>
      <c r="H478" s="2" t="str" cm="1">
        <f t="array" ref="H478">_xlfn.XLOOKUP(C478,customers!A477:$A$1001,customers!G477:$G$1001,"Ireland",0)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7"/>
        <v>26.73</v>
      </c>
      <c r="N478" t="str" cm="1">
        <f t="array" ref="N478">_xlfn.IFS(I478="Rob","Robusta",I478="Exc","Excelsa",I478="Ara","Arabica",I478="Lib","Liberica")</f>
        <v>Excelsa</v>
      </c>
      <c r="O478" t="str" cm="1">
        <f t="array" ref="O478">_xlfn.IFS(J478="M","Midium",J478="L","Light",J478="D","Dark")</f>
        <v>Light</v>
      </c>
      <c r="P478" t="str">
        <f>_xlfn.XLOOKUP(Orders[[#This Row],[Customer ID]],customers!A:A,customers!I:I,,0)</f>
        <v>Yes</v>
      </c>
      <c r="Q478" t="str">
        <f>_xlfn.XLOOKUP(C479,customers!A:A,customers!B:B,"مش موجود")</f>
        <v>Fanny Flanagan</v>
      </c>
    </row>
    <row r="479" spans="1:17" x14ac:dyDescent="0.25">
      <c r="A479" s="2" t="s">
        <v>3187</v>
      </c>
      <c r="B479" s="3">
        <v>43962</v>
      </c>
      <c r="C479" s="2" t="s">
        <v>3188</v>
      </c>
      <c r="D479" t="s">
        <v>6159</v>
      </c>
      <c r="E479" s="2">
        <v>6</v>
      </c>
      <c r="F479" s="2" t="str">
        <f>_xlfn.XLOOKUP(Orders[[#This Row],[Customer ID]],customers!A:A,customers!B:B)</f>
        <v>Fanny Flanagan</v>
      </c>
      <c r="G479" s="2" t="str" cm="1">
        <f t="array" ref="G479">IF(_xlfn.XLOOKUP(C479,customers!A478:$A$1001,customers!C478:$C$1001,,0)=0,"",_xlfn.XLOOKUP(C479,customers!A478:$A$1001,customers!C478:$C$1001,,0))</f>
        <v>fflanagand9@woothemes.com</v>
      </c>
      <c r="H479" s="2" t="str" cm="1">
        <f t="array" ref="H479">_xlfn.XLOOKUP(C479,customers!A478:$A$1001,customers!G478:$G$1001,"Ireland",0)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7"/>
        <v>26.19</v>
      </c>
      <c r="N479" t="str" cm="1">
        <f t="array" ref="N479">_xlfn.IFS(I479="Rob","Robusta",I479="Exc","Excelsa",I479="Ara","Arabica",I479="Lib","Liberica")</f>
        <v>Liberica</v>
      </c>
      <c r="O479" t="str" cm="1">
        <f t="array" ref="O479">_xlfn.IFS(J479="M","Midium",J479="L","Light",J479="D","Dark")</f>
        <v>Midium</v>
      </c>
      <c r="P479" t="str">
        <f>_xlfn.XLOOKUP(Orders[[#This Row],[Customer ID]],customers!A:A,customers!I:I,,0)</f>
        <v>No</v>
      </c>
      <c r="Q479" t="str">
        <f>_xlfn.XLOOKUP(C480,customers!A:A,customers!B:B,"مش موجود")</f>
        <v>Ailey Brash</v>
      </c>
    </row>
    <row r="480" spans="1:17" x14ac:dyDescent="0.25">
      <c r="A480" s="2" t="s">
        <v>3193</v>
      </c>
      <c r="B480" s="3">
        <v>43624</v>
      </c>
      <c r="C480" s="2" t="s">
        <v>3194</v>
      </c>
      <c r="D480" t="s">
        <v>6177</v>
      </c>
      <c r="E480" s="2">
        <v>6</v>
      </c>
      <c r="F480" s="2" t="str">
        <f>_xlfn.XLOOKUP(Orders[[#This Row],[Customer ID]],customers!A:A,customers!B:B)</f>
        <v>Ailey Brash</v>
      </c>
      <c r="G480" s="2" t="str" cm="1">
        <f t="array" ref="G480">IF(_xlfn.XLOOKUP(C480,customers!A479:$A$1001,customers!C479:$C$1001,,0)=0,"",_xlfn.XLOOKUP(C480,customers!A479:$A$1001,customers!C479:$C$1001,,0))</f>
        <v>abrashda@plala.or.jp</v>
      </c>
      <c r="H480" s="2" t="str" cm="1">
        <f t="array" ref="H480">_xlfn.XLOOKUP(C480,customers!A479:$A$1001,customers!G479:$G$1001,"Ireland",0)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7"/>
        <v>53.699999999999996</v>
      </c>
      <c r="N480" t="str" cm="1">
        <f t="array" ref="N480">_xlfn.IFS(I480="Rob","Robusta",I480="Exc","Excelsa",I480="Ara","Arabica",I480="Lib","Liberica")</f>
        <v>Robusta</v>
      </c>
      <c r="O480" t="str" cm="1">
        <f t="array" ref="O480">_xlfn.IFS(J480="M","Midium",J480="L","Light",J480="D","Dark")</f>
        <v>Dark</v>
      </c>
      <c r="P480" t="str">
        <f>_xlfn.XLOOKUP(Orders[[#This Row],[Customer ID]],customers!A:A,customers!I:I,,0)</f>
        <v>Yes</v>
      </c>
      <c r="Q480" t="str">
        <f>_xlfn.XLOOKUP(C481,customers!A:A,customers!B:B,"مش موجود")</f>
        <v>Ailey Brash</v>
      </c>
    </row>
    <row r="481" spans="1:17" x14ac:dyDescent="0.25">
      <c r="A481" s="2" t="s">
        <v>3193</v>
      </c>
      <c r="B481" s="3">
        <v>43624</v>
      </c>
      <c r="C481" s="2" t="s">
        <v>3194</v>
      </c>
      <c r="D481" t="s">
        <v>6166</v>
      </c>
      <c r="E481" s="2">
        <v>4</v>
      </c>
      <c r="F481" s="2" t="str">
        <f>_xlfn.XLOOKUP(Orders[[#This Row],[Customer ID]],customers!A:A,customers!B:B)</f>
        <v>Ailey Brash</v>
      </c>
      <c r="G481" s="2" t="str" cm="1">
        <f t="array" ref="G481">IF(_xlfn.XLOOKUP(C481,customers!A480:$A$1001,customers!C480:$C$1001,,0)=0,"",_xlfn.XLOOKUP(C481,customers!A480:$A$1001,customers!C480:$C$1001,,0))</f>
        <v>abrashda@plala.or.jp</v>
      </c>
      <c r="H481" s="2" t="str" cm="1">
        <f t="array" ref="H481">_xlfn.XLOOKUP(C481,customers!A480:$A$1001,customers!G480:$G$1001,"Ireland",0)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7"/>
        <v>126.49999999999999</v>
      </c>
      <c r="N481" t="str" cm="1">
        <f t="array" ref="N481">_xlfn.IFS(I481="Rob","Robusta",I481="Exc","Excelsa",I481="Ara","Arabica",I481="Lib","Liberica")</f>
        <v>Excelsa</v>
      </c>
      <c r="O481" t="str" cm="1">
        <f t="array" ref="O481">_xlfn.IFS(J481="M","Midium",J481="L","Light",J481="D","Dark")</f>
        <v>Midium</v>
      </c>
      <c r="P481" t="str">
        <f>_xlfn.XLOOKUP(Orders[[#This Row],[Customer ID]],customers!A:A,customers!I:I,,0)</f>
        <v>Yes</v>
      </c>
      <c r="Q481" t="str">
        <f>_xlfn.XLOOKUP(C482,customers!A:A,customers!B:B,"مش موجود")</f>
        <v>Ailey Brash</v>
      </c>
    </row>
    <row r="482" spans="1:17" x14ac:dyDescent="0.25">
      <c r="A482" s="2" t="s">
        <v>3193</v>
      </c>
      <c r="B482" s="3">
        <v>43624</v>
      </c>
      <c r="C482" s="2" t="s">
        <v>3194</v>
      </c>
      <c r="D482" t="s">
        <v>6156</v>
      </c>
      <c r="E482" s="2">
        <v>1</v>
      </c>
      <c r="F482" s="2" t="str">
        <f>_xlfn.XLOOKUP(Orders[[#This Row],[Customer ID]],customers!A:A,customers!B:B)</f>
        <v>Ailey Brash</v>
      </c>
      <c r="G482" s="2" t="e" cm="1">
        <f t="array" ref="G482">IF(_xlfn.XLOOKUP(C482,customers!A481:$A$1001,customers!C481:$C$1001,,0)=0,"",_xlfn.XLOOKUP(C482,customers!A481:$A$1001,customers!C481:$C$1001,,0))</f>
        <v>#N/A</v>
      </c>
      <c r="H482" s="2" t="str" cm="1">
        <f t="array" ref="H482">_xlfn.XLOOKUP(C482,customers!A481:$A$1001,customers!G481:$G$1001,"Ireland",0)</f>
        <v>Ireland</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7"/>
        <v>4.125</v>
      </c>
      <c r="N482" t="str" cm="1">
        <f t="array" ref="N482">_xlfn.IFS(I482="Rob","Robusta",I482="Exc","Excelsa",I482="Ara","Arabica",I482="Lib","Liberica")</f>
        <v>Excelsa</v>
      </c>
      <c r="O482" t="str" cm="1">
        <f t="array" ref="O482">_xlfn.IFS(J482="M","Midium",J482="L","Light",J482="D","Dark")</f>
        <v>Midium</v>
      </c>
      <c r="P482" t="str">
        <f>_xlfn.XLOOKUP(Orders[[#This Row],[Customer ID]],customers!A:A,customers!I:I,,0)</f>
        <v>Yes</v>
      </c>
      <c r="Q482" t="str">
        <f>_xlfn.XLOOKUP(C483,customers!A:A,customers!B:B,"مش موجود")</f>
        <v>Nanny Izhakov</v>
      </c>
    </row>
    <row r="483" spans="1:17" x14ac:dyDescent="0.25">
      <c r="A483" s="2" t="s">
        <v>3208</v>
      </c>
      <c r="B483" s="3">
        <v>43747</v>
      </c>
      <c r="C483" s="2" t="s">
        <v>3209</v>
      </c>
      <c r="D483" t="s">
        <v>6179</v>
      </c>
      <c r="E483" s="2">
        <v>2</v>
      </c>
      <c r="F483" s="2" t="str">
        <f>_xlfn.XLOOKUP(Orders[[#This Row],[Customer ID]],customers!A:A,customers!B:B)</f>
        <v>Nanny Izhakov</v>
      </c>
      <c r="G483" s="2" t="str" cm="1">
        <f t="array" ref="G483">IF(_xlfn.XLOOKUP(C483,customers!A482:$A$1001,customers!C482:$C$1001,,0)=0,"",_xlfn.XLOOKUP(C483,customers!A482:$A$1001,customers!C482:$C$1001,,0))</f>
        <v>nizhakovdd@aol.com</v>
      </c>
      <c r="H483" s="2" t="str" cm="1">
        <f t="array" ref="H483">_xlfn.XLOOKUP(C483,customers!A482:$A$1001,customers!G482:$G$1001,"Ireland",0)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7"/>
        <v>23.9</v>
      </c>
      <c r="N483" t="str" cm="1">
        <f t="array" ref="N483">_xlfn.IFS(I483="Rob","Robusta",I483="Exc","Excelsa",I483="Ara","Arabica",I483="Lib","Liberica")</f>
        <v>Robusta</v>
      </c>
      <c r="O483" t="str" cm="1">
        <f t="array" ref="O483">_xlfn.IFS(J483="M","Midium",J483="L","Light",J483="D","Dark")</f>
        <v>Light</v>
      </c>
      <c r="P483" t="str">
        <f>_xlfn.XLOOKUP(Orders[[#This Row],[Customer ID]],customers!A:A,customers!I:I,,0)</f>
        <v>No</v>
      </c>
      <c r="Q483" t="str">
        <f>_xlfn.XLOOKUP(C484,customers!A:A,customers!B:B,"مش موجود")</f>
        <v>Stanly Keets</v>
      </c>
    </row>
    <row r="484" spans="1:17" x14ac:dyDescent="0.25">
      <c r="A484" s="2" t="s">
        <v>3214</v>
      </c>
      <c r="B484" s="3">
        <v>44247</v>
      </c>
      <c r="C484" s="2" t="s">
        <v>3215</v>
      </c>
      <c r="D484" t="s">
        <v>6185</v>
      </c>
      <c r="E484" s="2">
        <v>5</v>
      </c>
      <c r="F484" s="2" t="str">
        <f>_xlfn.XLOOKUP(Orders[[#This Row],[Customer ID]],customers!A:A,customers!B:B)</f>
        <v>Stanly Keets</v>
      </c>
      <c r="G484" s="2" t="str" cm="1">
        <f t="array" ref="G484">IF(_xlfn.XLOOKUP(C484,customers!A483:$A$1001,customers!C483:$C$1001,,0)=0,"",_xlfn.XLOOKUP(C484,customers!A483:$A$1001,customers!C483:$C$1001,,0))</f>
        <v>skeetsde@answers.com</v>
      </c>
      <c r="H484" s="2" t="str" cm="1">
        <f t="array" ref="H484">_xlfn.XLOOKUP(C484,customers!A483:$A$1001,customers!G483:$G$1001,"Ireland",0)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7"/>
        <v>139.72499999999999</v>
      </c>
      <c r="N484" t="str" cm="1">
        <f t="array" ref="N484">_xlfn.IFS(I484="Rob","Robusta",I484="Exc","Excelsa",I484="Ara","Arabica",I484="Lib","Liberica")</f>
        <v>Excelsa</v>
      </c>
      <c r="O484" t="str" cm="1">
        <f t="array" ref="O484">_xlfn.IFS(J484="M","Midium",J484="L","Light",J484="D","Dark")</f>
        <v>Dark</v>
      </c>
      <c r="P484" t="str">
        <f>_xlfn.XLOOKUP(Orders[[#This Row],[Customer ID]],customers!A:A,customers!I:I,,0)</f>
        <v>Yes</v>
      </c>
      <c r="Q484" t="str">
        <f>_xlfn.XLOOKUP(C485,customers!A:A,customers!B:B,"مش موجود")</f>
        <v>Orion Dyott</v>
      </c>
    </row>
    <row r="485" spans="1:17" x14ac:dyDescent="0.25">
      <c r="A485" s="2" t="s">
        <v>3220</v>
      </c>
      <c r="B485" s="3">
        <v>43790</v>
      </c>
      <c r="C485" s="2" t="s">
        <v>3221</v>
      </c>
      <c r="D485" t="s">
        <v>6165</v>
      </c>
      <c r="E485" s="2">
        <v>2</v>
      </c>
      <c r="F485" s="2" t="str">
        <f>_xlfn.XLOOKUP(Orders[[#This Row],[Customer ID]],customers!A:A,customers!B:B)</f>
        <v>Orion Dyott</v>
      </c>
      <c r="G485" s="2" t="str" cm="1">
        <f t="array" ref="G485">IF(_xlfn.XLOOKUP(C485,customers!A484:$A$1001,customers!C484:$C$1001,,0)=0,"",_xlfn.XLOOKUP(C485,customers!A484:$A$1001,customers!C484:$C$1001,,0))</f>
        <v/>
      </c>
      <c r="H485" s="2" t="str" cm="1">
        <f t="array" ref="H485">_xlfn.XLOOKUP(C485,customers!A484:$A$1001,customers!G484:$G$1001,"Ireland",0)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7"/>
        <v>59.569999999999993</v>
      </c>
      <c r="N485" t="str" cm="1">
        <f t="array" ref="N485">_xlfn.IFS(I485="Rob","Robusta",I485="Exc","Excelsa",I485="Ara","Arabica",I485="Lib","Liberica")</f>
        <v>Liberica</v>
      </c>
      <c r="O485" t="str" cm="1">
        <f t="array" ref="O485">_xlfn.IFS(J485="M","Midium",J485="L","Light",J485="D","Dark")</f>
        <v>Dark</v>
      </c>
      <c r="P485" t="str">
        <f>_xlfn.XLOOKUP(Orders[[#This Row],[Customer ID]],customers!A:A,customers!I:I,,0)</f>
        <v>Yes</v>
      </c>
      <c r="Q485" t="str">
        <f>_xlfn.XLOOKUP(C486,customers!A:A,customers!B:B,"مش موجود")</f>
        <v>Keefer Cake</v>
      </c>
    </row>
    <row r="486" spans="1:17" x14ac:dyDescent="0.25">
      <c r="A486" s="2" t="s">
        <v>3225</v>
      </c>
      <c r="B486" s="3">
        <v>44479</v>
      </c>
      <c r="C486" s="2" t="s">
        <v>3226</v>
      </c>
      <c r="D486" t="s">
        <v>6161</v>
      </c>
      <c r="E486" s="2">
        <v>6</v>
      </c>
      <c r="F486" s="2" t="str">
        <f>_xlfn.XLOOKUP(Orders[[#This Row],[Customer ID]],customers!A:A,customers!B:B)</f>
        <v>Keefer Cake</v>
      </c>
      <c r="G486" s="2" t="str" cm="1">
        <f t="array" ref="G486">IF(_xlfn.XLOOKUP(C486,customers!A485:$A$1001,customers!C485:$C$1001,,0)=0,"",_xlfn.XLOOKUP(C486,customers!A485:$A$1001,customers!C485:$C$1001,,0))</f>
        <v>kcakedg@huffingtonpost.com</v>
      </c>
      <c r="H486" s="2" t="str" cm="1">
        <f t="array" ref="H486">_xlfn.XLOOKUP(C486,customers!A485:$A$1001,customers!G485:$G$1001,"Ireland",0)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7"/>
        <v>57.06</v>
      </c>
      <c r="N486" t="str" cm="1">
        <f t="array" ref="N486">_xlfn.IFS(I486="Rob","Robusta",I486="Exc","Excelsa",I486="Ara","Arabica",I486="Lib","Liberica")</f>
        <v>Liberica</v>
      </c>
      <c r="O486" t="str" cm="1">
        <f t="array" ref="O486">_xlfn.IFS(J486="M","Midium",J486="L","Light",J486="D","Dark")</f>
        <v>Light</v>
      </c>
      <c r="P486" t="str">
        <f>_xlfn.XLOOKUP(Orders[[#This Row],[Customer ID]],customers!A:A,customers!I:I,,0)</f>
        <v>No</v>
      </c>
      <c r="Q486" t="str">
        <f>_xlfn.XLOOKUP(C487,customers!A:A,customers!B:B,"مش موجود")</f>
        <v>Morna Hansed</v>
      </c>
    </row>
    <row r="487" spans="1:17" x14ac:dyDescent="0.25">
      <c r="A487" s="2" t="s">
        <v>3230</v>
      </c>
      <c r="B487" s="3">
        <v>44413</v>
      </c>
      <c r="C487" s="2" t="s">
        <v>3231</v>
      </c>
      <c r="D487" t="s">
        <v>6178</v>
      </c>
      <c r="E487" s="2">
        <v>6</v>
      </c>
      <c r="F487" s="2" t="str">
        <f>_xlfn.XLOOKUP(Orders[[#This Row],[Customer ID]],customers!A:A,customers!B:B)</f>
        <v>Morna Hansed</v>
      </c>
      <c r="G487" s="2" t="str" cm="1">
        <f t="array" ref="G487">IF(_xlfn.XLOOKUP(C487,customers!A486:$A$1001,customers!C486:$C$1001,,0)=0,"",_xlfn.XLOOKUP(C487,customers!A486:$A$1001,customers!C486:$C$1001,,0))</f>
        <v>mhanseddh@instagram.com</v>
      </c>
      <c r="H487" s="2" t="str" cm="1">
        <f t="array" ref="H487">_xlfn.XLOOKUP(C487,customers!A486:$A$1001,customers!G486:$G$1001,"Ireland",0)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7"/>
        <v>21.509999999999998</v>
      </c>
      <c r="N487" t="str" cm="1">
        <f t="array" ref="N487">_xlfn.IFS(I487="Rob","Robusta",I487="Exc","Excelsa",I487="Ara","Arabica",I487="Lib","Liberica")</f>
        <v>Robusta</v>
      </c>
      <c r="O487" t="str" cm="1">
        <f t="array" ref="O487">_xlfn.IFS(J487="M","Midium",J487="L","Light",J487="D","Dark")</f>
        <v>Light</v>
      </c>
      <c r="P487" t="str">
        <f>_xlfn.XLOOKUP(Orders[[#This Row],[Customer ID]],customers!A:A,customers!I:I,,0)</f>
        <v>Yes</v>
      </c>
      <c r="Q487" t="str">
        <f>_xlfn.XLOOKUP(C488,customers!A:A,customers!B:B,"مش موجود")</f>
        <v>Franny Kienlein</v>
      </c>
    </row>
    <row r="488" spans="1:17" x14ac:dyDescent="0.25">
      <c r="A488" s="2" t="s">
        <v>3236</v>
      </c>
      <c r="B488" s="3">
        <v>44043</v>
      </c>
      <c r="C488" s="2" t="s">
        <v>3237</v>
      </c>
      <c r="D488" t="s">
        <v>6160</v>
      </c>
      <c r="E488" s="2">
        <v>6</v>
      </c>
      <c r="F488" s="2" t="str">
        <f>_xlfn.XLOOKUP(Orders[[#This Row],[Customer ID]],customers!A:A,customers!B:B)</f>
        <v>Franny Kienlein</v>
      </c>
      <c r="G488" s="2" t="str" cm="1">
        <f t="array" ref="G488">IF(_xlfn.XLOOKUP(C488,customers!A487:$A$1001,customers!C487:$C$1001,,0)=0,"",_xlfn.XLOOKUP(C488,customers!A487:$A$1001,customers!C487:$C$1001,,0))</f>
        <v>fkienleindi@trellian.com</v>
      </c>
      <c r="H488" s="2" t="str" cm="1">
        <f t="array" ref="H488">_xlfn.XLOOKUP(C488,customers!A487:$A$1001,customers!G487:$G$1001,"Ireland",0)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7"/>
        <v>52.38</v>
      </c>
      <c r="N488" t="str" cm="1">
        <f t="array" ref="N488">_xlfn.IFS(I488="Rob","Robusta",I488="Exc","Excelsa",I488="Ara","Arabica",I488="Lib","Liberica")</f>
        <v>Liberica</v>
      </c>
      <c r="O488" t="str" cm="1">
        <f t="array" ref="O488">_xlfn.IFS(J488="M","Midium",J488="L","Light",J488="D","Dark")</f>
        <v>Midium</v>
      </c>
      <c r="P488" t="str">
        <f>_xlfn.XLOOKUP(Orders[[#This Row],[Customer ID]],customers!A:A,customers!I:I,,0)</f>
        <v>Yes</v>
      </c>
      <c r="Q488" t="str">
        <f>_xlfn.XLOOKUP(C489,customers!A:A,customers!B:B,"مش موجود")</f>
        <v>Klarika Egglestone</v>
      </c>
    </row>
    <row r="489" spans="1:17" x14ac:dyDescent="0.25">
      <c r="A489" s="2" t="s">
        <v>3242</v>
      </c>
      <c r="B489" s="3">
        <v>44093</v>
      </c>
      <c r="C489" s="2" t="s">
        <v>3243</v>
      </c>
      <c r="D489" t="s">
        <v>6183</v>
      </c>
      <c r="E489" s="2">
        <v>6</v>
      </c>
      <c r="F489" s="2" t="str">
        <f>_xlfn.XLOOKUP(Orders[[#This Row],[Customer ID]],customers!A:A,customers!B:B)</f>
        <v>Klarika Egglestone</v>
      </c>
      <c r="G489" s="2" t="str" cm="1">
        <f t="array" ref="G489">IF(_xlfn.XLOOKUP(C489,customers!A488:$A$1001,customers!C488:$C$1001,,0)=0,"",_xlfn.XLOOKUP(C489,customers!A488:$A$1001,customers!C488:$C$1001,,0))</f>
        <v>kegglestonedj@sphinn.com</v>
      </c>
      <c r="H489" s="2" t="str" cm="1">
        <f t="array" ref="H489">_xlfn.XLOOKUP(C489,customers!A488:$A$1001,customers!G488:$G$1001,"Ireland",0)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7"/>
        <v>72.900000000000006</v>
      </c>
      <c r="N489" t="str" cm="1">
        <f t="array" ref="N489">_xlfn.IFS(I489="Rob","Robusta",I489="Exc","Excelsa",I489="Ara","Arabica",I489="Lib","Liberica")</f>
        <v>Excelsa</v>
      </c>
      <c r="O489" t="str" cm="1">
        <f t="array" ref="O489">_xlfn.IFS(J489="M","Midium",J489="L","Light",J489="D","Dark")</f>
        <v>Dark</v>
      </c>
      <c r="P489" t="str">
        <f>_xlfn.XLOOKUP(Orders[[#This Row],[Customer ID]],customers!A:A,customers!I:I,,0)</f>
        <v>No</v>
      </c>
      <c r="Q489" t="str">
        <f>_xlfn.XLOOKUP(C490,customers!A:A,customers!B:B,"مش موجود")</f>
        <v>Becky Semkins</v>
      </c>
    </row>
    <row r="490" spans="1:17" x14ac:dyDescent="0.25">
      <c r="A490" s="2" t="s">
        <v>3248</v>
      </c>
      <c r="B490" s="3">
        <v>43954</v>
      </c>
      <c r="C490" s="2" t="s">
        <v>3249</v>
      </c>
      <c r="D490" t="s">
        <v>6174</v>
      </c>
      <c r="E490" s="2">
        <v>5</v>
      </c>
      <c r="F490" s="2" t="str">
        <f>_xlfn.XLOOKUP(Orders[[#This Row],[Customer ID]],customers!A:A,customers!B:B)</f>
        <v>Becky Semkins</v>
      </c>
      <c r="G490" s="2" t="str" cm="1">
        <f t="array" ref="G490">IF(_xlfn.XLOOKUP(C490,customers!A489:$A$1001,customers!C489:$C$1001,,0)=0,"",_xlfn.XLOOKUP(C490,customers!A489:$A$1001,customers!C489:$C$1001,,0))</f>
        <v>bsemkinsdk@unc.edu</v>
      </c>
      <c r="H490" s="2" t="str" cm="1">
        <f t="array" ref="H490">_xlfn.XLOOKUP(C490,customers!A489:$A$1001,customers!G489:$G$1001,"Ireland",0)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7"/>
        <v>14.924999999999999</v>
      </c>
      <c r="N490" t="str" cm="1">
        <f t="array" ref="N490">_xlfn.IFS(I490="Rob","Robusta",I490="Exc","Excelsa",I490="Ara","Arabica",I490="Lib","Liberica")</f>
        <v>Robusta</v>
      </c>
      <c r="O490" t="str" cm="1">
        <f t="array" ref="O490">_xlfn.IFS(J490="M","Midium",J490="L","Light",J490="D","Dark")</f>
        <v>Midium</v>
      </c>
      <c r="P490" t="str">
        <f>_xlfn.XLOOKUP(Orders[[#This Row],[Customer ID]],customers!A:A,customers!I:I,,0)</f>
        <v>Yes</v>
      </c>
      <c r="Q490" t="str">
        <f>_xlfn.XLOOKUP(C491,customers!A:A,customers!B:B,"مش موجود")</f>
        <v>Sean Lorenzetti</v>
      </c>
    </row>
    <row r="491" spans="1:17" x14ac:dyDescent="0.25">
      <c r="A491" s="2" t="s">
        <v>3254</v>
      </c>
      <c r="B491" s="3">
        <v>43654</v>
      </c>
      <c r="C491" s="2" t="s">
        <v>3255</v>
      </c>
      <c r="D491" t="s">
        <v>6170</v>
      </c>
      <c r="E491" s="2">
        <v>6</v>
      </c>
      <c r="F491" s="2" t="str">
        <f>_xlfn.XLOOKUP(Orders[[#This Row],[Customer ID]],customers!A:A,customers!B:B)</f>
        <v>Sean Lorenzetti</v>
      </c>
      <c r="G491" s="2" t="str" cm="1">
        <f t="array" ref="G491">IF(_xlfn.XLOOKUP(C491,customers!A490:$A$1001,customers!C490:$C$1001,,0)=0,"",_xlfn.XLOOKUP(C491,customers!A490:$A$1001,customers!C490:$C$1001,,0))</f>
        <v>slorenzettidl@is.gd</v>
      </c>
      <c r="H491" s="2" t="str" cm="1">
        <f t="array" ref="H491">_xlfn.XLOOKUP(C491,customers!A490:$A$1001,customers!G490:$G$1001,"Ireland",0)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7"/>
        <v>95.1</v>
      </c>
      <c r="N491" t="str" cm="1">
        <f t="array" ref="N491">_xlfn.IFS(I491="Rob","Robusta",I491="Exc","Excelsa",I491="Ara","Arabica",I491="Lib","Liberica")</f>
        <v>Liberica</v>
      </c>
      <c r="O491" t="str" cm="1">
        <f t="array" ref="O491">_xlfn.IFS(J491="M","Midium",J491="L","Light",J491="D","Dark")</f>
        <v>Light</v>
      </c>
      <c r="P491" t="str">
        <f>_xlfn.XLOOKUP(Orders[[#This Row],[Customer ID]],customers!A:A,customers!I:I,,0)</f>
        <v>No</v>
      </c>
      <c r="Q491" t="str">
        <f>_xlfn.XLOOKUP(C492,customers!A:A,customers!B:B,"مش موجود")</f>
        <v>Bob Giannazzi</v>
      </c>
    </row>
    <row r="492" spans="1:17" x14ac:dyDescent="0.25">
      <c r="A492" s="2" t="s">
        <v>3260</v>
      </c>
      <c r="B492" s="3">
        <v>43764</v>
      </c>
      <c r="C492" s="2" t="s">
        <v>3261</v>
      </c>
      <c r="D492" t="s">
        <v>6169</v>
      </c>
      <c r="E492" s="2">
        <v>2</v>
      </c>
      <c r="F492" s="2" t="str">
        <f>_xlfn.XLOOKUP(Orders[[#This Row],[Customer ID]],customers!A:A,customers!B:B)</f>
        <v>Bob Giannazzi</v>
      </c>
      <c r="G492" s="2" t="str" cm="1">
        <f t="array" ref="G492">IF(_xlfn.XLOOKUP(C492,customers!A491:$A$1001,customers!C491:$C$1001,,0)=0,"",_xlfn.XLOOKUP(C492,customers!A491:$A$1001,customers!C491:$C$1001,,0))</f>
        <v>bgiannazzidm@apple.com</v>
      </c>
      <c r="H492" s="2" t="str" cm="1">
        <f t="array" ref="H492">_xlfn.XLOOKUP(C492,customers!A491:$A$1001,customers!G491:$G$1001,"Ireland",0)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7"/>
        <v>15.54</v>
      </c>
      <c r="N492" t="str" cm="1">
        <f t="array" ref="N492">_xlfn.IFS(I492="Rob","Robusta",I492="Exc","Excelsa",I492="Ara","Arabica",I492="Lib","Liberica")</f>
        <v>Liberica</v>
      </c>
      <c r="O492" t="str" cm="1">
        <f t="array" ref="O492">_xlfn.IFS(J492="M","Midium",J492="L","Light",J492="D","Dark")</f>
        <v>Dark</v>
      </c>
      <c r="P492" t="str">
        <f>_xlfn.XLOOKUP(Orders[[#This Row],[Customer ID]],customers!A:A,customers!I:I,,0)</f>
        <v>No</v>
      </c>
      <c r="Q492" t="str">
        <f>_xlfn.XLOOKUP(C493,customers!A:A,customers!B:B,"مش موجود")</f>
        <v>Kendra Backshell</v>
      </c>
    </row>
    <row r="493" spans="1:17" x14ac:dyDescent="0.25">
      <c r="A493" s="2" t="s">
        <v>3266</v>
      </c>
      <c r="B493" s="3">
        <v>44101</v>
      </c>
      <c r="C493" s="2" t="s">
        <v>3267</v>
      </c>
      <c r="D493" t="s">
        <v>6150</v>
      </c>
      <c r="E493" s="2">
        <v>6</v>
      </c>
      <c r="F493" s="2" t="str">
        <f>_xlfn.XLOOKUP(Orders[[#This Row],[Customer ID]],customers!A:A,customers!B:B)</f>
        <v>Kendra Backshell</v>
      </c>
      <c r="G493" s="2" t="str" cm="1">
        <f t="array" ref="G493">IF(_xlfn.XLOOKUP(C493,customers!A492:$A$1001,customers!C492:$C$1001,,0)=0,"",_xlfn.XLOOKUP(C493,customers!A492:$A$1001,customers!C492:$C$1001,,0))</f>
        <v/>
      </c>
      <c r="H493" s="2" t="str" cm="1">
        <f t="array" ref="H493">_xlfn.XLOOKUP(C493,customers!A492:$A$1001,customers!G492:$G$1001,"Ireland",0)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7"/>
        <v>23.31</v>
      </c>
      <c r="N493" t="str" cm="1">
        <f t="array" ref="N493">_xlfn.IFS(I493="Rob","Robusta",I493="Exc","Excelsa",I493="Ara","Arabica",I493="Lib","Liberica")</f>
        <v>Liberica</v>
      </c>
      <c r="O493" t="str" cm="1">
        <f t="array" ref="O493">_xlfn.IFS(J493="M","Midium",J493="L","Light",J493="D","Dark")</f>
        <v>Dark</v>
      </c>
      <c r="P493" t="str">
        <f>_xlfn.XLOOKUP(Orders[[#This Row],[Customer ID]],customers!A:A,customers!I:I,,0)</f>
        <v>No</v>
      </c>
      <c r="Q493" t="str">
        <f>_xlfn.XLOOKUP(C494,customers!A:A,customers!B:B,"مش موجود")</f>
        <v>Uriah Lethbrig</v>
      </c>
    </row>
    <row r="494" spans="1:17" x14ac:dyDescent="0.25">
      <c r="A494" s="2" t="s">
        <v>3271</v>
      </c>
      <c r="B494" s="3">
        <v>44620</v>
      </c>
      <c r="C494" s="2" t="s">
        <v>3272</v>
      </c>
      <c r="D494" t="s">
        <v>6156</v>
      </c>
      <c r="E494" s="2">
        <v>1</v>
      </c>
      <c r="F494" s="2" t="str">
        <f>_xlfn.XLOOKUP(Orders[[#This Row],[Customer ID]],customers!A:A,customers!B:B)</f>
        <v>Uriah Lethbrig</v>
      </c>
      <c r="G494" s="2" t="str" cm="1">
        <f t="array" ref="G494">IF(_xlfn.XLOOKUP(C494,customers!A493:$A$1001,customers!C493:$C$1001,,0)=0,"",_xlfn.XLOOKUP(C494,customers!A493:$A$1001,customers!C493:$C$1001,,0))</f>
        <v>ulethbrigdo@hc360.com</v>
      </c>
      <c r="H494" s="2" t="str" cm="1">
        <f t="array" ref="H494">_xlfn.XLOOKUP(C494,customers!A493:$A$1001,customers!G493:$G$1001,"Ireland",0)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7"/>
        <v>4.125</v>
      </c>
      <c r="N494" t="str" cm="1">
        <f t="array" ref="N494">_xlfn.IFS(I494="Rob","Robusta",I494="Exc","Excelsa",I494="Ara","Arabica",I494="Lib","Liberica")</f>
        <v>Excelsa</v>
      </c>
      <c r="O494" t="str" cm="1">
        <f t="array" ref="O494">_xlfn.IFS(J494="M","Midium",J494="L","Light",J494="D","Dark")</f>
        <v>Midium</v>
      </c>
      <c r="P494" t="str">
        <f>_xlfn.XLOOKUP(Orders[[#This Row],[Customer ID]],customers!A:A,customers!I:I,,0)</f>
        <v>Yes</v>
      </c>
      <c r="Q494" t="str">
        <f>_xlfn.XLOOKUP(C495,customers!A:A,customers!B:B,"مش موجود")</f>
        <v>Sky Farnish</v>
      </c>
    </row>
    <row r="495" spans="1:17" x14ac:dyDescent="0.25">
      <c r="A495" s="2" t="s">
        <v>3277</v>
      </c>
      <c r="B495" s="3">
        <v>44090</v>
      </c>
      <c r="C495" s="2" t="s">
        <v>3278</v>
      </c>
      <c r="D495" t="s">
        <v>6146</v>
      </c>
      <c r="E495" s="2">
        <v>6</v>
      </c>
      <c r="F495" s="2" t="str">
        <f>_xlfn.XLOOKUP(Orders[[#This Row],[Customer ID]],customers!A:A,customers!B:B)</f>
        <v>Sky Farnish</v>
      </c>
      <c r="G495" s="2" t="str" cm="1">
        <f t="array" ref="G495">IF(_xlfn.XLOOKUP(C495,customers!A494:$A$1001,customers!C494:$C$1001,,0)=0,"",_xlfn.XLOOKUP(C495,customers!A494:$A$1001,customers!C494:$C$1001,,0))</f>
        <v>sfarnishdp@dmoz.org</v>
      </c>
      <c r="H495" s="2" t="str" cm="1">
        <f t="array" ref="H495">_xlfn.XLOOKUP(C495,customers!A494:$A$1001,customers!G494:$G$1001,"Ireland",0)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7"/>
        <v>35.82</v>
      </c>
      <c r="N495" t="str" cm="1">
        <f t="array" ref="N495">_xlfn.IFS(I495="Rob","Robusta",I495="Exc","Excelsa",I495="Ara","Arabica",I495="Lib","Liberica")</f>
        <v>Robusta</v>
      </c>
      <c r="O495" t="str" cm="1">
        <f t="array" ref="O495">_xlfn.IFS(J495="M","Midium",J495="L","Light",J495="D","Dark")</f>
        <v>Midium</v>
      </c>
      <c r="P495" t="str">
        <f>_xlfn.XLOOKUP(Orders[[#This Row],[Customer ID]],customers!A:A,customers!I:I,,0)</f>
        <v>No</v>
      </c>
      <c r="Q495" t="str">
        <f>_xlfn.XLOOKUP(C496,customers!A:A,customers!B:B,"مش موجود")</f>
        <v>Felicia Jecock</v>
      </c>
    </row>
    <row r="496" spans="1:17" x14ac:dyDescent="0.25">
      <c r="A496" s="2" t="s">
        <v>3283</v>
      </c>
      <c r="B496" s="3">
        <v>44132</v>
      </c>
      <c r="C496" s="2" t="s">
        <v>3284</v>
      </c>
      <c r="D496" t="s">
        <v>6170</v>
      </c>
      <c r="E496" s="2">
        <v>2</v>
      </c>
      <c r="F496" s="2" t="str">
        <f>_xlfn.XLOOKUP(Orders[[#This Row],[Customer ID]],customers!A:A,customers!B:B)</f>
        <v>Felicia Jecock</v>
      </c>
      <c r="G496" s="2" t="str" cm="1">
        <f t="array" ref="G496">IF(_xlfn.XLOOKUP(C496,customers!A495:$A$1001,customers!C495:$C$1001,,0)=0,"",_xlfn.XLOOKUP(C496,customers!A495:$A$1001,customers!C495:$C$1001,,0))</f>
        <v>fjecockdq@unicef.org</v>
      </c>
      <c r="H496" s="2" t="str" cm="1">
        <f t="array" ref="H496">_xlfn.XLOOKUP(C496,customers!A495:$A$1001,customers!G495:$G$1001,"Ireland",0)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7"/>
        <v>31.7</v>
      </c>
      <c r="N496" t="str" cm="1">
        <f t="array" ref="N496">_xlfn.IFS(I496="Rob","Robusta",I496="Exc","Excelsa",I496="Ara","Arabica",I496="Lib","Liberica")</f>
        <v>Liberica</v>
      </c>
      <c r="O496" t="str" cm="1">
        <f t="array" ref="O496">_xlfn.IFS(J496="M","Midium",J496="L","Light",J496="D","Dark")</f>
        <v>Light</v>
      </c>
      <c r="P496" t="str">
        <f>_xlfn.XLOOKUP(Orders[[#This Row],[Customer ID]],customers!A:A,customers!I:I,,0)</f>
        <v>No</v>
      </c>
      <c r="Q496" t="str">
        <f>_xlfn.XLOOKUP(C497,customers!A:A,customers!B:B,"مش موجود")</f>
        <v>Currey MacAllister</v>
      </c>
    </row>
    <row r="497" spans="1:17" x14ac:dyDescent="0.25">
      <c r="A497" s="2" t="s">
        <v>3289</v>
      </c>
      <c r="B497" s="3">
        <v>43710</v>
      </c>
      <c r="C497" s="2" t="s">
        <v>3290</v>
      </c>
      <c r="D497" t="s">
        <v>6170</v>
      </c>
      <c r="E497" s="2">
        <v>5</v>
      </c>
      <c r="F497" s="2" t="str">
        <f>_xlfn.XLOOKUP(Orders[[#This Row],[Customer ID]],customers!A:A,customers!B:B)</f>
        <v>Currey MacAllister</v>
      </c>
      <c r="G497" s="2" t="str" cm="1">
        <f t="array" ref="G497">IF(_xlfn.XLOOKUP(C497,customers!A496:$A$1001,customers!C496:$C$1001,,0)=0,"",_xlfn.XLOOKUP(C497,customers!A496:$A$1001,customers!C496:$C$1001,,0))</f>
        <v/>
      </c>
      <c r="H497" s="2" t="str" cm="1">
        <f t="array" ref="H497">_xlfn.XLOOKUP(C497,customers!A496:$A$1001,customers!G496:$G$1001,"Ireland",0)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7"/>
        <v>79.25</v>
      </c>
      <c r="N497" t="str" cm="1">
        <f t="array" ref="N497">_xlfn.IFS(I497="Rob","Robusta",I497="Exc","Excelsa",I497="Ara","Arabica",I497="Lib","Liberica")</f>
        <v>Liberica</v>
      </c>
      <c r="O497" t="str" cm="1">
        <f t="array" ref="O497">_xlfn.IFS(J497="M","Midium",J497="L","Light",J497="D","Dark")</f>
        <v>Light</v>
      </c>
      <c r="P497" t="str">
        <f>_xlfn.XLOOKUP(Orders[[#This Row],[Customer ID]],customers!A:A,customers!I:I,,0)</f>
        <v>Yes</v>
      </c>
      <c r="Q497" t="str">
        <f>_xlfn.XLOOKUP(C498,customers!A:A,customers!B:B,"مش موجود")</f>
        <v>Hamlen Pallister</v>
      </c>
    </row>
    <row r="498" spans="1:17" x14ac:dyDescent="0.25">
      <c r="A498" s="2" t="s">
        <v>3294</v>
      </c>
      <c r="B498" s="3">
        <v>44438</v>
      </c>
      <c r="C498" s="2" t="s">
        <v>3295</v>
      </c>
      <c r="D498" t="s">
        <v>6153</v>
      </c>
      <c r="E498" s="2">
        <v>3</v>
      </c>
      <c r="F498" s="2" t="str">
        <f>_xlfn.XLOOKUP(Orders[[#This Row],[Customer ID]],customers!A:A,customers!B:B)</f>
        <v>Hamlen Pallister</v>
      </c>
      <c r="G498" s="2" t="str" cm="1">
        <f t="array" ref="G498">IF(_xlfn.XLOOKUP(C498,customers!A497:$A$1001,customers!C497:$C$1001,,0)=0,"",_xlfn.XLOOKUP(C498,customers!A497:$A$1001,customers!C497:$C$1001,,0))</f>
        <v>hpallisterds@ning.com</v>
      </c>
      <c r="H498" s="2" t="str" cm="1">
        <f t="array" ref="H498">_xlfn.XLOOKUP(C498,customers!A497:$A$1001,customers!G497:$G$1001,"Ireland",0)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7"/>
        <v>10.935</v>
      </c>
      <c r="N498" t="str" cm="1">
        <f t="array" ref="N498">_xlfn.IFS(I498="Rob","Robusta",I498="Exc","Excelsa",I498="Ara","Arabica",I498="Lib","Liberica")</f>
        <v>Excelsa</v>
      </c>
      <c r="O498" t="str" cm="1">
        <f t="array" ref="O498">_xlfn.IFS(J498="M","Midium",J498="L","Light",J498="D","Dark")</f>
        <v>Dark</v>
      </c>
      <c r="P498" t="str">
        <f>_xlfn.XLOOKUP(Orders[[#This Row],[Customer ID]],customers!A:A,customers!I:I,,0)</f>
        <v>No</v>
      </c>
      <c r="Q498" t="str">
        <f>_xlfn.XLOOKUP(C499,customers!A:A,customers!B:B,"مش موجود")</f>
        <v>Chantal Mersh</v>
      </c>
    </row>
    <row r="499" spans="1:17" x14ac:dyDescent="0.25">
      <c r="A499" s="2" t="s">
        <v>3300</v>
      </c>
      <c r="B499" s="3">
        <v>44351</v>
      </c>
      <c r="C499" s="2" t="s">
        <v>3301</v>
      </c>
      <c r="D499" t="s">
        <v>6147</v>
      </c>
      <c r="E499" s="2">
        <v>4</v>
      </c>
      <c r="F499" s="2" t="str">
        <f>_xlfn.XLOOKUP(Orders[[#This Row],[Customer ID]],customers!A:A,customers!B:B)</f>
        <v>Chantal Mersh</v>
      </c>
      <c r="G499" s="2" t="str" cm="1">
        <f t="array" ref="G499">IF(_xlfn.XLOOKUP(C499,customers!A498:$A$1001,customers!C498:$C$1001,,0)=0,"",_xlfn.XLOOKUP(C499,customers!A498:$A$1001,customers!C498:$C$1001,,0))</f>
        <v>cmershdt@drupal.org</v>
      </c>
      <c r="H499" s="2" t="str" cm="1">
        <f t="array" ref="H499">_xlfn.XLOOKUP(C499,customers!A498:$A$1001,customers!G498:$G$1001,"Ireland",0)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7"/>
        <v>39.799999999999997</v>
      </c>
      <c r="N499" t="str" cm="1">
        <f t="array" ref="N499">_xlfn.IFS(I499="Rob","Robusta",I499="Exc","Excelsa",I499="Ara","Arabica",I499="Lib","Liberica")</f>
        <v>Arabica</v>
      </c>
      <c r="O499" t="str" cm="1">
        <f t="array" ref="O499">_xlfn.IFS(J499="M","Midium",J499="L","Light",J499="D","Dark")</f>
        <v>Dark</v>
      </c>
      <c r="P499" t="str">
        <f>_xlfn.XLOOKUP(Orders[[#This Row],[Customer ID]],customers!A:A,customers!I:I,,0)</f>
        <v>No</v>
      </c>
      <c r="Q499" t="str">
        <f>_xlfn.XLOOKUP(C500,customers!A:A,customers!B:B,"مش موجود")</f>
        <v>Marja Urion</v>
      </c>
    </row>
    <row r="500" spans="1:17" x14ac:dyDescent="0.25">
      <c r="A500" s="2" t="s">
        <v>3307</v>
      </c>
      <c r="B500" s="3">
        <v>44159</v>
      </c>
      <c r="C500" s="2" t="s">
        <v>3368</v>
      </c>
      <c r="D500" t="s">
        <v>6138</v>
      </c>
      <c r="E500" s="2">
        <v>5</v>
      </c>
      <c r="F500" s="2" t="str">
        <f>_xlfn.XLOOKUP(Orders[[#This Row],[Customer ID]],customers!A:A,customers!B:B)</f>
        <v>Marja Urion</v>
      </c>
      <c r="G500" s="2" t="str" cm="1">
        <f t="array" ref="G500">IF(_xlfn.XLOOKUP(C500,customers!A499:$A$1001,customers!C499:$C$1001,,0)=0,"",_xlfn.XLOOKUP(C500,customers!A499:$A$1001,customers!C499:$C$1001,,0))</f>
        <v>murione5@alexa.com</v>
      </c>
      <c r="H500" s="2" t="str" cm="1">
        <f t="array" ref="H500">_xlfn.XLOOKUP(C500,customers!A499:$A$1001,customers!G499:$G$1001,"Ireland",0)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7"/>
        <v>49.75</v>
      </c>
      <c r="N500" t="str" cm="1">
        <f t="array" ref="N500">_xlfn.IFS(I500="Rob","Robusta",I500="Exc","Excelsa",I500="Ara","Arabica",I500="Lib","Liberica")</f>
        <v>Robusta</v>
      </c>
      <c r="O500" t="str" cm="1">
        <f t="array" ref="O500">_xlfn.IFS(J500="M","Midium",J500="L","Light",J500="D","Dark")</f>
        <v>Midium</v>
      </c>
      <c r="P500" t="str">
        <f>_xlfn.XLOOKUP(Orders[[#This Row],[Customer ID]],customers!A:A,customers!I:I,,0)</f>
        <v>Yes</v>
      </c>
      <c r="Q500" t="str">
        <f>_xlfn.XLOOKUP(C501,customers!A:A,customers!B:B,"مش موجود")</f>
        <v>Malynda Purbrick</v>
      </c>
    </row>
    <row r="501" spans="1:17" x14ac:dyDescent="0.25">
      <c r="A501" s="2" t="s">
        <v>3313</v>
      </c>
      <c r="B501" s="3">
        <v>44003</v>
      </c>
      <c r="C501" s="2" t="s">
        <v>3314</v>
      </c>
      <c r="D501" t="s">
        <v>6163</v>
      </c>
      <c r="E501" s="2">
        <v>3</v>
      </c>
      <c r="F501" s="2" t="str">
        <f>_xlfn.XLOOKUP(Orders[[#This Row],[Customer ID]],customers!A:A,customers!B:B)</f>
        <v>Malynda Purbrick</v>
      </c>
      <c r="G501" s="2" t="str" cm="1">
        <f t="array" ref="G501">IF(_xlfn.XLOOKUP(C501,customers!A500:$A$1001,customers!C500:$C$1001,,0)=0,"",_xlfn.XLOOKUP(C501,customers!A500:$A$1001,customers!C500:$C$1001,,0))</f>
        <v/>
      </c>
      <c r="H501" s="2" t="str" cm="1">
        <f t="array" ref="H501">_xlfn.XLOOKUP(C501,customers!A500:$A$1001,customers!G500:$G$1001,"Ireland",0)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7"/>
        <v>8.0549999999999997</v>
      </c>
      <c r="N501" t="str" cm="1">
        <f t="array" ref="N501">_xlfn.IFS(I501="Rob","Robusta",I501="Exc","Excelsa",I501="Ara","Arabica",I501="Lib","Liberica")</f>
        <v>Robusta</v>
      </c>
      <c r="O501" t="str" cm="1">
        <f t="array" ref="O501">_xlfn.IFS(J501="M","Midium",J501="L","Light",J501="D","Dark")</f>
        <v>Dark</v>
      </c>
      <c r="P501" t="str">
        <f>_xlfn.XLOOKUP(Orders[[#This Row],[Customer ID]],customers!A:A,customers!I:I,,0)</f>
        <v>Yes</v>
      </c>
      <c r="Q501" t="str">
        <f>_xlfn.XLOOKUP(C502,customers!A:A,customers!B:B,"مش موجود")</f>
        <v>Alf Housaman</v>
      </c>
    </row>
    <row r="502" spans="1:17" x14ac:dyDescent="0.25">
      <c r="A502" s="2" t="s">
        <v>3318</v>
      </c>
      <c r="B502" s="3">
        <v>44025</v>
      </c>
      <c r="C502" s="2" t="s">
        <v>3319</v>
      </c>
      <c r="D502" t="s">
        <v>6179</v>
      </c>
      <c r="E502" s="2">
        <v>4</v>
      </c>
      <c r="F502" s="2" t="str">
        <f>_xlfn.XLOOKUP(Orders[[#This Row],[Customer ID]],customers!A:A,customers!B:B)</f>
        <v>Alf Housaman</v>
      </c>
      <c r="G502" s="2" t="str" cm="1">
        <f t="array" ref="G502">IF(_xlfn.XLOOKUP(C502,customers!A501:$A$1001,customers!C501:$C$1001,,0)=0,"",_xlfn.XLOOKUP(C502,customers!A501:$A$1001,customers!C501:$C$1001,,0))</f>
        <v/>
      </c>
      <c r="H502" s="2" t="str" cm="1">
        <f t="array" ref="H502">_xlfn.XLOOKUP(C502,customers!A501:$A$1001,customers!G501:$G$1001,"Ireland",0)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7"/>
        <v>47.8</v>
      </c>
      <c r="N502" t="str" cm="1">
        <f t="array" ref="N502">_xlfn.IFS(I502="Rob","Robusta",I502="Exc","Excelsa",I502="Ara","Arabica",I502="Lib","Liberica")</f>
        <v>Robusta</v>
      </c>
      <c r="O502" t="str" cm="1">
        <f t="array" ref="O502">_xlfn.IFS(J502="M","Midium",J502="L","Light",J502="D","Dark")</f>
        <v>Light</v>
      </c>
      <c r="P502" t="str">
        <f>_xlfn.XLOOKUP(Orders[[#This Row],[Customer ID]],customers!A:A,customers!I:I,,0)</f>
        <v>No</v>
      </c>
      <c r="Q502" t="str">
        <f>_xlfn.XLOOKUP(C503,customers!A:A,customers!B:B,"مش موجود")</f>
        <v>Gladi Ducker</v>
      </c>
    </row>
    <row r="503" spans="1:17" x14ac:dyDescent="0.25">
      <c r="A503" s="2" t="s">
        <v>3323</v>
      </c>
      <c r="B503" s="3">
        <v>43467</v>
      </c>
      <c r="C503" s="2" t="s">
        <v>3324</v>
      </c>
      <c r="D503" t="s">
        <v>6174</v>
      </c>
      <c r="E503" s="2">
        <v>4</v>
      </c>
      <c r="F503" s="2" t="str">
        <f>_xlfn.XLOOKUP(Orders[[#This Row],[Customer ID]],customers!A:A,customers!B:B)</f>
        <v>Gladi Ducker</v>
      </c>
      <c r="G503" s="2" t="str" cm="1">
        <f t="array" ref="G503">IF(_xlfn.XLOOKUP(C503,customers!A502:$A$1001,customers!C502:$C$1001,,0)=0,"",_xlfn.XLOOKUP(C503,customers!A502:$A$1001,customers!C502:$C$1001,,0))</f>
        <v>gduckerdx@patch.com</v>
      </c>
      <c r="H503" s="2" t="str" cm="1">
        <f t="array" ref="H503">_xlfn.XLOOKUP(C503,customers!A502:$A$1001,customers!G502:$G$1001,"Ireland",0)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7"/>
        <v>11.94</v>
      </c>
      <c r="N503" t="str" cm="1">
        <f t="array" ref="N503">_xlfn.IFS(I503="Rob","Robusta",I503="Exc","Excelsa",I503="Ara","Arabica",I503="Lib","Liberica")</f>
        <v>Robusta</v>
      </c>
      <c r="O503" t="str" cm="1">
        <f t="array" ref="O503">_xlfn.IFS(J503="M","Midium",J503="L","Light",J503="D","Dark")</f>
        <v>Midium</v>
      </c>
      <c r="P503" t="str">
        <f>_xlfn.XLOOKUP(Orders[[#This Row],[Customer ID]],customers!A:A,customers!I:I,,0)</f>
        <v>No</v>
      </c>
      <c r="Q503" t="str">
        <f>_xlfn.XLOOKUP(C504,customers!A:A,customers!B:B,"مش موجود")</f>
        <v>Gladi Ducker</v>
      </c>
    </row>
    <row r="504" spans="1:17" x14ac:dyDescent="0.25">
      <c r="A504" s="2" t="s">
        <v>3323</v>
      </c>
      <c r="B504" s="3">
        <v>43467</v>
      </c>
      <c r="C504" s="2" t="s">
        <v>3324</v>
      </c>
      <c r="D504" t="s">
        <v>6156</v>
      </c>
      <c r="E504" s="2">
        <v>4</v>
      </c>
      <c r="F504" s="2" t="str">
        <f>_xlfn.XLOOKUP(Orders[[#This Row],[Customer ID]],customers!A:A,customers!B:B)</f>
        <v>Gladi Ducker</v>
      </c>
      <c r="G504" s="2" t="str" cm="1">
        <f t="array" ref="G504">IF(_xlfn.XLOOKUP(C504,customers!A503:$A$1001,customers!C503:$C$1001,,0)=0,"",_xlfn.XLOOKUP(C504,customers!A503:$A$1001,customers!C503:$C$1001,,0))</f>
        <v>gduckerdx@patch.com</v>
      </c>
      <c r="H504" s="2" t="str" cm="1">
        <f t="array" ref="H504">_xlfn.XLOOKUP(C504,customers!A503:$A$1001,customers!G503:$G$1001,"Ireland",0)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7"/>
        <v>16.5</v>
      </c>
      <c r="N504" t="str" cm="1">
        <f t="array" ref="N504">_xlfn.IFS(I504="Rob","Robusta",I504="Exc","Excelsa",I504="Ara","Arabica",I504="Lib","Liberica")</f>
        <v>Excelsa</v>
      </c>
      <c r="O504" t="str" cm="1">
        <f t="array" ref="O504">_xlfn.IFS(J504="M","Midium",J504="L","Light",J504="D","Dark")</f>
        <v>Midium</v>
      </c>
      <c r="P504" t="str">
        <f>_xlfn.XLOOKUP(Orders[[#This Row],[Customer ID]],customers!A:A,customers!I:I,,0)</f>
        <v>No</v>
      </c>
      <c r="Q504" t="str">
        <f>_xlfn.XLOOKUP(C505,customers!A:A,customers!B:B,"مش موجود")</f>
        <v>Gladi Ducker</v>
      </c>
    </row>
    <row r="505" spans="1:17" x14ac:dyDescent="0.25">
      <c r="A505" s="2" t="s">
        <v>3323</v>
      </c>
      <c r="B505" s="3">
        <v>43467</v>
      </c>
      <c r="C505" s="2" t="s">
        <v>3324</v>
      </c>
      <c r="D505" t="s">
        <v>6143</v>
      </c>
      <c r="E505" s="2">
        <v>4</v>
      </c>
      <c r="F505" s="2" t="str">
        <f>_xlfn.XLOOKUP(Orders[[#This Row],[Customer ID]],customers!A:A,customers!B:B)</f>
        <v>Gladi Ducker</v>
      </c>
      <c r="G505" s="2" t="e" cm="1">
        <f t="array" ref="G505">IF(_xlfn.XLOOKUP(C505,customers!A504:$A$1001,customers!C504:$C$1001,,0)=0,"",_xlfn.XLOOKUP(C505,customers!A504:$A$1001,customers!C504:$C$1001,,0))</f>
        <v>#N/A</v>
      </c>
      <c r="H505" s="2" t="str" cm="1">
        <f t="array" ref="H505">_xlfn.XLOOKUP(C505,customers!A504:$A$1001,customers!G504:$G$1001,"Ireland",0)</f>
        <v>Ireland</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7"/>
        <v>51.8</v>
      </c>
      <c r="N505" t="str" cm="1">
        <f t="array" ref="N505">_xlfn.IFS(I505="Rob","Robusta",I505="Exc","Excelsa",I505="Ara","Arabica",I505="Lib","Liberica")</f>
        <v>Liberica</v>
      </c>
      <c r="O505" t="str" cm="1">
        <f t="array" ref="O505">_xlfn.IFS(J505="M","Midium",J505="L","Light",J505="D","Dark")</f>
        <v>Dark</v>
      </c>
      <c r="P505" t="str">
        <f>_xlfn.XLOOKUP(Orders[[#This Row],[Customer ID]],customers!A:A,customers!I:I,,0)</f>
        <v>No</v>
      </c>
      <c r="Q505" t="str">
        <f>_xlfn.XLOOKUP(C506,customers!A:A,customers!B:B,"مش موجود")</f>
        <v>Gladi Ducker</v>
      </c>
    </row>
    <row r="506" spans="1:17" x14ac:dyDescent="0.25">
      <c r="A506" s="2" t="s">
        <v>3323</v>
      </c>
      <c r="B506" s="3">
        <v>43467</v>
      </c>
      <c r="C506" s="2" t="s">
        <v>3324</v>
      </c>
      <c r="D506" t="s">
        <v>6145</v>
      </c>
      <c r="E506" s="2">
        <v>3</v>
      </c>
      <c r="F506" s="2" t="str">
        <f>_xlfn.XLOOKUP(Orders[[#This Row],[Customer ID]],customers!A:A,customers!B:B)</f>
        <v>Gladi Ducker</v>
      </c>
      <c r="G506" s="2" t="e" cm="1">
        <f t="array" ref="G506">IF(_xlfn.XLOOKUP(C506,customers!A505:$A$1001,customers!C505:$C$1001,,0)=0,"",_xlfn.XLOOKUP(C506,customers!A505:$A$1001,customers!C505:$C$1001,,0))</f>
        <v>#N/A</v>
      </c>
      <c r="H506" s="2" t="str" cm="1">
        <f t="array" ref="H506">_xlfn.XLOOKUP(C506,customers!A505:$A$1001,customers!G505:$G$1001,"Ireland",0)</f>
        <v>Ireland</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7"/>
        <v>14.265000000000001</v>
      </c>
      <c r="N506" t="str" cm="1">
        <f t="array" ref="N506">_xlfn.IFS(I506="Rob","Robusta",I506="Exc","Excelsa",I506="Ara","Arabica",I506="Lib","Liberica")</f>
        <v>Liberica</v>
      </c>
      <c r="O506" t="str" cm="1">
        <f t="array" ref="O506">_xlfn.IFS(J506="M","Midium",J506="L","Light",J506="D","Dark")</f>
        <v>Light</v>
      </c>
      <c r="P506" t="str">
        <f>_xlfn.XLOOKUP(Orders[[#This Row],[Customer ID]],customers!A:A,customers!I:I,,0)</f>
        <v>No</v>
      </c>
      <c r="Q506" t="str">
        <f>_xlfn.XLOOKUP(C507,customers!A:A,customers!B:B,"مش موجود")</f>
        <v>Wain Stearley</v>
      </c>
    </row>
    <row r="507" spans="1:17" x14ac:dyDescent="0.25">
      <c r="A507" s="2" t="s">
        <v>3343</v>
      </c>
      <c r="B507" s="3">
        <v>44609</v>
      </c>
      <c r="C507" s="2" t="s">
        <v>3344</v>
      </c>
      <c r="D507" t="s">
        <v>6159</v>
      </c>
      <c r="E507" s="2">
        <v>6</v>
      </c>
      <c r="F507" s="2" t="str">
        <f>_xlfn.XLOOKUP(Orders[[#This Row],[Customer ID]],customers!A:A,customers!B:B)</f>
        <v>Wain Stearley</v>
      </c>
      <c r="G507" s="2" t="str" cm="1">
        <f t="array" ref="G507">IF(_xlfn.XLOOKUP(C507,customers!A506:$A$1001,customers!C506:$C$1001,,0)=0,"",_xlfn.XLOOKUP(C507,customers!A506:$A$1001,customers!C506:$C$1001,,0))</f>
        <v>wstearleye1@census.gov</v>
      </c>
      <c r="H507" s="2" t="str" cm="1">
        <f t="array" ref="H507">_xlfn.XLOOKUP(C507,customers!A506:$A$1001,customers!G506:$G$1001,"Ireland",0)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7"/>
        <v>26.19</v>
      </c>
      <c r="N507" t="str" cm="1">
        <f t="array" ref="N507">_xlfn.IFS(I507="Rob","Robusta",I507="Exc","Excelsa",I507="Ara","Arabica",I507="Lib","Liberica")</f>
        <v>Liberica</v>
      </c>
      <c r="O507" t="str" cm="1">
        <f t="array" ref="O507">_xlfn.IFS(J507="M","Midium",J507="L","Light",J507="D","Dark")</f>
        <v>Midium</v>
      </c>
      <c r="P507" t="str">
        <f>_xlfn.XLOOKUP(Orders[[#This Row],[Customer ID]],customers!A:A,customers!I:I,,0)</f>
        <v>No</v>
      </c>
      <c r="Q507" t="str">
        <f>_xlfn.XLOOKUP(C508,customers!A:A,customers!B:B,"مش موجود")</f>
        <v>Diane-marie Wincer</v>
      </c>
    </row>
    <row r="508" spans="1:17" x14ac:dyDescent="0.25">
      <c r="A508" s="2" t="s">
        <v>3349</v>
      </c>
      <c r="B508" s="3">
        <v>44184</v>
      </c>
      <c r="C508" s="2" t="s">
        <v>3350</v>
      </c>
      <c r="D508" t="s">
        <v>6140</v>
      </c>
      <c r="E508" s="2">
        <v>2</v>
      </c>
      <c r="F508" s="2" t="str">
        <f>_xlfn.XLOOKUP(Orders[[#This Row],[Customer ID]],customers!A:A,customers!B:B)</f>
        <v>Diane-marie Wincer</v>
      </c>
      <c r="G508" s="2" t="str" cm="1">
        <f t="array" ref="G508">IF(_xlfn.XLOOKUP(C508,customers!A507:$A$1001,customers!C507:$C$1001,,0)=0,"",_xlfn.XLOOKUP(C508,customers!A507:$A$1001,customers!C507:$C$1001,,0))</f>
        <v>dwincere2@marriott.com</v>
      </c>
      <c r="H508" s="2" t="str" cm="1">
        <f t="array" ref="H508">_xlfn.XLOOKUP(C508,customers!A507:$A$1001,customers!G507:$G$1001,"Ireland",0)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7"/>
        <v>25.9</v>
      </c>
      <c r="N508" t="str" cm="1">
        <f t="array" ref="N508">_xlfn.IFS(I508="Rob","Robusta",I508="Exc","Excelsa",I508="Ara","Arabica",I508="Lib","Liberica")</f>
        <v>Arabica</v>
      </c>
      <c r="O508" t="str" cm="1">
        <f t="array" ref="O508">_xlfn.IFS(J508="M","Midium",J508="L","Light",J508="D","Dark")</f>
        <v>Light</v>
      </c>
      <c r="P508" t="str">
        <f>_xlfn.XLOOKUP(Orders[[#This Row],[Customer ID]],customers!A:A,customers!I:I,,0)</f>
        <v>Yes</v>
      </c>
      <c r="Q508" t="str">
        <f>_xlfn.XLOOKUP(C509,customers!A:A,customers!B:B,"مش موجود")</f>
        <v>Perry Lyfield</v>
      </c>
    </row>
    <row r="509" spans="1:17" x14ac:dyDescent="0.25">
      <c r="A509" s="2" t="s">
        <v>3355</v>
      </c>
      <c r="B509" s="3">
        <v>43516</v>
      </c>
      <c r="C509" s="2" t="s">
        <v>3356</v>
      </c>
      <c r="D509" t="s">
        <v>6182</v>
      </c>
      <c r="E509" s="2">
        <v>3</v>
      </c>
      <c r="F509" s="2" t="str">
        <f>_xlfn.XLOOKUP(Orders[[#This Row],[Customer ID]],customers!A:A,customers!B:B)</f>
        <v>Perry Lyfield</v>
      </c>
      <c r="G509" s="2" t="str" cm="1">
        <f t="array" ref="G509">IF(_xlfn.XLOOKUP(C509,customers!A508:$A$1001,customers!C508:$C$1001,,0)=0,"",_xlfn.XLOOKUP(C509,customers!A508:$A$1001,customers!C508:$C$1001,,0))</f>
        <v>plyfielde3@baidu.com</v>
      </c>
      <c r="H509" s="2" t="str" cm="1">
        <f t="array" ref="H509">_xlfn.XLOOKUP(C509,customers!A508:$A$1001,customers!G508:$G$1001,"Ireland",0)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7"/>
        <v>89.35499999999999</v>
      </c>
      <c r="N509" t="str" cm="1">
        <f t="array" ref="N509">_xlfn.IFS(I509="Rob","Robusta",I509="Exc","Excelsa",I509="Ara","Arabica",I509="Lib","Liberica")</f>
        <v>Arabica</v>
      </c>
      <c r="O509" t="str" cm="1">
        <f t="array" ref="O509">_xlfn.IFS(J509="M","Midium",J509="L","Light",J509="D","Dark")</f>
        <v>Light</v>
      </c>
      <c r="P509" t="str">
        <f>_xlfn.XLOOKUP(Orders[[#This Row],[Customer ID]],customers!A:A,customers!I:I,,0)</f>
        <v>Yes</v>
      </c>
      <c r="Q509" t="str">
        <f>_xlfn.XLOOKUP(C510,customers!A:A,customers!B:B,"مش موجود")</f>
        <v>Heall Perris</v>
      </c>
    </row>
    <row r="510" spans="1:17" x14ac:dyDescent="0.25">
      <c r="A510" s="2" t="s">
        <v>3361</v>
      </c>
      <c r="B510" s="3">
        <v>44210</v>
      </c>
      <c r="C510" s="2" t="s">
        <v>3362</v>
      </c>
      <c r="D510" t="s">
        <v>6169</v>
      </c>
      <c r="E510" s="2">
        <v>6</v>
      </c>
      <c r="F510" s="2" t="str">
        <f>_xlfn.XLOOKUP(Orders[[#This Row],[Customer ID]],customers!A:A,customers!B:B)</f>
        <v>Heall Perris</v>
      </c>
      <c r="G510" s="2" t="str" cm="1">
        <f t="array" ref="G510">IF(_xlfn.XLOOKUP(C510,customers!A509:$A$1001,customers!C509:$C$1001,,0)=0,"",_xlfn.XLOOKUP(C510,customers!A509:$A$1001,customers!C509:$C$1001,,0))</f>
        <v>hperrise4@studiopress.com</v>
      </c>
      <c r="H510" s="2" t="str" cm="1">
        <f t="array" ref="H510">_xlfn.XLOOKUP(C510,customers!A509:$A$1001,customers!G509:$G$1001,"Ireland",0)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7"/>
        <v>46.62</v>
      </c>
      <c r="N510" t="str" cm="1">
        <f t="array" ref="N510">_xlfn.IFS(I510="Rob","Robusta",I510="Exc","Excelsa",I510="Ara","Arabica",I510="Lib","Liberica")</f>
        <v>Liberica</v>
      </c>
      <c r="O510" t="str" cm="1">
        <f t="array" ref="O510">_xlfn.IFS(J510="M","Midium",J510="L","Light",J510="D","Dark")</f>
        <v>Dark</v>
      </c>
      <c r="P510" t="str">
        <f>_xlfn.XLOOKUP(Orders[[#This Row],[Customer ID]],customers!A:A,customers!I:I,,0)</f>
        <v>No</v>
      </c>
      <c r="Q510" t="str">
        <f>_xlfn.XLOOKUP(C511,customers!A:A,customers!B:B,"مش موجود")</f>
        <v>Marja Urion</v>
      </c>
    </row>
    <row r="511" spans="1:17" x14ac:dyDescent="0.25">
      <c r="A511" s="2" t="s">
        <v>3367</v>
      </c>
      <c r="B511" s="3">
        <v>43785</v>
      </c>
      <c r="C511" s="2" t="s">
        <v>3368</v>
      </c>
      <c r="D511" t="s">
        <v>6147</v>
      </c>
      <c r="E511" s="2">
        <v>3</v>
      </c>
      <c r="F511" s="2" t="str">
        <f>_xlfn.XLOOKUP(Orders[[#This Row],[Customer ID]],customers!A:A,customers!B:B)</f>
        <v>Marja Urion</v>
      </c>
      <c r="G511" s="2" t="str" cm="1">
        <f t="array" ref="G511">IF(_xlfn.XLOOKUP(C511,customers!A510:$A$1001,customers!C510:$C$1001,,0)=0,"",_xlfn.XLOOKUP(C511,customers!A510:$A$1001,customers!C510:$C$1001,,0))</f>
        <v>murione5@alexa.com</v>
      </c>
      <c r="H511" s="2" t="str" cm="1">
        <f t="array" ref="H511">_xlfn.XLOOKUP(C511,customers!A510:$A$1001,customers!G510:$G$1001,"Ireland",0)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7"/>
        <v>29.849999999999998</v>
      </c>
      <c r="N511" t="str" cm="1">
        <f t="array" ref="N511">_xlfn.IFS(I511="Rob","Robusta",I511="Exc","Excelsa",I511="Ara","Arabica",I511="Lib","Liberica")</f>
        <v>Arabica</v>
      </c>
      <c r="O511" t="str" cm="1">
        <f t="array" ref="O511">_xlfn.IFS(J511="M","Midium",J511="L","Light",J511="D","Dark")</f>
        <v>Dark</v>
      </c>
      <c r="P511" t="str">
        <f>_xlfn.XLOOKUP(Orders[[#This Row],[Customer ID]],customers!A:A,customers!I:I,,0)</f>
        <v>Yes</v>
      </c>
      <c r="Q511" t="str">
        <f>_xlfn.XLOOKUP(C512,customers!A:A,customers!B:B,"مش موجود")</f>
        <v>Camellia Kid</v>
      </c>
    </row>
    <row r="512" spans="1:17" x14ac:dyDescent="0.25">
      <c r="A512" s="2" t="s">
        <v>3373</v>
      </c>
      <c r="B512" s="3">
        <v>43803</v>
      </c>
      <c r="C512" s="2" t="s">
        <v>3374</v>
      </c>
      <c r="D512" t="s">
        <v>6178</v>
      </c>
      <c r="E512" s="2">
        <v>3</v>
      </c>
      <c r="F512" s="2" t="str">
        <f>_xlfn.XLOOKUP(Orders[[#This Row],[Customer ID]],customers!A:A,customers!B:B)</f>
        <v>Camellia Kid</v>
      </c>
      <c r="G512" s="2" t="str" cm="1">
        <f t="array" ref="G512">IF(_xlfn.XLOOKUP(C512,customers!A511:$A$1001,customers!C511:$C$1001,,0)=0,"",_xlfn.XLOOKUP(C512,customers!A511:$A$1001,customers!C511:$C$1001,,0))</f>
        <v>ckide6@narod.ru</v>
      </c>
      <c r="H512" s="2" t="str" cm="1">
        <f t="array" ref="H512">_xlfn.XLOOKUP(C512,customers!A511:$A$1001,customers!G511:$G$1001,"Ireland",0)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7"/>
        <v>10.754999999999999</v>
      </c>
      <c r="N512" t="str" cm="1">
        <f t="array" ref="N512">_xlfn.IFS(I512="Rob","Robusta",I512="Exc","Excelsa",I512="Ara","Arabica",I512="Lib","Liberica")</f>
        <v>Robusta</v>
      </c>
      <c r="O512" t="str" cm="1">
        <f t="array" ref="O512">_xlfn.IFS(J512="M","Midium",J512="L","Light",J512="D","Dark")</f>
        <v>Light</v>
      </c>
      <c r="P512" t="str">
        <f>_xlfn.XLOOKUP(Orders[[#This Row],[Customer ID]],customers!A:A,customers!I:I,,0)</f>
        <v>Yes</v>
      </c>
      <c r="Q512" t="str">
        <f>_xlfn.XLOOKUP(C513,customers!A:A,customers!B:B,"مش موجود")</f>
        <v>Carolann Beine</v>
      </c>
    </row>
    <row r="513" spans="1:17" x14ac:dyDescent="0.25">
      <c r="A513" s="2" t="s">
        <v>3379</v>
      </c>
      <c r="B513" s="3">
        <v>44043</v>
      </c>
      <c r="C513" s="2" t="s">
        <v>3380</v>
      </c>
      <c r="D513" t="s">
        <v>6152</v>
      </c>
      <c r="E513" s="2">
        <v>4</v>
      </c>
      <c r="F513" s="2" t="str">
        <f>_xlfn.XLOOKUP(Orders[[#This Row],[Customer ID]],customers!A:A,customers!B:B)</f>
        <v>Carolann Beine</v>
      </c>
      <c r="G513" s="2" t="str" cm="1">
        <f t="array" ref="G513">IF(_xlfn.XLOOKUP(C513,customers!A512:$A$1001,customers!C512:$C$1001,,0)=0,"",_xlfn.XLOOKUP(C513,customers!A512:$A$1001,customers!C512:$C$1001,,0))</f>
        <v>cbeinee7@xinhuanet.com</v>
      </c>
      <c r="H513" s="2" t="str" cm="1">
        <f t="array" ref="H513">_xlfn.XLOOKUP(C513,customers!A512:$A$1001,customers!G512:$G$1001,"Ireland",0)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7"/>
        <v>13.5</v>
      </c>
      <c r="N513" t="str" cm="1">
        <f t="array" ref="N513">_xlfn.IFS(I513="Rob","Robusta",I513="Exc","Excelsa",I513="Ara","Arabica",I513="Lib","Liberica")</f>
        <v>Arabica</v>
      </c>
      <c r="O513" t="str" cm="1">
        <f t="array" ref="O513">_xlfn.IFS(J513="M","Midium",J513="L","Light",J513="D","Dark")</f>
        <v>Midium</v>
      </c>
      <c r="P513" t="str">
        <f>_xlfn.XLOOKUP(Orders[[#This Row],[Customer ID]],customers!A:A,customers!I:I,,0)</f>
        <v>Yes</v>
      </c>
      <c r="Q513" t="str">
        <f>_xlfn.XLOOKUP(C514,customers!A:A,customers!B:B,"مش موجود")</f>
        <v>Celia Bakeup</v>
      </c>
    </row>
    <row r="514" spans="1:17" x14ac:dyDescent="0.25">
      <c r="A514" s="2" t="s">
        <v>3385</v>
      </c>
      <c r="B514" s="3">
        <v>43535</v>
      </c>
      <c r="C514" s="2" t="s">
        <v>3386</v>
      </c>
      <c r="D514" t="s">
        <v>6170</v>
      </c>
      <c r="E514" s="2">
        <v>3</v>
      </c>
      <c r="F514" s="2" t="str">
        <f>_xlfn.XLOOKUP(Orders[[#This Row],[Customer ID]],customers!A:A,customers!B:B)</f>
        <v>Celia Bakeup</v>
      </c>
      <c r="G514" s="2" t="str" cm="1">
        <f t="array" ref="G514">IF(_xlfn.XLOOKUP(C514,customers!A513:$A$1001,customers!C513:$C$1001,,0)=0,"",_xlfn.XLOOKUP(C514,customers!A513:$A$1001,customers!C513:$C$1001,,0))</f>
        <v>cbakeupe8@globo.com</v>
      </c>
      <c r="H514" s="2" t="str" cm="1">
        <f t="array" ref="H514">_xlfn.XLOOKUP(C514,customers!A513:$A$1001,customers!G513:$G$1001,"Ireland",0)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7"/>
        <v>47.55</v>
      </c>
      <c r="N514" t="str" cm="1">
        <f t="array" ref="N514">_xlfn.IFS(I514="Rob","Robusta",I514="Exc","Excelsa",I514="Ara","Arabica",I514="Lib","Liberica")</f>
        <v>Liberica</v>
      </c>
      <c r="O514" t="str" cm="1">
        <f t="array" ref="O514">_xlfn.IFS(J514="M","Midium",J514="L","Light",J514="D","Dark")</f>
        <v>Light</v>
      </c>
      <c r="P514" t="str">
        <f>_xlfn.XLOOKUP(Orders[[#This Row],[Customer ID]],customers!A:A,customers!I:I,,0)</f>
        <v>No</v>
      </c>
      <c r="Q514" t="str">
        <f>_xlfn.XLOOKUP(C515,customers!A:A,customers!B:B,"مش موجود")</f>
        <v>Nataniel Helkin</v>
      </c>
    </row>
    <row r="515" spans="1:17" x14ac:dyDescent="0.25">
      <c r="A515" s="2" t="s">
        <v>3391</v>
      </c>
      <c r="B515" s="3">
        <v>44691</v>
      </c>
      <c r="C515" s="2" t="s">
        <v>3392</v>
      </c>
      <c r="D515" t="s">
        <v>6170</v>
      </c>
      <c r="E515" s="2">
        <v>5</v>
      </c>
      <c r="F515" s="2" t="str">
        <f>_xlfn.XLOOKUP(Orders[[#This Row],[Customer ID]],customers!A:A,customers!B:B)</f>
        <v>Nataniel Helkin</v>
      </c>
      <c r="G515" s="2" t="str" cm="1">
        <f t="array" ref="G515">IF(_xlfn.XLOOKUP(C515,customers!A514:$A$1001,customers!C514:$C$1001,,0)=0,"",_xlfn.XLOOKUP(C515,customers!A514:$A$1001,customers!C514:$C$1001,,0))</f>
        <v>nhelkine9@example.com</v>
      </c>
      <c r="H515" s="2" t="str" cm="1">
        <f t="array" ref="H515">_xlfn.XLOOKUP(C515,customers!A514:$A$1001,customers!G514:$G$1001,"Ireland",0)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8">L515*E515</f>
        <v>79.25</v>
      </c>
      <c r="N515" t="str" cm="1">
        <f t="array" ref="N515">_xlfn.IFS(I515="Rob","Robusta",I515="Exc","Excelsa",I515="Ara","Arabica",I515="Lib","Liberica")</f>
        <v>Liberica</v>
      </c>
      <c r="O515" t="str" cm="1">
        <f t="array" ref="O515">_xlfn.IFS(J515="M","Midium",J515="L","Light",J515="D","Dark")</f>
        <v>Light</v>
      </c>
      <c r="P515" t="str">
        <f>_xlfn.XLOOKUP(Orders[[#This Row],[Customer ID]],customers!A:A,customers!I:I,,0)</f>
        <v>No</v>
      </c>
      <c r="Q515" t="str">
        <f>_xlfn.XLOOKUP(C516,customers!A:A,customers!B:B,"مش موجود")</f>
        <v>Pippo Witherington</v>
      </c>
    </row>
    <row r="516" spans="1:17" x14ac:dyDescent="0.25">
      <c r="A516" s="2" t="s">
        <v>3396</v>
      </c>
      <c r="B516" s="3">
        <v>44555</v>
      </c>
      <c r="C516" s="2" t="s">
        <v>3397</v>
      </c>
      <c r="D516" t="s">
        <v>6159</v>
      </c>
      <c r="E516" s="2">
        <v>6</v>
      </c>
      <c r="F516" s="2" t="str">
        <f>_xlfn.XLOOKUP(Orders[[#This Row],[Customer ID]],customers!A:A,customers!B:B)</f>
        <v>Pippo Witherington</v>
      </c>
      <c r="G516" s="2" t="str" cm="1">
        <f t="array" ref="G516">IF(_xlfn.XLOOKUP(C516,customers!A515:$A$1001,customers!C515:$C$1001,,0)=0,"",_xlfn.XLOOKUP(C516,customers!A515:$A$1001,customers!C515:$C$1001,,0))</f>
        <v>pwitheringtonea@networkadvertising.org</v>
      </c>
      <c r="H516" s="2" t="str" cm="1">
        <f t="array" ref="H516">_xlfn.XLOOKUP(C516,customers!A515:$A$1001,customers!G515:$G$1001,"Ireland",0)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8"/>
        <v>26.19</v>
      </c>
      <c r="N516" t="str" cm="1">
        <f t="array" ref="N516">_xlfn.IFS(I516="Rob","Robusta",I516="Exc","Excelsa",I516="Ara","Arabica",I516="Lib","Liberica")</f>
        <v>Liberica</v>
      </c>
      <c r="O516" t="str" cm="1">
        <f t="array" ref="O516">_xlfn.IFS(J516="M","Midium",J516="L","Light",J516="D","Dark")</f>
        <v>Midium</v>
      </c>
      <c r="P516" t="str">
        <f>_xlfn.XLOOKUP(Orders[[#This Row],[Customer ID]],customers!A:A,customers!I:I,,0)</f>
        <v>Yes</v>
      </c>
      <c r="Q516" t="str">
        <f>_xlfn.XLOOKUP(C517,customers!A:A,customers!B:B,"مش موجود")</f>
        <v>Tildie Tilzey</v>
      </c>
    </row>
    <row r="517" spans="1:17" x14ac:dyDescent="0.25">
      <c r="A517" s="2" t="s">
        <v>3402</v>
      </c>
      <c r="B517" s="3">
        <v>44673</v>
      </c>
      <c r="C517" s="2" t="s">
        <v>3403</v>
      </c>
      <c r="D517" t="s">
        <v>6173</v>
      </c>
      <c r="E517" s="2">
        <v>3</v>
      </c>
      <c r="F517" s="2" t="str">
        <f>_xlfn.XLOOKUP(Orders[[#This Row],[Customer ID]],customers!A:A,customers!B:B)</f>
        <v>Tildie Tilzey</v>
      </c>
      <c r="G517" s="2" t="str" cm="1">
        <f t="array" ref="G517">IF(_xlfn.XLOOKUP(C517,customers!A516:$A$1001,customers!C516:$C$1001,,0)=0,"",_xlfn.XLOOKUP(C517,customers!A516:$A$1001,customers!C516:$C$1001,,0))</f>
        <v>ttilzeyeb@hostgator.com</v>
      </c>
      <c r="H517" s="2" t="str" cm="1">
        <f t="array" ref="H517">_xlfn.XLOOKUP(C517,customers!A516:$A$1001,customers!G516:$G$1001,"Ireland",0)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8"/>
        <v>21.509999999999998</v>
      </c>
      <c r="N517" t="str" cm="1">
        <f t="array" ref="N517">_xlfn.IFS(I517="Rob","Robusta",I517="Exc","Excelsa",I517="Ara","Arabica",I517="Lib","Liberica")</f>
        <v>Robusta</v>
      </c>
      <c r="O517" t="str" cm="1">
        <f t="array" ref="O517">_xlfn.IFS(J517="M","Midium",J517="L","Light",J517="D","Dark")</f>
        <v>Light</v>
      </c>
      <c r="P517" t="str">
        <f>_xlfn.XLOOKUP(Orders[[#This Row],[Customer ID]],customers!A:A,customers!I:I,,0)</f>
        <v>No</v>
      </c>
      <c r="Q517" t="str">
        <f>_xlfn.XLOOKUP(C518,customers!A:A,customers!B:B,"مش موجود")</f>
        <v>Cindra Burling</v>
      </c>
    </row>
    <row r="518" spans="1:17" x14ac:dyDescent="0.25">
      <c r="A518" s="2" t="s">
        <v>3408</v>
      </c>
      <c r="B518" s="3">
        <v>44723</v>
      </c>
      <c r="C518" s="2" t="s">
        <v>3409</v>
      </c>
      <c r="D518" t="s">
        <v>6149</v>
      </c>
      <c r="E518" s="2">
        <v>5</v>
      </c>
      <c r="F518" s="2" t="str">
        <f>_xlfn.XLOOKUP(Orders[[#This Row],[Customer ID]],customers!A:A,customers!B:B)</f>
        <v>Cindra Burling</v>
      </c>
      <c r="G518" s="2" t="str" cm="1">
        <f t="array" ref="G518">IF(_xlfn.XLOOKUP(C518,customers!A517:$A$1001,customers!C517:$C$1001,,0)=0,"",_xlfn.XLOOKUP(C518,customers!A517:$A$1001,customers!C517:$C$1001,,0))</f>
        <v/>
      </c>
      <c r="H518" s="2" t="str" cm="1">
        <f t="array" ref="H518">_xlfn.XLOOKUP(C518,customers!A517:$A$1001,customers!G517:$G$1001,"Ireland",0)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8"/>
        <v>102.92499999999998</v>
      </c>
      <c r="N518" t="str" cm="1">
        <f t="array" ref="N518">_xlfn.IFS(I518="Rob","Robusta",I518="Exc","Excelsa",I518="Ara","Arabica",I518="Lib","Liberica")</f>
        <v>Robusta</v>
      </c>
      <c r="O518" t="str" cm="1">
        <f t="array" ref="O518">_xlfn.IFS(J518="M","Midium",J518="L","Light",J518="D","Dark")</f>
        <v>Dark</v>
      </c>
      <c r="P518" t="str">
        <f>_xlfn.XLOOKUP(Orders[[#This Row],[Customer ID]],customers!A:A,customers!I:I,,0)</f>
        <v>Yes</v>
      </c>
      <c r="Q518" t="str">
        <f>_xlfn.XLOOKUP(C519,customers!A:A,customers!B:B,"مش موجود")</f>
        <v>Channa Belamy</v>
      </c>
    </row>
    <row r="519" spans="1:17" x14ac:dyDescent="0.25">
      <c r="A519" s="2" t="s">
        <v>3413</v>
      </c>
      <c r="B519" s="3">
        <v>44678</v>
      </c>
      <c r="C519" s="2" t="s">
        <v>3414</v>
      </c>
      <c r="D519" t="s">
        <v>6150</v>
      </c>
      <c r="E519" s="2">
        <v>2</v>
      </c>
      <c r="F519" s="2" t="str">
        <f>_xlfn.XLOOKUP(Orders[[#This Row],[Customer ID]],customers!A:A,customers!B:B)</f>
        <v>Channa Belamy</v>
      </c>
      <c r="G519" s="2" t="str" cm="1">
        <f t="array" ref="G519">IF(_xlfn.XLOOKUP(C519,customers!A518:$A$1001,customers!C518:$C$1001,,0)=0,"",_xlfn.XLOOKUP(C519,customers!A518:$A$1001,customers!C518:$C$1001,,0))</f>
        <v/>
      </c>
      <c r="H519" s="2" t="str" cm="1">
        <f t="array" ref="H519">_xlfn.XLOOKUP(C519,customers!A518:$A$1001,customers!G518:$G$1001,"Ireland",0)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8"/>
        <v>7.77</v>
      </c>
      <c r="N519" t="str" cm="1">
        <f t="array" ref="N519">_xlfn.IFS(I519="Rob","Robusta",I519="Exc","Excelsa",I519="Ara","Arabica",I519="Lib","Liberica")</f>
        <v>Liberica</v>
      </c>
      <c r="O519" t="str" cm="1">
        <f t="array" ref="O519">_xlfn.IFS(J519="M","Midium",J519="L","Light",J519="D","Dark")</f>
        <v>Dark</v>
      </c>
      <c r="P519" t="str">
        <f>_xlfn.XLOOKUP(Orders[[#This Row],[Customer ID]],customers!A:A,customers!I:I,,0)</f>
        <v>No</v>
      </c>
      <c r="Q519" t="str">
        <f>_xlfn.XLOOKUP(C520,customers!A:A,customers!B:B,"مش موجود")</f>
        <v>Karl Imorts</v>
      </c>
    </row>
    <row r="520" spans="1:17" x14ac:dyDescent="0.25">
      <c r="A520" s="2" t="s">
        <v>3418</v>
      </c>
      <c r="B520" s="3">
        <v>44194</v>
      </c>
      <c r="C520" s="2" t="s">
        <v>3419</v>
      </c>
      <c r="D520" t="s">
        <v>6185</v>
      </c>
      <c r="E520" s="2">
        <v>5</v>
      </c>
      <c r="F520" s="2" t="str">
        <f>_xlfn.XLOOKUP(Orders[[#This Row],[Customer ID]],customers!A:A,customers!B:B)</f>
        <v>Karl Imorts</v>
      </c>
      <c r="G520" s="2" t="str" cm="1">
        <f t="array" ref="G520">IF(_xlfn.XLOOKUP(C520,customers!A519:$A$1001,customers!C519:$C$1001,,0)=0,"",_xlfn.XLOOKUP(C520,customers!A519:$A$1001,customers!C519:$C$1001,,0))</f>
        <v>kimortsee@alexa.com</v>
      </c>
      <c r="H520" s="2" t="str" cm="1">
        <f t="array" ref="H520">_xlfn.XLOOKUP(C520,customers!A519:$A$1001,customers!G519:$G$1001,"Ireland",0)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8"/>
        <v>139.72499999999999</v>
      </c>
      <c r="N520" t="str" cm="1">
        <f t="array" ref="N520">_xlfn.IFS(I520="Rob","Robusta",I520="Exc","Excelsa",I520="Ara","Arabica",I520="Lib","Liberica")</f>
        <v>Excelsa</v>
      </c>
      <c r="O520" t="str" cm="1">
        <f t="array" ref="O520">_xlfn.IFS(J520="M","Midium",J520="L","Light",J520="D","Dark")</f>
        <v>Dark</v>
      </c>
      <c r="P520" t="str">
        <f>_xlfn.XLOOKUP(Orders[[#This Row],[Customer ID]],customers!A:A,customers!I:I,,0)</f>
        <v>No</v>
      </c>
      <c r="Q520" t="str">
        <f>_xlfn.XLOOKUP(C521,customers!A:A,customers!B:B,"مش موجود")</f>
        <v>Marja Urion</v>
      </c>
    </row>
    <row r="521" spans="1:17" x14ac:dyDescent="0.25">
      <c r="A521" s="2" t="s">
        <v>3424</v>
      </c>
      <c r="B521" s="3">
        <v>44026</v>
      </c>
      <c r="C521" s="2" t="s">
        <v>3368</v>
      </c>
      <c r="D521" t="s">
        <v>6158</v>
      </c>
      <c r="E521" s="2">
        <v>2</v>
      </c>
      <c r="F521" s="2" t="str">
        <f>_xlfn.XLOOKUP(Orders[[#This Row],[Customer ID]],customers!A:A,customers!B:B)</f>
        <v>Marja Urion</v>
      </c>
      <c r="G521" s="2" t="e" cm="1">
        <f t="array" ref="G521">IF(_xlfn.XLOOKUP(C521,customers!A520:$A$1001,customers!C520:$C$1001,,0)=0,"",_xlfn.XLOOKUP(C521,customers!A520:$A$1001,customers!C520:$C$1001,,0))</f>
        <v>#N/A</v>
      </c>
      <c r="H521" s="2" t="str" cm="1">
        <f t="array" ref="H521">_xlfn.XLOOKUP(C521,customers!A520:$A$1001,customers!G520:$G$1001,"Ireland",0)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8"/>
        <v>11.94</v>
      </c>
      <c r="N521" t="str" cm="1">
        <f t="array" ref="N521">_xlfn.IFS(I521="Rob","Robusta",I521="Exc","Excelsa",I521="Ara","Arabica",I521="Lib","Liberica")</f>
        <v>Arabica</v>
      </c>
      <c r="O521" t="str" cm="1">
        <f t="array" ref="O521">_xlfn.IFS(J521="M","Midium",J521="L","Light",J521="D","Dark")</f>
        <v>Dark</v>
      </c>
      <c r="P521" t="str">
        <f>_xlfn.XLOOKUP(Orders[[#This Row],[Customer ID]],customers!A:A,customers!I:I,,0)</f>
        <v>Yes</v>
      </c>
      <c r="Q521" t="str">
        <f>_xlfn.XLOOKUP(C522,customers!A:A,customers!B:B,"مش موجود")</f>
        <v>Mag Armistead</v>
      </c>
    </row>
    <row r="522" spans="1:17" x14ac:dyDescent="0.25">
      <c r="A522" s="2" t="s">
        <v>3430</v>
      </c>
      <c r="B522" s="3">
        <v>44446</v>
      </c>
      <c r="C522" s="2" t="s">
        <v>3431</v>
      </c>
      <c r="D522" t="s">
        <v>6150</v>
      </c>
      <c r="E522" s="2">
        <v>1</v>
      </c>
      <c r="F522" s="2" t="str">
        <f>_xlfn.XLOOKUP(Orders[[#This Row],[Customer ID]],customers!A:A,customers!B:B)</f>
        <v>Mag Armistead</v>
      </c>
      <c r="G522" s="2" t="str" cm="1">
        <f t="array" ref="G522">IF(_xlfn.XLOOKUP(C522,customers!A521:$A$1001,customers!C521:$C$1001,,0)=0,"",_xlfn.XLOOKUP(C522,customers!A521:$A$1001,customers!C521:$C$1001,,0))</f>
        <v>marmisteadeg@blogtalkradio.com</v>
      </c>
      <c r="H522" s="2" t="str" cm="1">
        <f t="array" ref="H522">_xlfn.XLOOKUP(C522,customers!A521:$A$1001,customers!G521:$G$1001,"Ireland",0)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8"/>
        <v>3.8849999999999998</v>
      </c>
      <c r="N522" t="str" cm="1">
        <f t="array" ref="N522">_xlfn.IFS(I522="Rob","Robusta",I522="Exc","Excelsa",I522="Ara","Arabica",I522="Lib","Liberica")</f>
        <v>Liberica</v>
      </c>
      <c r="O522" t="str" cm="1">
        <f t="array" ref="O522">_xlfn.IFS(J522="M","Midium",J522="L","Light",J522="D","Dark")</f>
        <v>Dark</v>
      </c>
      <c r="P522" t="str">
        <f>_xlfn.XLOOKUP(Orders[[#This Row],[Customer ID]],customers!A:A,customers!I:I,,0)</f>
        <v>No</v>
      </c>
      <c r="Q522" t="str">
        <f>_xlfn.XLOOKUP(C523,customers!A:A,customers!B:B,"مش موجود")</f>
        <v>Mag Armistead</v>
      </c>
    </row>
    <row r="523" spans="1:17" x14ac:dyDescent="0.25">
      <c r="A523" s="2" t="s">
        <v>3430</v>
      </c>
      <c r="B523" s="3">
        <v>44446</v>
      </c>
      <c r="C523" s="2" t="s">
        <v>3431</v>
      </c>
      <c r="D523" t="s">
        <v>6138</v>
      </c>
      <c r="E523" s="2">
        <v>4</v>
      </c>
      <c r="F523" s="2" t="str">
        <f>_xlfn.XLOOKUP(Orders[[#This Row],[Customer ID]],customers!A:A,customers!B:B)</f>
        <v>Mag Armistead</v>
      </c>
      <c r="G523" s="2" t="str" cm="1">
        <f t="array" ref="G523">IF(_xlfn.XLOOKUP(C523,customers!A522:$A$1001,customers!C522:$C$1001,,0)=0,"",_xlfn.XLOOKUP(C523,customers!A522:$A$1001,customers!C522:$C$1001,,0))</f>
        <v>marmisteadeg@blogtalkradio.com</v>
      </c>
      <c r="H523" s="2" t="str" cm="1">
        <f t="array" ref="H523">_xlfn.XLOOKUP(C523,customers!A522:$A$1001,customers!G522:$G$1001,"Ireland",0)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8"/>
        <v>39.799999999999997</v>
      </c>
      <c r="N523" t="str" cm="1">
        <f t="array" ref="N523">_xlfn.IFS(I523="Rob","Robusta",I523="Exc","Excelsa",I523="Ara","Arabica",I523="Lib","Liberica")</f>
        <v>Robusta</v>
      </c>
      <c r="O523" t="str" cm="1">
        <f t="array" ref="O523">_xlfn.IFS(J523="M","Midium",J523="L","Light",J523="D","Dark")</f>
        <v>Midium</v>
      </c>
      <c r="P523" t="str">
        <f>_xlfn.XLOOKUP(Orders[[#This Row],[Customer ID]],customers!A:A,customers!I:I,,0)</f>
        <v>No</v>
      </c>
      <c r="Q523" t="str">
        <f>_xlfn.XLOOKUP(C524,customers!A:A,customers!B:B,"مش موجود")</f>
        <v>Vasili Upstone</v>
      </c>
    </row>
    <row r="524" spans="1:17" x14ac:dyDescent="0.25">
      <c r="A524" s="2" t="s">
        <v>3441</v>
      </c>
      <c r="B524" s="3">
        <v>43625</v>
      </c>
      <c r="C524" s="2" t="s">
        <v>3442</v>
      </c>
      <c r="D524" t="s">
        <v>6146</v>
      </c>
      <c r="E524" s="2">
        <v>5</v>
      </c>
      <c r="F524" s="2" t="str">
        <f>_xlfn.XLOOKUP(Orders[[#This Row],[Customer ID]],customers!A:A,customers!B:B)</f>
        <v>Vasili Upstone</v>
      </c>
      <c r="G524" s="2" t="str" cm="1">
        <f t="array" ref="G524">IF(_xlfn.XLOOKUP(C524,customers!A523:$A$1001,customers!C523:$C$1001,,0)=0,"",_xlfn.XLOOKUP(C524,customers!A523:$A$1001,customers!C523:$C$1001,,0))</f>
        <v>vupstoneei@google.pl</v>
      </c>
      <c r="H524" s="2" t="str" cm="1">
        <f t="array" ref="H524">_xlfn.XLOOKUP(C524,customers!A523:$A$1001,customers!G523:$G$1001,"Ireland",0)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8"/>
        <v>29.849999999999998</v>
      </c>
      <c r="N524" t="str" cm="1">
        <f t="array" ref="N524">_xlfn.IFS(I524="Rob","Robusta",I524="Exc","Excelsa",I524="Ara","Arabica",I524="Lib","Liberica")</f>
        <v>Robusta</v>
      </c>
      <c r="O524" t="str" cm="1">
        <f t="array" ref="O524">_xlfn.IFS(J524="M","Midium",J524="L","Light",J524="D","Dark")</f>
        <v>Midium</v>
      </c>
      <c r="P524" t="str">
        <f>_xlfn.XLOOKUP(Orders[[#This Row],[Customer ID]],customers!A:A,customers!I:I,,0)</f>
        <v>No</v>
      </c>
      <c r="Q524" t="str">
        <f>_xlfn.XLOOKUP(C525,customers!A:A,customers!B:B,"مش موجود")</f>
        <v>Berty Beelby</v>
      </c>
    </row>
    <row r="525" spans="1:17" x14ac:dyDescent="0.25">
      <c r="A525" s="2" t="s">
        <v>3447</v>
      </c>
      <c r="B525" s="3">
        <v>44129</v>
      </c>
      <c r="C525" s="2" t="s">
        <v>3448</v>
      </c>
      <c r="D525" t="s">
        <v>6165</v>
      </c>
      <c r="E525" s="2">
        <v>1</v>
      </c>
      <c r="F525" s="2" t="str">
        <f>_xlfn.XLOOKUP(Orders[[#This Row],[Customer ID]],customers!A:A,customers!B:B)</f>
        <v>Berty Beelby</v>
      </c>
      <c r="G525" s="2" t="str" cm="1">
        <f t="array" ref="G525">IF(_xlfn.XLOOKUP(C525,customers!A524:$A$1001,customers!C524:$C$1001,,0)=0,"",_xlfn.XLOOKUP(C525,customers!A524:$A$1001,customers!C524:$C$1001,,0))</f>
        <v>bbeelbyej@rediff.com</v>
      </c>
      <c r="H525" s="2" t="str" cm="1">
        <f t="array" ref="H525">_xlfn.XLOOKUP(C525,customers!A524:$A$1001,customers!G524:$G$1001,"Ireland",0)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8"/>
        <v>29.784999999999997</v>
      </c>
      <c r="N525" t="str" cm="1">
        <f t="array" ref="N525">_xlfn.IFS(I525="Rob","Robusta",I525="Exc","Excelsa",I525="Ara","Arabica",I525="Lib","Liberica")</f>
        <v>Liberica</v>
      </c>
      <c r="O525" t="str" cm="1">
        <f t="array" ref="O525">_xlfn.IFS(J525="M","Midium",J525="L","Light",J525="D","Dark")</f>
        <v>Dark</v>
      </c>
      <c r="P525" t="str">
        <f>_xlfn.XLOOKUP(Orders[[#This Row],[Customer ID]],customers!A:A,customers!I:I,,0)</f>
        <v>No</v>
      </c>
      <c r="Q525" t="str">
        <f>_xlfn.XLOOKUP(C526,customers!A:A,customers!B:B,"مش موجود")</f>
        <v>Erny Stenyng</v>
      </c>
    </row>
    <row r="526" spans="1:17" x14ac:dyDescent="0.25">
      <c r="A526" s="2" t="s">
        <v>3453</v>
      </c>
      <c r="B526" s="3">
        <v>44255</v>
      </c>
      <c r="C526" s="2" t="s">
        <v>3454</v>
      </c>
      <c r="D526" t="s">
        <v>6164</v>
      </c>
      <c r="E526" s="2">
        <v>2</v>
      </c>
      <c r="F526" s="2" t="str">
        <f>_xlfn.XLOOKUP(Orders[[#This Row],[Customer ID]],customers!A:A,customers!B:B)</f>
        <v>Erny Stenyng</v>
      </c>
      <c r="G526" s="2" t="str" cm="1">
        <f t="array" ref="G526">IF(_xlfn.XLOOKUP(C526,customers!A525:$A$1001,customers!C525:$C$1001,,0)=0,"",_xlfn.XLOOKUP(C526,customers!A525:$A$1001,customers!C525:$C$1001,,0))</f>
        <v/>
      </c>
      <c r="H526" s="2" t="str" cm="1">
        <f t="array" ref="H526">_xlfn.XLOOKUP(C526,customers!A525:$A$1001,customers!G525:$G$1001,"Ireland",0)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8"/>
        <v>72.91</v>
      </c>
      <c r="N526" t="str" cm="1">
        <f t="array" ref="N526">_xlfn.IFS(I526="Rob","Robusta",I526="Exc","Excelsa",I526="Ara","Arabica",I526="Lib","Liberica")</f>
        <v>Liberica</v>
      </c>
      <c r="O526" t="str" cm="1">
        <f t="array" ref="O526">_xlfn.IFS(J526="M","Midium",J526="L","Light",J526="D","Dark")</f>
        <v>Light</v>
      </c>
      <c r="P526" t="str">
        <f>_xlfn.XLOOKUP(Orders[[#This Row],[Customer ID]],customers!A:A,customers!I:I,,0)</f>
        <v>No</v>
      </c>
      <c r="Q526" t="str">
        <f>_xlfn.XLOOKUP(C527,customers!A:A,customers!B:B,"مش موجود")</f>
        <v>Edin Yantsurev</v>
      </c>
    </row>
    <row r="527" spans="1:17" x14ac:dyDescent="0.25">
      <c r="A527" s="2" t="s">
        <v>3458</v>
      </c>
      <c r="B527" s="3">
        <v>44038</v>
      </c>
      <c r="C527" s="2" t="s">
        <v>3459</v>
      </c>
      <c r="D527" t="s">
        <v>6163</v>
      </c>
      <c r="E527" s="2">
        <v>5</v>
      </c>
      <c r="F527" s="2" t="str">
        <f>_xlfn.XLOOKUP(Orders[[#This Row],[Customer ID]],customers!A:A,customers!B:B)</f>
        <v>Edin Yantsurev</v>
      </c>
      <c r="G527" s="2" t="str" cm="1">
        <f t="array" ref="G527">IF(_xlfn.XLOOKUP(C527,customers!A526:$A$1001,customers!C526:$C$1001,,0)=0,"",_xlfn.XLOOKUP(C527,customers!A526:$A$1001,customers!C526:$C$1001,,0))</f>
        <v/>
      </c>
      <c r="H527" s="2" t="str" cm="1">
        <f t="array" ref="H527">_xlfn.XLOOKUP(C527,customers!A526:$A$1001,customers!G526:$G$1001,"Ireland",0)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8"/>
        <v>13.424999999999997</v>
      </c>
      <c r="N527" t="str" cm="1">
        <f t="array" ref="N527">_xlfn.IFS(I527="Rob","Robusta",I527="Exc","Excelsa",I527="Ara","Arabica",I527="Lib","Liberica")</f>
        <v>Robusta</v>
      </c>
      <c r="O527" t="str" cm="1">
        <f t="array" ref="O527">_xlfn.IFS(J527="M","Midium",J527="L","Light",J527="D","Dark")</f>
        <v>Dark</v>
      </c>
      <c r="P527" t="str">
        <f>_xlfn.XLOOKUP(Orders[[#This Row],[Customer ID]],customers!A:A,customers!I:I,,0)</f>
        <v>Yes</v>
      </c>
      <c r="Q527" t="str">
        <f>_xlfn.XLOOKUP(C528,customers!A:A,customers!B:B,"مش موجود")</f>
        <v>Webb Speechly</v>
      </c>
    </row>
    <row r="528" spans="1:17" x14ac:dyDescent="0.25">
      <c r="A528" s="2" t="s">
        <v>3463</v>
      </c>
      <c r="B528" s="3">
        <v>44717</v>
      </c>
      <c r="C528" s="2" t="s">
        <v>3464</v>
      </c>
      <c r="D528" t="s">
        <v>6166</v>
      </c>
      <c r="E528" s="2">
        <v>4</v>
      </c>
      <c r="F528" s="2" t="str">
        <f>_xlfn.XLOOKUP(Orders[[#This Row],[Customer ID]],customers!A:A,customers!B:B)</f>
        <v>Webb Speechly</v>
      </c>
      <c r="G528" s="2" t="str" cm="1">
        <f t="array" ref="G528">IF(_xlfn.XLOOKUP(C528,customers!A527:$A$1001,customers!C527:$C$1001,,0)=0,"",_xlfn.XLOOKUP(C528,customers!A527:$A$1001,customers!C527:$C$1001,,0))</f>
        <v>wspeechlyem@amazon.com</v>
      </c>
      <c r="H528" s="2" t="str" cm="1">
        <f t="array" ref="H528">_xlfn.XLOOKUP(C528,customers!A527:$A$1001,customers!G527:$G$1001,"Ireland",0)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8"/>
        <v>126.49999999999999</v>
      </c>
      <c r="N528" t="str" cm="1">
        <f t="array" ref="N528">_xlfn.IFS(I528="Rob","Robusta",I528="Exc","Excelsa",I528="Ara","Arabica",I528="Lib","Liberica")</f>
        <v>Excelsa</v>
      </c>
      <c r="O528" t="str" cm="1">
        <f t="array" ref="O528">_xlfn.IFS(J528="M","Midium",J528="L","Light",J528="D","Dark")</f>
        <v>Midium</v>
      </c>
      <c r="P528" t="str">
        <f>_xlfn.XLOOKUP(Orders[[#This Row],[Customer ID]],customers!A:A,customers!I:I,,0)</f>
        <v>Yes</v>
      </c>
      <c r="Q528" t="str">
        <f>_xlfn.XLOOKUP(C529,customers!A:A,customers!B:B,"مش موجود")</f>
        <v>Irvine Phillpot</v>
      </c>
    </row>
    <row r="529" spans="1:17" x14ac:dyDescent="0.25">
      <c r="A529" s="2" t="s">
        <v>3469</v>
      </c>
      <c r="B529" s="3">
        <v>43517</v>
      </c>
      <c r="C529" s="2" t="s">
        <v>3470</v>
      </c>
      <c r="D529" t="s">
        <v>6139</v>
      </c>
      <c r="E529" s="2">
        <v>5</v>
      </c>
      <c r="F529" s="2" t="str">
        <f>_xlfn.XLOOKUP(Orders[[#This Row],[Customer ID]],customers!A:A,customers!B:B)</f>
        <v>Irvine Phillpot</v>
      </c>
      <c r="G529" s="2" t="str" cm="1">
        <f t="array" ref="G529">IF(_xlfn.XLOOKUP(C529,customers!A528:$A$1001,customers!C528:$C$1001,,0)=0,"",_xlfn.XLOOKUP(C529,customers!A528:$A$1001,customers!C528:$C$1001,,0))</f>
        <v>iphillpoten@buzzfeed.com</v>
      </c>
      <c r="H529" s="2" t="str" cm="1">
        <f t="array" ref="H529">_xlfn.XLOOKUP(C529,customers!A528:$A$1001,customers!G528:$G$1001,"Ireland",0)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8"/>
        <v>41.25</v>
      </c>
      <c r="N529" t="str" cm="1">
        <f t="array" ref="N529">_xlfn.IFS(I529="Rob","Robusta",I529="Exc","Excelsa",I529="Ara","Arabica",I529="Lib","Liberica")</f>
        <v>Excelsa</v>
      </c>
      <c r="O529" t="str" cm="1">
        <f t="array" ref="O529">_xlfn.IFS(J529="M","Midium",J529="L","Light",J529="D","Dark")</f>
        <v>Midium</v>
      </c>
      <c r="P529" t="str">
        <f>_xlfn.XLOOKUP(Orders[[#This Row],[Customer ID]],customers!A:A,customers!I:I,,0)</f>
        <v>No</v>
      </c>
      <c r="Q529" t="str">
        <f>_xlfn.XLOOKUP(C530,customers!A:A,customers!B:B,"مش موجود")</f>
        <v>Lem Pennacci</v>
      </c>
    </row>
    <row r="530" spans="1:17" x14ac:dyDescent="0.25">
      <c r="A530" s="2" t="s">
        <v>3475</v>
      </c>
      <c r="B530" s="3">
        <v>43926</v>
      </c>
      <c r="C530" s="2" t="s">
        <v>3476</v>
      </c>
      <c r="D530" t="s">
        <v>6176</v>
      </c>
      <c r="E530" s="2">
        <v>6</v>
      </c>
      <c r="F530" s="2" t="str">
        <f>_xlfn.XLOOKUP(Orders[[#This Row],[Customer ID]],customers!A:A,customers!B:B)</f>
        <v>Lem Pennacci</v>
      </c>
      <c r="G530" s="2" t="str" cm="1">
        <f t="array" ref="G530">IF(_xlfn.XLOOKUP(C530,customers!A529:$A$1001,customers!C529:$C$1001,,0)=0,"",_xlfn.XLOOKUP(C530,customers!A529:$A$1001,customers!C529:$C$1001,,0))</f>
        <v>lpennaccieo@statcounter.com</v>
      </c>
      <c r="H530" s="2" t="str" cm="1">
        <f t="array" ref="H530">_xlfn.XLOOKUP(C530,customers!A529:$A$1001,customers!G529:$G$1001,"Ireland",0)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8"/>
        <v>53.46</v>
      </c>
      <c r="N530" t="str" cm="1">
        <f t="array" ref="N530">_xlfn.IFS(I530="Rob","Robusta",I530="Exc","Excelsa",I530="Ara","Arabica",I530="Lib","Liberica")</f>
        <v>Excelsa</v>
      </c>
      <c r="O530" t="str" cm="1">
        <f t="array" ref="O530">_xlfn.IFS(J530="M","Midium",J530="L","Light",J530="D","Dark")</f>
        <v>Light</v>
      </c>
      <c r="P530" t="str">
        <f>_xlfn.XLOOKUP(Orders[[#This Row],[Customer ID]],customers!A:A,customers!I:I,,0)</f>
        <v>No</v>
      </c>
      <c r="Q530" t="str">
        <f>_xlfn.XLOOKUP(C531,customers!A:A,customers!B:B,"مش موجود")</f>
        <v>Starr Arpin</v>
      </c>
    </row>
    <row r="531" spans="1:17" x14ac:dyDescent="0.25">
      <c r="A531" s="2" t="s">
        <v>3481</v>
      </c>
      <c r="B531" s="3">
        <v>43475</v>
      </c>
      <c r="C531" s="2" t="s">
        <v>3482</v>
      </c>
      <c r="D531" t="s">
        <v>6138</v>
      </c>
      <c r="E531" s="2">
        <v>6</v>
      </c>
      <c r="F531" s="2" t="str">
        <f>_xlfn.XLOOKUP(Orders[[#This Row],[Customer ID]],customers!A:A,customers!B:B)</f>
        <v>Starr Arpin</v>
      </c>
      <c r="G531" s="2" t="str" cm="1">
        <f t="array" ref="G531">IF(_xlfn.XLOOKUP(C531,customers!A530:$A$1001,customers!C530:$C$1001,,0)=0,"",_xlfn.XLOOKUP(C531,customers!A530:$A$1001,customers!C530:$C$1001,,0))</f>
        <v>sarpinep@moonfruit.com</v>
      </c>
      <c r="H531" s="2" t="str" cm="1">
        <f t="array" ref="H531">_xlfn.XLOOKUP(C531,customers!A530:$A$1001,customers!G530:$G$1001,"Ireland",0)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8"/>
        <v>59.699999999999996</v>
      </c>
      <c r="N531" t="str" cm="1">
        <f t="array" ref="N531">_xlfn.IFS(I531="Rob","Robusta",I531="Exc","Excelsa",I531="Ara","Arabica",I531="Lib","Liberica")</f>
        <v>Robusta</v>
      </c>
      <c r="O531" t="str" cm="1">
        <f t="array" ref="O531">_xlfn.IFS(J531="M","Midium",J531="L","Light",J531="D","Dark")</f>
        <v>Midium</v>
      </c>
      <c r="P531" t="str">
        <f>_xlfn.XLOOKUP(Orders[[#This Row],[Customer ID]],customers!A:A,customers!I:I,,0)</f>
        <v>No</v>
      </c>
      <c r="Q531" t="str">
        <f>_xlfn.XLOOKUP(C532,customers!A:A,customers!B:B,"مش موجود")</f>
        <v>Donny Fries</v>
      </c>
    </row>
    <row r="532" spans="1:17" x14ac:dyDescent="0.25">
      <c r="A532" s="2" t="s">
        <v>3487</v>
      </c>
      <c r="B532" s="3">
        <v>44663</v>
      </c>
      <c r="C532" s="2" t="s">
        <v>3488</v>
      </c>
      <c r="D532" t="s">
        <v>6138</v>
      </c>
      <c r="E532" s="2">
        <v>6</v>
      </c>
      <c r="F532" s="2" t="str">
        <f>_xlfn.XLOOKUP(Orders[[#This Row],[Customer ID]],customers!A:A,customers!B:B)</f>
        <v>Donny Fries</v>
      </c>
      <c r="G532" s="2" t="str" cm="1">
        <f t="array" ref="G532">IF(_xlfn.XLOOKUP(C532,customers!A531:$A$1001,customers!C531:$C$1001,,0)=0,"",_xlfn.XLOOKUP(C532,customers!A531:$A$1001,customers!C531:$C$1001,,0))</f>
        <v>dfrieseq@cargocollective.com</v>
      </c>
      <c r="H532" s="2" t="str" cm="1">
        <f t="array" ref="H532">_xlfn.XLOOKUP(C532,customers!A531:$A$1001,customers!G531:$G$1001,"Ireland",0)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8"/>
        <v>59.699999999999996</v>
      </c>
      <c r="N532" t="str" cm="1">
        <f t="array" ref="N532">_xlfn.IFS(I532="Rob","Robusta",I532="Exc","Excelsa",I532="Ara","Arabica",I532="Lib","Liberica")</f>
        <v>Robusta</v>
      </c>
      <c r="O532" t="str" cm="1">
        <f t="array" ref="O532">_xlfn.IFS(J532="M","Midium",J532="L","Light",J532="D","Dark")</f>
        <v>Midium</v>
      </c>
      <c r="P532" t="str">
        <f>_xlfn.XLOOKUP(Orders[[#This Row],[Customer ID]],customers!A:A,customers!I:I,,0)</f>
        <v>No</v>
      </c>
      <c r="Q532" t="str">
        <f>_xlfn.XLOOKUP(C533,customers!A:A,customers!B:B,"مش موجود")</f>
        <v>Rana Sharer</v>
      </c>
    </row>
    <row r="533" spans="1:17" x14ac:dyDescent="0.25">
      <c r="A533" s="2" t="s">
        <v>3493</v>
      </c>
      <c r="B533" s="3">
        <v>44591</v>
      </c>
      <c r="C533" s="2" t="s">
        <v>3494</v>
      </c>
      <c r="D533" t="s">
        <v>6177</v>
      </c>
      <c r="E533" s="2">
        <v>5</v>
      </c>
      <c r="F533" s="2" t="str">
        <f>_xlfn.XLOOKUP(Orders[[#This Row],[Customer ID]],customers!A:A,customers!B:B)</f>
        <v>Rana Sharer</v>
      </c>
      <c r="G533" s="2" t="str" cm="1">
        <f t="array" ref="G533">IF(_xlfn.XLOOKUP(C533,customers!A532:$A$1001,customers!C532:$C$1001,,0)=0,"",_xlfn.XLOOKUP(C533,customers!A532:$A$1001,customers!C532:$C$1001,,0))</f>
        <v>rsharerer@flavors.me</v>
      </c>
      <c r="H533" s="2" t="str" cm="1">
        <f t="array" ref="H533">_xlfn.XLOOKUP(C533,customers!A532:$A$1001,customers!G532:$G$1001,"Ireland",0)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8"/>
        <v>44.75</v>
      </c>
      <c r="N533" t="str" cm="1">
        <f t="array" ref="N533">_xlfn.IFS(I533="Rob","Robusta",I533="Exc","Excelsa",I533="Ara","Arabica",I533="Lib","Liberica")</f>
        <v>Robusta</v>
      </c>
      <c r="O533" t="str" cm="1">
        <f t="array" ref="O533">_xlfn.IFS(J533="M","Midium",J533="L","Light",J533="D","Dark")</f>
        <v>Dark</v>
      </c>
      <c r="P533" t="str">
        <f>_xlfn.XLOOKUP(Orders[[#This Row],[Customer ID]],customers!A:A,customers!I:I,,0)</f>
        <v>No</v>
      </c>
      <c r="Q533" t="str">
        <f>_xlfn.XLOOKUP(C534,customers!A:A,customers!B:B,"مش موجود")</f>
        <v>Nannie Naseby</v>
      </c>
    </row>
    <row r="534" spans="1:17" x14ac:dyDescent="0.25">
      <c r="A534" s="2" t="s">
        <v>3499</v>
      </c>
      <c r="B534" s="3">
        <v>44330</v>
      </c>
      <c r="C534" s="2" t="s">
        <v>3500</v>
      </c>
      <c r="D534" t="s">
        <v>6139</v>
      </c>
      <c r="E534" s="2">
        <v>2</v>
      </c>
      <c r="F534" s="2" t="str">
        <f>_xlfn.XLOOKUP(Orders[[#This Row],[Customer ID]],customers!A:A,customers!B:B)</f>
        <v>Nannie Naseby</v>
      </c>
      <c r="G534" s="2" t="str" cm="1">
        <f t="array" ref="G534">IF(_xlfn.XLOOKUP(C534,customers!A533:$A$1001,customers!C533:$C$1001,,0)=0,"",_xlfn.XLOOKUP(C534,customers!A533:$A$1001,customers!C533:$C$1001,,0))</f>
        <v>nnasebyes@umich.edu</v>
      </c>
      <c r="H534" s="2" t="str" cm="1">
        <f t="array" ref="H534">_xlfn.XLOOKUP(C534,customers!A533:$A$1001,customers!G533:$G$1001,"Ireland",0)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8"/>
        <v>16.5</v>
      </c>
      <c r="N534" t="str" cm="1">
        <f t="array" ref="N534">_xlfn.IFS(I534="Rob","Robusta",I534="Exc","Excelsa",I534="Ara","Arabica",I534="Lib","Liberica")</f>
        <v>Excelsa</v>
      </c>
      <c r="O534" t="str" cm="1">
        <f t="array" ref="O534">_xlfn.IFS(J534="M","Midium",J534="L","Light",J534="D","Dark")</f>
        <v>Midium</v>
      </c>
      <c r="P534" t="str">
        <f>_xlfn.XLOOKUP(Orders[[#This Row],[Customer ID]],customers!A:A,customers!I:I,,0)</f>
        <v>Yes</v>
      </c>
      <c r="Q534" t="str">
        <f>_xlfn.XLOOKUP(C535,customers!A:A,customers!B:B,"مش موجود")</f>
        <v>Rea Offell</v>
      </c>
    </row>
    <row r="535" spans="1:17" x14ac:dyDescent="0.25">
      <c r="A535" s="2" t="s">
        <v>3505</v>
      </c>
      <c r="B535" s="3">
        <v>44724</v>
      </c>
      <c r="C535" s="2" t="s">
        <v>3506</v>
      </c>
      <c r="D535" t="s">
        <v>6172</v>
      </c>
      <c r="E535" s="2">
        <v>4</v>
      </c>
      <c r="F535" s="2" t="str">
        <f>_xlfn.XLOOKUP(Orders[[#This Row],[Customer ID]],customers!A:A,customers!B:B)</f>
        <v>Rea Offell</v>
      </c>
      <c r="G535" s="2" t="str" cm="1">
        <f t="array" ref="G535">IF(_xlfn.XLOOKUP(C535,customers!A534:$A$1001,customers!C534:$C$1001,,0)=0,"",_xlfn.XLOOKUP(C535,customers!A534:$A$1001,customers!C534:$C$1001,,0))</f>
        <v/>
      </c>
      <c r="H535" s="2" t="str" cm="1">
        <f t="array" ref="H535">_xlfn.XLOOKUP(C535,customers!A534:$A$1001,customers!G534:$G$1001,"Ireland",0)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8"/>
        <v>21.479999999999997</v>
      </c>
      <c r="N535" t="str" cm="1">
        <f t="array" ref="N535">_xlfn.IFS(I535="Rob","Robusta",I535="Exc","Excelsa",I535="Ara","Arabica",I535="Lib","Liberica")</f>
        <v>Robusta</v>
      </c>
      <c r="O535" t="str" cm="1">
        <f t="array" ref="O535">_xlfn.IFS(J535="M","Midium",J535="L","Light",J535="D","Dark")</f>
        <v>Dark</v>
      </c>
      <c r="P535" t="str">
        <f>_xlfn.XLOOKUP(Orders[[#This Row],[Customer ID]],customers!A:A,customers!I:I,,0)</f>
        <v>No</v>
      </c>
      <c r="Q535" t="str">
        <f>_xlfn.XLOOKUP(C536,customers!A:A,customers!B:B,"مش موجود")</f>
        <v>Kris O'Cullen</v>
      </c>
    </row>
    <row r="536" spans="1:17" x14ac:dyDescent="0.25">
      <c r="A536" s="2" t="s">
        <v>3510</v>
      </c>
      <c r="B536" s="3">
        <v>44563</v>
      </c>
      <c r="C536" s="2" t="s">
        <v>3511</v>
      </c>
      <c r="D536" t="s">
        <v>6151</v>
      </c>
      <c r="E536" s="2">
        <v>2</v>
      </c>
      <c r="F536" s="2" t="str">
        <f>_xlfn.XLOOKUP(Orders[[#This Row],[Customer ID]],customers!A:A,customers!B:B)</f>
        <v>Kris O'Cullen</v>
      </c>
      <c r="G536" s="2" t="str" cm="1">
        <f t="array" ref="G536">IF(_xlfn.XLOOKUP(C536,customers!A535:$A$1001,customers!C535:$C$1001,,0)=0,"",_xlfn.XLOOKUP(C536,customers!A535:$A$1001,customers!C535:$C$1001,,0))</f>
        <v>koculleneu@ca.gov</v>
      </c>
      <c r="H536" s="2" t="str" cm="1">
        <f t="array" ref="H536">_xlfn.XLOOKUP(C536,customers!A535:$A$1001,customers!G535:$G$1001,"Ireland",0)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8"/>
        <v>45.769999999999996</v>
      </c>
      <c r="N536" t="str" cm="1">
        <f t="array" ref="N536">_xlfn.IFS(I536="Rob","Robusta",I536="Exc","Excelsa",I536="Ara","Arabica",I536="Lib","Liberica")</f>
        <v>Robusta</v>
      </c>
      <c r="O536" t="str" cm="1">
        <f t="array" ref="O536">_xlfn.IFS(J536="M","Midium",J536="L","Light",J536="D","Dark")</f>
        <v>Midium</v>
      </c>
      <c r="P536" t="str">
        <f>_xlfn.XLOOKUP(Orders[[#This Row],[Customer ID]],customers!A:A,customers!I:I,,0)</f>
        <v>Yes</v>
      </c>
      <c r="Q536" t="str">
        <f>_xlfn.XLOOKUP(C537,customers!A:A,customers!B:B,"مش موجود")</f>
        <v>Timoteo Glisane</v>
      </c>
    </row>
    <row r="537" spans="1:17" x14ac:dyDescent="0.25">
      <c r="A537" s="2" t="s">
        <v>3516</v>
      </c>
      <c r="B537" s="3">
        <v>44585</v>
      </c>
      <c r="C537" s="2" t="s">
        <v>3517</v>
      </c>
      <c r="D537" t="s">
        <v>6145</v>
      </c>
      <c r="E537" s="2">
        <v>2</v>
      </c>
      <c r="F537" s="2" t="str">
        <f>_xlfn.XLOOKUP(Orders[[#This Row],[Customer ID]],customers!A:A,customers!B:B)</f>
        <v>Timoteo Glisane</v>
      </c>
      <c r="G537" s="2" t="str" cm="1">
        <f t="array" ref="G537">IF(_xlfn.XLOOKUP(C537,customers!A536:$A$1001,customers!C536:$C$1001,,0)=0,"",_xlfn.XLOOKUP(C537,customers!A536:$A$1001,customers!C536:$C$1001,,0))</f>
        <v/>
      </c>
      <c r="H537" s="2" t="str" cm="1">
        <f t="array" ref="H537">_xlfn.XLOOKUP(C537,customers!A536:$A$1001,customers!G536:$G$1001,"Ireland",0)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8"/>
        <v>9.51</v>
      </c>
      <c r="N537" t="str" cm="1">
        <f t="array" ref="N537">_xlfn.IFS(I537="Rob","Robusta",I537="Exc","Excelsa",I537="Ara","Arabica",I537="Lib","Liberica")</f>
        <v>Liberica</v>
      </c>
      <c r="O537" t="str" cm="1">
        <f t="array" ref="O537">_xlfn.IFS(J537="M","Midium",J537="L","Light",J537="D","Dark")</f>
        <v>Light</v>
      </c>
      <c r="P537" t="str">
        <f>_xlfn.XLOOKUP(Orders[[#This Row],[Customer ID]],customers!A:A,customers!I:I,,0)</f>
        <v>No</v>
      </c>
      <c r="Q537" t="str">
        <f>_xlfn.XLOOKUP(C538,customers!A:A,customers!B:B,"مش موجود")</f>
        <v>Marja Urion</v>
      </c>
    </row>
    <row r="538" spans="1:17" x14ac:dyDescent="0.25">
      <c r="A538" s="2" t="s">
        <v>3521</v>
      </c>
      <c r="B538" s="3">
        <v>43544</v>
      </c>
      <c r="C538" s="2" t="s">
        <v>3368</v>
      </c>
      <c r="D538" t="s">
        <v>6163</v>
      </c>
      <c r="E538" s="2">
        <v>3</v>
      </c>
      <c r="F538" s="2" t="str">
        <f>_xlfn.XLOOKUP(Orders[[#This Row],[Customer ID]],customers!A:A,customers!B:B)</f>
        <v>Marja Urion</v>
      </c>
      <c r="G538" s="2" t="e" cm="1">
        <f t="array" ref="G538">IF(_xlfn.XLOOKUP(C538,customers!A537:$A$1001,customers!C537:$C$1001,,0)=0,"",_xlfn.XLOOKUP(C538,customers!A537:$A$1001,customers!C537:$C$1001,,0))</f>
        <v>#N/A</v>
      </c>
      <c r="H538" s="2" t="str" cm="1">
        <f t="array" ref="H538">_xlfn.XLOOKUP(C538,customers!A537:$A$1001,customers!G537:$G$1001,"Ireland",0)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8"/>
        <v>8.0549999999999997</v>
      </c>
      <c r="N538" t="str" cm="1">
        <f t="array" ref="N538">_xlfn.IFS(I538="Rob","Robusta",I538="Exc","Excelsa",I538="Ara","Arabica",I538="Lib","Liberica")</f>
        <v>Robusta</v>
      </c>
      <c r="O538" t="str" cm="1">
        <f t="array" ref="O538">_xlfn.IFS(J538="M","Midium",J538="L","Light",J538="D","Dark")</f>
        <v>Dark</v>
      </c>
      <c r="P538" t="str">
        <f>_xlfn.XLOOKUP(Orders[[#This Row],[Customer ID]],customers!A:A,customers!I:I,,0)</f>
        <v>Yes</v>
      </c>
      <c r="Q538" t="str">
        <f>_xlfn.XLOOKUP(C539,customers!A:A,customers!B:B,"مش موجود")</f>
        <v>Hildegarde Brangan</v>
      </c>
    </row>
    <row r="539" spans="1:17" x14ac:dyDescent="0.25">
      <c r="A539" s="2" t="s">
        <v>3527</v>
      </c>
      <c r="B539" s="3">
        <v>44156</v>
      </c>
      <c r="C539" s="2" t="s">
        <v>3528</v>
      </c>
      <c r="D539" t="s">
        <v>6185</v>
      </c>
      <c r="E539" s="2">
        <v>4</v>
      </c>
      <c r="F539" s="2" t="str">
        <f>_xlfn.XLOOKUP(Orders[[#This Row],[Customer ID]],customers!A:A,customers!B:B)</f>
        <v>Hildegarde Brangan</v>
      </c>
      <c r="G539" s="2" t="str" cm="1">
        <f t="array" ref="G539">IF(_xlfn.XLOOKUP(C539,customers!A538:$A$1001,customers!C538:$C$1001,,0)=0,"",_xlfn.XLOOKUP(C539,customers!A538:$A$1001,customers!C538:$C$1001,,0))</f>
        <v>hbranganex@woothemes.com</v>
      </c>
      <c r="H539" s="2" t="str" cm="1">
        <f t="array" ref="H539">_xlfn.XLOOKUP(C539,customers!A538:$A$1001,customers!G538:$G$1001,"Ireland",0)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8"/>
        <v>111.78</v>
      </c>
      <c r="N539" t="str" cm="1">
        <f t="array" ref="N539">_xlfn.IFS(I539="Rob","Robusta",I539="Exc","Excelsa",I539="Ara","Arabica",I539="Lib","Liberica")</f>
        <v>Excelsa</v>
      </c>
      <c r="O539" t="str" cm="1">
        <f t="array" ref="O539">_xlfn.IFS(J539="M","Midium",J539="L","Light",J539="D","Dark")</f>
        <v>Dark</v>
      </c>
      <c r="P539" t="str">
        <f>_xlfn.XLOOKUP(Orders[[#This Row],[Customer ID]],customers!A:A,customers!I:I,,0)</f>
        <v>Yes</v>
      </c>
      <c r="Q539" t="str">
        <f>_xlfn.XLOOKUP(C540,customers!A:A,customers!B:B,"مش موجود")</f>
        <v>Amii Gallyon</v>
      </c>
    </row>
    <row r="540" spans="1:17" x14ac:dyDescent="0.25">
      <c r="A540" s="2" t="s">
        <v>3532</v>
      </c>
      <c r="B540" s="3">
        <v>44482</v>
      </c>
      <c r="C540" s="2" t="s">
        <v>3533</v>
      </c>
      <c r="D540" t="s">
        <v>6163</v>
      </c>
      <c r="E540" s="2">
        <v>4</v>
      </c>
      <c r="F540" s="2" t="str">
        <f>_xlfn.XLOOKUP(Orders[[#This Row],[Customer ID]],customers!A:A,customers!B:B)</f>
        <v>Amii Gallyon</v>
      </c>
      <c r="G540" s="2" t="str" cm="1">
        <f t="array" ref="G540">IF(_xlfn.XLOOKUP(C540,customers!A539:$A$1001,customers!C539:$C$1001,,0)=0,"",_xlfn.XLOOKUP(C540,customers!A539:$A$1001,customers!C539:$C$1001,,0))</f>
        <v>agallyoney@engadget.com</v>
      </c>
      <c r="H540" s="2" t="str" cm="1">
        <f t="array" ref="H540">_xlfn.XLOOKUP(C540,customers!A539:$A$1001,customers!G539:$G$1001,"Ireland",0)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8"/>
        <v>10.739999999999998</v>
      </c>
      <c r="N540" t="str" cm="1">
        <f t="array" ref="N540">_xlfn.IFS(I540="Rob","Robusta",I540="Exc","Excelsa",I540="Ara","Arabica",I540="Lib","Liberica")</f>
        <v>Robusta</v>
      </c>
      <c r="O540" t="str" cm="1">
        <f t="array" ref="O540">_xlfn.IFS(J540="M","Midium",J540="L","Light",J540="D","Dark")</f>
        <v>Dark</v>
      </c>
      <c r="P540" t="str">
        <f>_xlfn.XLOOKUP(Orders[[#This Row],[Customer ID]],customers!A:A,customers!I:I,,0)</f>
        <v>Yes</v>
      </c>
      <c r="Q540" t="str">
        <f>_xlfn.XLOOKUP(C541,customers!A:A,customers!B:B,"مش موجود")</f>
        <v>Birgit Domange</v>
      </c>
    </row>
    <row r="541" spans="1:17" x14ac:dyDescent="0.25">
      <c r="A541" s="2" t="s">
        <v>3537</v>
      </c>
      <c r="B541" s="3">
        <v>44488</v>
      </c>
      <c r="C541" s="2" t="s">
        <v>3538</v>
      </c>
      <c r="D541" t="s">
        <v>6172</v>
      </c>
      <c r="E541" s="2">
        <v>5</v>
      </c>
      <c r="F541" s="2" t="str">
        <f>_xlfn.XLOOKUP(Orders[[#This Row],[Customer ID]],customers!A:A,customers!B:B)</f>
        <v>Birgit Domange</v>
      </c>
      <c r="G541" s="2" t="str" cm="1">
        <f t="array" ref="G541">IF(_xlfn.XLOOKUP(C541,customers!A540:$A$1001,customers!C540:$C$1001,,0)=0,"",_xlfn.XLOOKUP(C541,customers!A540:$A$1001,customers!C540:$C$1001,,0))</f>
        <v>bdomangeez@yahoo.co.jp</v>
      </c>
      <c r="H541" s="2" t="str" cm="1">
        <f t="array" ref="H541">_xlfn.XLOOKUP(C541,customers!A540:$A$1001,customers!G540:$G$1001,"Ireland",0)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8"/>
        <v>26.849999999999994</v>
      </c>
      <c r="N541" t="str" cm="1">
        <f t="array" ref="N541">_xlfn.IFS(I541="Rob","Robusta",I541="Exc","Excelsa",I541="Ara","Arabica",I541="Lib","Liberica")</f>
        <v>Robusta</v>
      </c>
      <c r="O541" t="str" cm="1">
        <f t="array" ref="O541">_xlfn.IFS(J541="M","Midium",J541="L","Light",J541="D","Dark")</f>
        <v>Dark</v>
      </c>
      <c r="P541" t="str">
        <f>_xlfn.XLOOKUP(Orders[[#This Row],[Customer ID]],customers!A:A,customers!I:I,,0)</f>
        <v>No</v>
      </c>
      <c r="Q541" t="str">
        <f>_xlfn.XLOOKUP(C542,customers!A:A,customers!B:B,"مش موجود")</f>
        <v>Killian Osler</v>
      </c>
    </row>
    <row r="542" spans="1:17" x14ac:dyDescent="0.25">
      <c r="A542" s="2" t="s">
        <v>3542</v>
      </c>
      <c r="B542" s="3">
        <v>43584</v>
      </c>
      <c r="C542" s="2" t="s">
        <v>3543</v>
      </c>
      <c r="D542" t="s">
        <v>6170</v>
      </c>
      <c r="E542" s="2">
        <v>4</v>
      </c>
      <c r="F542" s="2" t="str">
        <f>_xlfn.XLOOKUP(Orders[[#This Row],[Customer ID]],customers!A:A,customers!B:B)</f>
        <v>Killian Osler</v>
      </c>
      <c r="G542" s="2" t="str" cm="1">
        <f t="array" ref="G542">IF(_xlfn.XLOOKUP(C542,customers!A541:$A$1001,customers!C541:$C$1001,,0)=0,"",_xlfn.XLOOKUP(C542,customers!A541:$A$1001,customers!C541:$C$1001,,0))</f>
        <v>koslerf0@gmpg.org</v>
      </c>
      <c r="H542" s="2" t="str" cm="1">
        <f t="array" ref="H542">_xlfn.XLOOKUP(C542,customers!A541:$A$1001,customers!G541:$G$1001,"Ireland",0)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8"/>
        <v>63.4</v>
      </c>
      <c r="N542" t="str" cm="1">
        <f t="array" ref="N542">_xlfn.IFS(I542="Rob","Robusta",I542="Exc","Excelsa",I542="Ara","Arabica",I542="Lib","Liberica")</f>
        <v>Liberica</v>
      </c>
      <c r="O542" t="str" cm="1">
        <f t="array" ref="O542">_xlfn.IFS(J542="M","Midium",J542="L","Light",J542="D","Dark")</f>
        <v>Light</v>
      </c>
      <c r="P542" t="str">
        <f>_xlfn.XLOOKUP(Orders[[#This Row],[Customer ID]],customers!A:A,customers!I:I,,0)</f>
        <v>Yes</v>
      </c>
      <c r="Q542" t="str">
        <f>_xlfn.XLOOKUP(C543,customers!A:A,customers!B:B,"مش موجود")</f>
        <v>Lora Dukes</v>
      </c>
    </row>
    <row r="543" spans="1:17" x14ac:dyDescent="0.25">
      <c r="A543" s="2" t="s">
        <v>3548</v>
      </c>
      <c r="B543" s="3">
        <v>43750</v>
      </c>
      <c r="C543" s="2" t="s">
        <v>3549</v>
      </c>
      <c r="D543" t="s">
        <v>6168</v>
      </c>
      <c r="E543" s="2">
        <v>1</v>
      </c>
      <c r="F543" s="2" t="str">
        <f>_xlfn.XLOOKUP(Orders[[#This Row],[Customer ID]],customers!A:A,customers!B:B)</f>
        <v>Lora Dukes</v>
      </c>
      <c r="G543" s="2" t="str" cm="1">
        <f t="array" ref="G543">IF(_xlfn.XLOOKUP(C543,customers!A542:$A$1001,customers!C542:$C$1001,,0)=0,"",_xlfn.XLOOKUP(C543,customers!A542:$A$1001,customers!C542:$C$1001,,0))</f>
        <v/>
      </c>
      <c r="H543" s="2" t="str" cm="1">
        <f t="array" ref="H543">_xlfn.XLOOKUP(C543,customers!A542:$A$1001,customers!G542:$G$1001,"Ireland",0)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8"/>
        <v>22.884999999999998</v>
      </c>
      <c r="N543" t="str" cm="1">
        <f t="array" ref="N543">_xlfn.IFS(I543="Rob","Robusta",I543="Exc","Excelsa",I543="Ara","Arabica",I543="Lib","Liberica")</f>
        <v>Arabica</v>
      </c>
      <c r="O543" t="str" cm="1">
        <f t="array" ref="O543">_xlfn.IFS(J543="M","Midium",J543="L","Light",J543="D","Dark")</f>
        <v>Dark</v>
      </c>
      <c r="P543" t="str">
        <f>_xlfn.XLOOKUP(Orders[[#This Row],[Customer ID]],customers!A:A,customers!I:I,,0)</f>
        <v>Yes</v>
      </c>
      <c r="Q543" t="str">
        <f>_xlfn.XLOOKUP(C544,customers!A:A,customers!B:B,"مش موجود")</f>
        <v>Zack Pellett</v>
      </c>
    </row>
    <row r="544" spans="1:17" x14ac:dyDescent="0.25">
      <c r="A544" s="2" t="s">
        <v>3553</v>
      </c>
      <c r="B544" s="3">
        <v>44335</v>
      </c>
      <c r="C544" s="2" t="s">
        <v>3554</v>
      </c>
      <c r="D544" t="s">
        <v>6175</v>
      </c>
      <c r="E544" s="2">
        <v>4</v>
      </c>
      <c r="F544" s="2" t="str">
        <f>_xlfn.XLOOKUP(Orders[[#This Row],[Customer ID]],customers!A:A,customers!B:B)</f>
        <v>Zack Pellett</v>
      </c>
      <c r="G544" s="2" t="str" cm="1">
        <f t="array" ref="G544">IF(_xlfn.XLOOKUP(C544,customers!A543:$A$1001,customers!C543:$C$1001,,0)=0,"",_xlfn.XLOOKUP(C544,customers!A543:$A$1001,customers!C543:$C$1001,,0))</f>
        <v>zpellettf2@dailymotion.com</v>
      </c>
      <c r="H544" s="2" t="str" cm="1">
        <f t="array" ref="H544">_xlfn.XLOOKUP(C544,customers!A543:$A$1001,customers!G543:$G$1001,"Ireland",0)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8"/>
        <v>103.49999999999999</v>
      </c>
      <c r="N544" t="str" cm="1">
        <f t="array" ref="N544">_xlfn.IFS(I544="Rob","Robusta",I544="Exc","Excelsa",I544="Ara","Arabica",I544="Lib","Liberica")</f>
        <v>Arabica</v>
      </c>
      <c r="O544" t="str" cm="1">
        <f t="array" ref="O544">_xlfn.IFS(J544="M","Midium",J544="L","Light",J544="D","Dark")</f>
        <v>Midium</v>
      </c>
      <c r="P544" t="str">
        <f>_xlfn.XLOOKUP(Orders[[#This Row],[Customer ID]],customers!A:A,customers!I:I,,0)</f>
        <v>No</v>
      </c>
      <c r="Q544" t="str">
        <f>_xlfn.XLOOKUP(C545,customers!A:A,customers!B:B,"مش موجود")</f>
        <v>Ilaire Sprakes</v>
      </c>
    </row>
    <row r="545" spans="1:17" x14ac:dyDescent="0.25">
      <c r="A545" s="2" t="s">
        <v>3559</v>
      </c>
      <c r="B545" s="3">
        <v>44380</v>
      </c>
      <c r="C545" s="2" t="s">
        <v>3560</v>
      </c>
      <c r="D545" t="s">
        <v>6142</v>
      </c>
      <c r="E545" s="2">
        <v>2</v>
      </c>
      <c r="F545" s="2" t="str">
        <f>_xlfn.XLOOKUP(Orders[[#This Row],[Customer ID]],customers!A:A,customers!B:B)</f>
        <v>Ilaire Sprakes</v>
      </c>
      <c r="G545" s="2" t="str" cm="1">
        <f t="array" ref="G545">IF(_xlfn.XLOOKUP(C545,customers!A544:$A$1001,customers!C544:$C$1001,,0)=0,"",_xlfn.XLOOKUP(C545,customers!A544:$A$1001,customers!C544:$C$1001,,0))</f>
        <v>isprakesf3@spiegel.de</v>
      </c>
      <c r="H545" s="2" t="str" cm="1">
        <f t="array" ref="H545">_xlfn.XLOOKUP(C545,customers!A544:$A$1001,customers!G544:$G$1001,"Ireland",0)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8"/>
        <v>54.969999999999992</v>
      </c>
      <c r="N545" t="str" cm="1">
        <f t="array" ref="N545">_xlfn.IFS(I545="Rob","Robusta",I545="Exc","Excelsa",I545="Ara","Arabica",I545="Lib","Liberica")</f>
        <v>Robusta</v>
      </c>
      <c r="O545" t="str" cm="1">
        <f t="array" ref="O545">_xlfn.IFS(J545="M","Midium",J545="L","Light",J545="D","Dark")</f>
        <v>Light</v>
      </c>
      <c r="P545" t="str">
        <f>_xlfn.XLOOKUP(Orders[[#This Row],[Customer ID]],customers!A:A,customers!I:I,,0)</f>
        <v>No</v>
      </c>
      <c r="Q545" t="str">
        <f>_xlfn.XLOOKUP(C546,customers!A:A,customers!B:B,"مش موجود")</f>
        <v>Heda Fromant</v>
      </c>
    </row>
    <row r="546" spans="1:17" x14ac:dyDescent="0.25">
      <c r="A546" s="2" t="s">
        <v>3565</v>
      </c>
      <c r="B546" s="3">
        <v>43869</v>
      </c>
      <c r="C546" s="2" t="s">
        <v>3566</v>
      </c>
      <c r="D546" t="s">
        <v>6180</v>
      </c>
      <c r="E546" s="2">
        <v>2</v>
      </c>
      <c r="F546" s="2" t="str">
        <f>_xlfn.XLOOKUP(Orders[[#This Row],[Customer ID]],customers!A:A,customers!B:B)</f>
        <v>Heda Fromant</v>
      </c>
      <c r="G546" s="2" t="str" cm="1">
        <f t="array" ref="G546">IF(_xlfn.XLOOKUP(C546,customers!A545:$A$1001,customers!C545:$C$1001,,0)=0,"",_xlfn.XLOOKUP(C546,customers!A545:$A$1001,customers!C545:$C$1001,,0))</f>
        <v>hfromantf4@ucsd.edu</v>
      </c>
      <c r="H546" s="2" t="str" cm="1">
        <f t="array" ref="H546">_xlfn.XLOOKUP(C546,customers!A545:$A$1001,customers!G545:$G$1001,"Ireland",0)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8"/>
        <v>15.54</v>
      </c>
      <c r="N546" t="str" cm="1">
        <f t="array" ref="N546">_xlfn.IFS(I546="Rob","Robusta",I546="Exc","Excelsa",I546="Ara","Arabica",I546="Lib","Liberica")</f>
        <v>Arabica</v>
      </c>
      <c r="O546" t="str" cm="1">
        <f t="array" ref="O546">_xlfn.IFS(J546="M","Midium",J546="L","Light",J546="D","Dark")</f>
        <v>Light</v>
      </c>
      <c r="P546" t="str">
        <f>_xlfn.XLOOKUP(Orders[[#This Row],[Customer ID]],customers!A:A,customers!I:I,,0)</f>
        <v>No</v>
      </c>
      <c r="Q546" t="str">
        <f>_xlfn.XLOOKUP(C547,customers!A:A,customers!B:B,"مش موجود")</f>
        <v>Rufus Flear</v>
      </c>
    </row>
    <row r="547" spans="1:17" x14ac:dyDescent="0.25">
      <c r="A547" s="2" t="s">
        <v>3571</v>
      </c>
      <c r="B547" s="3">
        <v>44120</v>
      </c>
      <c r="C547" s="2" t="s">
        <v>3572</v>
      </c>
      <c r="D547" t="s">
        <v>6150</v>
      </c>
      <c r="E547" s="2">
        <v>4</v>
      </c>
      <c r="F547" s="2" t="str">
        <f>_xlfn.XLOOKUP(Orders[[#This Row],[Customer ID]],customers!A:A,customers!B:B)</f>
        <v>Rufus Flear</v>
      </c>
      <c r="G547" s="2" t="str" cm="1">
        <f t="array" ref="G547">IF(_xlfn.XLOOKUP(C547,customers!A546:$A$1001,customers!C546:$C$1001,,0)=0,"",_xlfn.XLOOKUP(C547,customers!A546:$A$1001,customers!C546:$C$1001,,0))</f>
        <v>rflearf5@artisteer.com</v>
      </c>
      <c r="H547" s="2" t="str" cm="1">
        <f t="array" ref="H547">_xlfn.XLOOKUP(C547,customers!A546:$A$1001,customers!G546:$G$1001,"Ireland",0)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8"/>
        <v>15.54</v>
      </c>
      <c r="N547" t="str" cm="1">
        <f t="array" ref="N547">_xlfn.IFS(I547="Rob","Robusta",I547="Exc","Excelsa",I547="Ara","Arabica",I547="Lib","Liberica")</f>
        <v>Liberica</v>
      </c>
      <c r="O547" t="str" cm="1">
        <f t="array" ref="O547">_xlfn.IFS(J547="M","Midium",J547="L","Light",J547="D","Dark")</f>
        <v>Dark</v>
      </c>
      <c r="P547" t="str">
        <f>_xlfn.XLOOKUP(Orders[[#This Row],[Customer ID]],customers!A:A,customers!I:I,,0)</f>
        <v>No</v>
      </c>
      <c r="Q547" t="str">
        <f>_xlfn.XLOOKUP(C548,customers!A:A,customers!B:B,"مش موجود")</f>
        <v>Dom Milella</v>
      </c>
    </row>
    <row r="548" spans="1:17" x14ac:dyDescent="0.25">
      <c r="A548" s="2" t="s">
        <v>3577</v>
      </c>
      <c r="B548" s="3">
        <v>44127</v>
      </c>
      <c r="C548" s="2" t="s">
        <v>3578</v>
      </c>
      <c r="D548" t="s">
        <v>6185</v>
      </c>
      <c r="E548" s="2">
        <v>3</v>
      </c>
      <c r="F548" s="2" t="str">
        <f>_xlfn.XLOOKUP(Orders[[#This Row],[Customer ID]],customers!A:A,customers!B:B)</f>
        <v>Dom Milella</v>
      </c>
      <c r="G548" s="2" t="str" cm="1">
        <f t="array" ref="G548">IF(_xlfn.XLOOKUP(C548,customers!A547:$A$1001,customers!C547:$C$1001,,0)=0,"",_xlfn.XLOOKUP(C548,customers!A547:$A$1001,customers!C547:$C$1001,,0))</f>
        <v/>
      </c>
      <c r="H548" s="2" t="str" cm="1">
        <f t="array" ref="H548">_xlfn.XLOOKUP(C548,customers!A547:$A$1001,customers!G547:$G$1001,"Ireland",0)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8"/>
        <v>83.835000000000008</v>
      </c>
      <c r="N548" t="str" cm="1">
        <f t="array" ref="N548">_xlfn.IFS(I548="Rob","Robusta",I548="Exc","Excelsa",I548="Ara","Arabica",I548="Lib","Liberica")</f>
        <v>Excelsa</v>
      </c>
      <c r="O548" t="str" cm="1">
        <f t="array" ref="O548">_xlfn.IFS(J548="M","Midium",J548="L","Light",J548="D","Dark")</f>
        <v>Dark</v>
      </c>
      <c r="P548" t="str">
        <f>_xlfn.XLOOKUP(Orders[[#This Row],[Customer ID]],customers!A:A,customers!I:I,,0)</f>
        <v>No</v>
      </c>
      <c r="Q548" t="str">
        <f>_xlfn.XLOOKUP(C549,customers!A:A,customers!B:B,"مش موجود")</f>
        <v>Wilek Lightollers</v>
      </c>
    </row>
    <row r="549" spans="1:17" x14ac:dyDescent="0.25">
      <c r="A549" s="2" t="s">
        <v>3582</v>
      </c>
      <c r="B549" s="3">
        <v>44265</v>
      </c>
      <c r="C549" s="2" t="s">
        <v>3594</v>
      </c>
      <c r="D549" t="s">
        <v>6178</v>
      </c>
      <c r="E549" s="2">
        <v>3</v>
      </c>
      <c r="F549" s="2" t="str">
        <f>_xlfn.XLOOKUP(Orders[[#This Row],[Customer ID]],customers!A:A,customers!B:B)</f>
        <v>Wilek Lightollers</v>
      </c>
      <c r="G549" s="2" t="str" cm="1">
        <f t="array" ref="G549">IF(_xlfn.XLOOKUP(C549,customers!A548:$A$1001,customers!C548:$C$1001,,0)=0,"",_xlfn.XLOOKUP(C549,customers!A548:$A$1001,customers!C548:$C$1001,,0))</f>
        <v>wlightollersf9@baidu.com</v>
      </c>
      <c r="H549" s="2" t="str" cm="1">
        <f t="array" ref="H549">_xlfn.XLOOKUP(C549,customers!A548:$A$1001,customers!G548:$G$1001,"Ireland",0)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8"/>
        <v>10.754999999999999</v>
      </c>
      <c r="N549" t="str" cm="1">
        <f t="array" ref="N549">_xlfn.IFS(I549="Rob","Robusta",I549="Exc","Excelsa",I549="Ara","Arabica",I549="Lib","Liberica")</f>
        <v>Robusta</v>
      </c>
      <c r="O549" t="str" cm="1">
        <f t="array" ref="O549">_xlfn.IFS(J549="M","Midium",J549="L","Light",J549="D","Dark")</f>
        <v>Light</v>
      </c>
      <c r="P549" t="str">
        <f>_xlfn.XLOOKUP(Orders[[#This Row],[Customer ID]],customers!A:A,customers!I:I,,0)</f>
        <v>Yes</v>
      </c>
      <c r="Q549" t="str">
        <f>_xlfn.XLOOKUP(C550,customers!A:A,customers!B:B,"مش موجود")</f>
        <v>Bette-ann Munden</v>
      </c>
    </row>
    <row r="550" spans="1:17" x14ac:dyDescent="0.25">
      <c r="A550" s="2" t="s">
        <v>3587</v>
      </c>
      <c r="B550" s="3">
        <v>44384</v>
      </c>
      <c r="C550" s="2" t="s">
        <v>3588</v>
      </c>
      <c r="D550" t="s">
        <v>6184</v>
      </c>
      <c r="E550" s="2">
        <v>3</v>
      </c>
      <c r="F550" s="2" t="str">
        <f>_xlfn.XLOOKUP(Orders[[#This Row],[Customer ID]],customers!A:A,customers!B:B)</f>
        <v>Bette-ann Munden</v>
      </c>
      <c r="G550" s="2" t="str" cm="1">
        <f t="array" ref="G550">IF(_xlfn.XLOOKUP(C550,customers!A549:$A$1001,customers!C549:$C$1001,,0)=0,"",_xlfn.XLOOKUP(C550,customers!A549:$A$1001,customers!C549:$C$1001,,0))</f>
        <v>bmundenf8@elpais.com</v>
      </c>
      <c r="H550" s="2" t="str" cm="1">
        <f t="array" ref="H550">_xlfn.XLOOKUP(C550,customers!A549:$A$1001,customers!G549:$G$1001,"Ireland",0)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8"/>
        <v>13.365</v>
      </c>
      <c r="N550" t="str" cm="1">
        <f t="array" ref="N550">_xlfn.IFS(I550="Rob","Robusta",I550="Exc","Excelsa",I550="Ara","Arabica",I550="Lib","Liberica")</f>
        <v>Excelsa</v>
      </c>
      <c r="O550" t="str" cm="1">
        <f t="array" ref="O550">_xlfn.IFS(J550="M","Midium",J550="L","Light",J550="D","Dark")</f>
        <v>Light</v>
      </c>
      <c r="P550" t="str">
        <f>_xlfn.XLOOKUP(Orders[[#This Row],[Customer ID]],customers!A:A,customers!I:I,,0)</f>
        <v>Yes</v>
      </c>
      <c r="Q550" t="str">
        <f>_xlfn.XLOOKUP(C551,customers!A:A,customers!B:B,"مش موجود")</f>
        <v>Wilek Lightollers</v>
      </c>
    </row>
    <row r="551" spans="1:17" x14ac:dyDescent="0.25">
      <c r="A551" s="2" t="s">
        <v>3593</v>
      </c>
      <c r="B551" s="3">
        <v>44232</v>
      </c>
      <c r="C551" s="2" t="s">
        <v>3594</v>
      </c>
      <c r="D551" t="s">
        <v>6184</v>
      </c>
      <c r="E551" s="2">
        <v>4</v>
      </c>
      <c r="F551" s="2" t="str">
        <f>_xlfn.XLOOKUP(Orders[[#This Row],[Customer ID]],customers!A:A,customers!B:B)</f>
        <v>Wilek Lightollers</v>
      </c>
      <c r="G551" s="2" t="str" cm="1">
        <f t="array" ref="G551">IF(_xlfn.XLOOKUP(C551,customers!A550:$A$1001,customers!C550:$C$1001,,0)=0,"",_xlfn.XLOOKUP(C551,customers!A550:$A$1001,customers!C550:$C$1001,,0))</f>
        <v>wlightollersf9@baidu.com</v>
      </c>
      <c r="H551" s="2" t="str" cm="1">
        <f t="array" ref="H551">_xlfn.XLOOKUP(C551,customers!A550:$A$1001,customers!G550:$G$1001,"Ireland",0)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8"/>
        <v>17.82</v>
      </c>
      <c r="N551" t="str" cm="1">
        <f t="array" ref="N551">_xlfn.IFS(I551="Rob","Robusta",I551="Exc","Excelsa",I551="Ara","Arabica",I551="Lib","Liberica")</f>
        <v>Excelsa</v>
      </c>
      <c r="O551" t="str" cm="1">
        <f t="array" ref="O551">_xlfn.IFS(J551="M","Midium",J551="L","Light",J551="D","Dark")</f>
        <v>Light</v>
      </c>
      <c r="P551" t="str">
        <f>_xlfn.XLOOKUP(Orders[[#This Row],[Customer ID]],customers!A:A,customers!I:I,,0)</f>
        <v>Yes</v>
      </c>
      <c r="Q551" t="str">
        <f>_xlfn.XLOOKUP(C552,customers!A:A,customers!B:B,"مش موجود")</f>
        <v>Nick Brakespear</v>
      </c>
    </row>
    <row r="552" spans="1:17" x14ac:dyDescent="0.25">
      <c r="A552" s="2" t="s">
        <v>3599</v>
      </c>
      <c r="B552" s="3">
        <v>44176</v>
      </c>
      <c r="C552" s="2" t="s">
        <v>3600</v>
      </c>
      <c r="D552" t="s">
        <v>6150</v>
      </c>
      <c r="E552" s="2">
        <v>6</v>
      </c>
      <c r="F552" s="2" t="str">
        <f>_xlfn.XLOOKUP(Orders[[#This Row],[Customer ID]],customers!A:A,customers!B:B)</f>
        <v>Nick Brakespear</v>
      </c>
      <c r="G552" s="2" t="str" cm="1">
        <f t="array" ref="G552">IF(_xlfn.XLOOKUP(C552,customers!A551:$A$1001,customers!C551:$C$1001,,0)=0,"",_xlfn.XLOOKUP(C552,customers!A551:$A$1001,customers!C551:$C$1001,,0))</f>
        <v>nbrakespearfa@rediff.com</v>
      </c>
      <c r="H552" s="2" t="str" cm="1">
        <f t="array" ref="H552">_xlfn.XLOOKUP(C552,customers!A551:$A$1001,customers!G551:$G$1001,"Ireland",0)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8"/>
        <v>23.31</v>
      </c>
      <c r="N552" t="str" cm="1">
        <f t="array" ref="N552">_xlfn.IFS(I552="Rob","Robusta",I552="Exc","Excelsa",I552="Ara","Arabica",I552="Lib","Liberica")</f>
        <v>Liberica</v>
      </c>
      <c r="O552" t="str" cm="1">
        <f t="array" ref="O552">_xlfn.IFS(J552="M","Midium",J552="L","Light",J552="D","Dark")</f>
        <v>Dark</v>
      </c>
      <c r="P552" t="str">
        <f>_xlfn.XLOOKUP(Orders[[#This Row],[Customer ID]],customers!A:A,customers!I:I,,0)</f>
        <v>Yes</v>
      </c>
      <c r="Q552" t="str">
        <f>_xlfn.XLOOKUP(C553,customers!A:A,customers!B:B,"مش موجود")</f>
        <v>Malynda Glawsop</v>
      </c>
    </row>
    <row r="553" spans="1:17" x14ac:dyDescent="0.25">
      <c r="A553" s="2" t="s">
        <v>3605</v>
      </c>
      <c r="B553" s="3">
        <v>44694</v>
      </c>
      <c r="C553" s="2" t="s">
        <v>3606</v>
      </c>
      <c r="D553" t="s">
        <v>6153</v>
      </c>
      <c r="E553" s="2">
        <v>2</v>
      </c>
      <c r="F553" s="2" t="str">
        <f>_xlfn.XLOOKUP(Orders[[#This Row],[Customer ID]],customers!A:A,customers!B:B)</f>
        <v>Malynda Glawsop</v>
      </c>
      <c r="G553" s="2" t="str" cm="1">
        <f t="array" ref="G553">IF(_xlfn.XLOOKUP(C553,customers!A552:$A$1001,customers!C552:$C$1001,,0)=0,"",_xlfn.XLOOKUP(C553,customers!A552:$A$1001,customers!C552:$C$1001,,0))</f>
        <v>mglawsopfb@reverbnation.com</v>
      </c>
      <c r="H553" s="2" t="str" cm="1">
        <f t="array" ref="H553">_xlfn.XLOOKUP(C553,customers!A552:$A$1001,customers!G552:$G$1001,"Ireland",0)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8"/>
        <v>7.29</v>
      </c>
      <c r="N553" t="str" cm="1">
        <f t="array" ref="N553">_xlfn.IFS(I553="Rob","Robusta",I553="Exc","Excelsa",I553="Ara","Arabica",I553="Lib","Liberica")</f>
        <v>Excelsa</v>
      </c>
      <c r="O553" t="str" cm="1">
        <f t="array" ref="O553">_xlfn.IFS(J553="M","Midium",J553="L","Light",J553="D","Dark")</f>
        <v>Dark</v>
      </c>
      <c r="P553" t="str">
        <f>_xlfn.XLOOKUP(Orders[[#This Row],[Customer ID]],customers!A:A,customers!I:I,,0)</f>
        <v>No</v>
      </c>
      <c r="Q553" t="str">
        <f>_xlfn.XLOOKUP(C554,customers!A:A,customers!B:B,"مش موجود")</f>
        <v>Granville Alberts</v>
      </c>
    </row>
    <row r="554" spans="1:17" x14ac:dyDescent="0.25">
      <c r="A554" s="2" t="s">
        <v>3611</v>
      </c>
      <c r="B554" s="3">
        <v>43761</v>
      </c>
      <c r="C554" s="2" t="s">
        <v>3612</v>
      </c>
      <c r="D554" t="s">
        <v>6184</v>
      </c>
      <c r="E554" s="2">
        <v>4</v>
      </c>
      <c r="F554" s="2" t="str">
        <f>_xlfn.XLOOKUP(Orders[[#This Row],[Customer ID]],customers!A:A,customers!B:B)</f>
        <v>Granville Alberts</v>
      </c>
      <c r="G554" s="2" t="str" cm="1">
        <f t="array" ref="G554">IF(_xlfn.XLOOKUP(C554,customers!A553:$A$1001,customers!C553:$C$1001,,0)=0,"",_xlfn.XLOOKUP(C554,customers!A553:$A$1001,customers!C553:$C$1001,,0))</f>
        <v>galbertsfc@etsy.com</v>
      </c>
      <c r="H554" s="2" t="str" cm="1">
        <f t="array" ref="H554">_xlfn.XLOOKUP(C554,customers!A553:$A$1001,customers!G553:$G$1001,"Ireland",0)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8"/>
        <v>17.82</v>
      </c>
      <c r="N554" t="str" cm="1">
        <f t="array" ref="N554">_xlfn.IFS(I554="Rob","Robusta",I554="Exc","Excelsa",I554="Ara","Arabica",I554="Lib","Liberica")</f>
        <v>Excelsa</v>
      </c>
      <c r="O554" t="str" cm="1">
        <f t="array" ref="O554">_xlfn.IFS(J554="M","Midium",J554="L","Light",J554="D","Dark")</f>
        <v>Light</v>
      </c>
      <c r="P554" t="str">
        <f>_xlfn.XLOOKUP(Orders[[#This Row],[Customer ID]],customers!A:A,customers!I:I,,0)</f>
        <v>Yes</v>
      </c>
      <c r="Q554" t="str">
        <f>_xlfn.XLOOKUP(C555,customers!A:A,customers!B:B,"مش موجود")</f>
        <v>Vasily Polglase</v>
      </c>
    </row>
    <row r="555" spans="1:17" x14ac:dyDescent="0.25">
      <c r="A555" s="2" t="s">
        <v>3617</v>
      </c>
      <c r="B555" s="3">
        <v>44085</v>
      </c>
      <c r="C555" s="2" t="s">
        <v>3618</v>
      </c>
      <c r="D555" t="s">
        <v>6141</v>
      </c>
      <c r="E555" s="2">
        <v>5</v>
      </c>
      <c r="F555" s="2" t="str">
        <f>_xlfn.XLOOKUP(Orders[[#This Row],[Customer ID]],customers!A:A,customers!B:B)</f>
        <v>Vasily Polglase</v>
      </c>
      <c r="G555" s="2" t="str" cm="1">
        <f t="array" ref="G555">IF(_xlfn.XLOOKUP(C555,customers!A554:$A$1001,customers!C554:$C$1001,,0)=0,"",_xlfn.XLOOKUP(C555,customers!A554:$A$1001,customers!C554:$C$1001,,0))</f>
        <v>vpolglasefd@about.me</v>
      </c>
      <c r="H555" s="2" t="str" cm="1">
        <f t="array" ref="H555">_xlfn.XLOOKUP(C555,customers!A554:$A$1001,customers!G554:$G$1001,"Ireland",0)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8"/>
        <v>68.75</v>
      </c>
      <c r="N555" t="str" cm="1">
        <f t="array" ref="N555">_xlfn.IFS(I555="Rob","Robusta",I555="Exc","Excelsa",I555="Ara","Arabica",I555="Lib","Liberica")</f>
        <v>Excelsa</v>
      </c>
      <c r="O555" t="str" cm="1">
        <f t="array" ref="O555">_xlfn.IFS(J555="M","Midium",J555="L","Light",J555="D","Dark")</f>
        <v>Midium</v>
      </c>
      <c r="P555" t="str">
        <f>_xlfn.XLOOKUP(Orders[[#This Row],[Customer ID]],customers!A:A,customers!I:I,,0)</f>
        <v>No</v>
      </c>
      <c r="Q555" t="str">
        <f>_xlfn.XLOOKUP(C556,customers!A:A,customers!B:B,"مش موجود")</f>
        <v>Madelaine Sharples</v>
      </c>
    </row>
    <row r="556" spans="1:17" x14ac:dyDescent="0.25">
      <c r="A556" s="2" t="s">
        <v>3622</v>
      </c>
      <c r="B556" s="3">
        <v>43737</v>
      </c>
      <c r="C556" s="2" t="s">
        <v>3623</v>
      </c>
      <c r="D556" t="s">
        <v>6142</v>
      </c>
      <c r="E556" s="2">
        <v>2</v>
      </c>
      <c r="F556" s="2" t="str">
        <f>_xlfn.XLOOKUP(Orders[[#This Row],[Customer ID]],customers!A:A,customers!B:B)</f>
        <v>Madelaine Sharples</v>
      </c>
      <c r="G556" s="2" t="str" cm="1">
        <f t="array" ref="G556">IF(_xlfn.XLOOKUP(C556,customers!A555:$A$1001,customers!C555:$C$1001,,0)=0,"",_xlfn.XLOOKUP(C556,customers!A555:$A$1001,customers!C555:$C$1001,,0))</f>
        <v/>
      </c>
      <c r="H556" s="2" t="str" cm="1">
        <f t="array" ref="H556">_xlfn.XLOOKUP(C556,customers!A555:$A$1001,customers!G555:$G$1001,"Ireland",0)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8"/>
        <v>54.969999999999992</v>
      </c>
      <c r="N556" t="str" cm="1">
        <f t="array" ref="N556">_xlfn.IFS(I556="Rob","Robusta",I556="Exc","Excelsa",I556="Ara","Arabica",I556="Lib","Liberica")</f>
        <v>Robusta</v>
      </c>
      <c r="O556" t="str" cm="1">
        <f t="array" ref="O556">_xlfn.IFS(J556="M","Midium",J556="L","Light",J556="D","Dark")</f>
        <v>Light</v>
      </c>
      <c r="P556" t="str">
        <f>_xlfn.XLOOKUP(Orders[[#This Row],[Customer ID]],customers!A:A,customers!I:I,,0)</f>
        <v>Yes</v>
      </c>
      <c r="Q556" t="str">
        <f>_xlfn.XLOOKUP(C557,customers!A:A,customers!B:B,"مش موجود")</f>
        <v>Sigfrid Busch</v>
      </c>
    </row>
    <row r="557" spans="1:17" x14ac:dyDescent="0.25">
      <c r="A557" s="2" t="s">
        <v>3627</v>
      </c>
      <c r="B557" s="3">
        <v>44258</v>
      </c>
      <c r="C557" s="2" t="s">
        <v>3628</v>
      </c>
      <c r="D557" t="s">
        <v>6141</v>
      </c>
      <c r="E557" s="2">
        <v>6</v>
      </c>
      <c r="F557" s="2" t="str">
        <f>_xlfn.XLOOKUP(Orders[[#This Row],[Customer ID]],customers!A:A,customers!B:B)</f>
        <v>Sigfrid Busch</v>
      </c>
      <c r="G557" s="2" t="str" cm="1">
        <f t="array" ref="G557">IF(_xlfn.XLOOKUP(C557,customers!A556:$A$1001,customers!C556:$C$1001,,0)=0,"",_xlfn.XLOOKUP(C557,customers!A556:$A$1001,customers!C556:$C$1001,,0))</f>
        <v>sbuschff@so-net.ne.jp</v>
      </c>
      <c r="H557" s="2" t="str" cm="1">
        <f t="array" ref="H557">_xlfn.XLOOKUP(C557,customers!A556:$A$1001,customers!G556:$G$1001,"Ireland",0)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8"/>
        <v>82.5</v>
      </c>
      <c r="N557" t="str" cm="1">
        <f t="array" ref="N557">_xlfn.IFS(I557="Rob","Robusta",I557="Exc","Excelsa",I557="Ara","Arabica",I557="Lib","Liberica")</f>
        <v>Excelsa</v>
      </c>
      <c r="O557" t="str" cm="1">
        <f t="array" ref="O557">_xlfn.IFS(J557="M","Midium",J557="L","Light",J557="D","Dark")</f>
        <v>Midium</v>
      </c>
      <c r="P557" t="str">
        <f>_xlfn.XLOOKUP(Orders[[#This Row],[Customer ID]],customers!A:A,customers!I:I,,0)</f>
        <v>No</v>
      </c>
      <c r="Q557" t="str">
        <f>_xlfn.XLOOKUP(C558,customers!A:A,customers!B:B,"مش موجود")</f>
        <v>Cissiee Raisbeck</v>
      </c>
    </row>
    <row r="558" spans="1:17" x14ac:dyDescent="0.25">
      <c r="A558" s="2" t="s">
        <v>3633</v>
      </c>
      <c r="B558" s="3">
        <v>44523</v>
      </c>
      <c r="C558" s="2" t="s">
        <v>3634</v>
      </c>
      <c r="D558" t="s">
        <v>6159</v>
      </c>
      <c r="E558" s="2">
        <v>2</v>
      </c>
      <c r="F558" s="2" t="str">
        <f>_xlfn.XLOOKUP(Orders[[#This Row],[Customer ID]],customers!A:A,customers!B:B)</f>
        <v>Cissiee Raisbeck</v>
      </c>
      <c r="G558" s="2" t="str" cm="1">
        <f t="array" ref="G558">IF(_xlfn.XLOOKUP(C558,customers!A557:$A$1001,customers!C557:$C$1001,,0)=0,"",_xlfn.XLOOKUP(C558,customers!A557:$A$1001,customers!C557:$C$1001,,0))</f>
        <v>craisbeckfg@webnode.com</v>
      </c>
      <c r="H558" s="2" t="str" cm="1">
        <f t="array" ref="H558">_xlfn.XLOOKUP(C558,customers!A557:$A$1001,customers!G557:$G$1001,"Ireland",0)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8"/>
        <v>8.73</v>
      </c>
      <c r="N558" t="str" cm="1">
        <f t="array" ref="N558">_xlfn.IFS(I558="Rob","Robusta",I558="Exc","Excelsa",I558="Ara","Arabica",I558="Lib","Liberica")</f>
        <v>Liberica</v>
      </c>
      <c r="O558" t="str" cm="1">
        <f t="array" ref="O558">_xlfn.IFS(J558="M","Midium",J558="L","Light",J558="D","Dark")</f>
        <v>Midium</v>
      </c>
      <c r="P558" t="str">
        <f>_xlfn.XLOOKUP(Orders[[#This Row],[Customer ID]],customers!A:A,customers!I:I,,0)</f>
        <v>Yes</v>
      </c>
      <c r="Q558" t="str">
        <f>_xlfn.XLOOKUP(C559,customers!A:A,customers!B:B,"مش موجود")</f>
        <v>Marja Urion</v>
      </c>
    </row>
    <row r="559" spans="1:17" x14ac:dyDescent="0.25">
      <c r="A559" s="2" t="s">
        <v>3638</v>
      </c>
      <c r="B559" s="3">
        <v>44506</v>
      </c>
      <c r="C559" s="2" t="s">
        <v>3368</v>
      </c>
      <c r="D559" t="s">
        <v>6171</v>
      </c>
      <c r="E559" s="2">
        <v>4</v>
      </c>
      <c r="F559" s="2" t="str">
        <f>_xlfn.XLOOKUP(Orders[[#This Row],[Customer ID]],customers!A:A,customers!B:B)</f>
        <v>Marja Urion</v>
      </c>
      <c r="G559" s="2" t="e" cm="1">
        <f t="array" ref="G559">IF(_xlfn.XLOOKUP(C559,customers!A558:$A$1001,customers!C558:$C$1001,,0)=0,"",_xlfn.XLOOKUP(C559,customers!A558:$A$1001,customers!C558:$C$1001,,0))</f>
        <v>#N/A</v>
      </c>
      <c r="H559" s="2" t="str" cm="1">
        <f t="array" ref="H559">_xlfn.XLOOKUP(C559,customers!A558:$A$1001,customers!G558:$G$1001,"Ireland",0)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8"/>
        <v>59.4</v>
      </c>
      <c r="N559" t="str" cm="1">
        <f t="array" ref="N559">_xlfn.IFS(I559="Rob","Robusta",I559="Exc","Excelsa",I559="Ara","Arabica",I559="Lib","Liberica")</f>
        <v>Excelsa</v>
      </c>
      <c r="O559" t="str" cm="1">
        <f t="array" ref="O559">_xlfn.IFS(J559="M","Midium",J559="L","Light",J559="D","Dark")</f>
        <v>Light</v>
      </c>
      <c r="P559" t="str">
        <f>_xlfn.XLOOKUP(Orders[[#This Row],[Customer ID]],customers!A:A,customers!I:I,,0)</f>
        <v>Yes</v>
      </c>
      <c r="Q559" t="str">
        <f>_xlfn.XLOOKUP(C560,customers!A:A,customers!B:B,"مش موجود")</f>
        <v>Kenton Wetherick</v>
      </c>
    </row>
    <row r="560" spans="1:17" x14ac:dyDescent="0.25">
      <c r="A560" s="2" t="s">
        <v>3643</v>
      </c>
      <c r="B560" s="3">
        <v>44225</v>
      </c>
      <c r="C560" s="2" t="s">
        <v>3644</v>
      </c>
      <c r="D560" t="s">
        <v>6150</v>
      </c>
      <c r="E560" s="2">
        <v>4</v>
      </c>
      <c r="F560" s="2" t="str">
        <f>_xlfn.XLOOKUP(Orders[[#This Row],[Customer ID]],customers!A:A,customers!B:B)</f>
        <v>Kenton Wetherick</v>
      </c>
      <c r="G560" s="2" t="str" cm="1">
        <f t="array" ref="G560">IF(_xlfn.XLOOKUP(C560,customers!A559:$A$1001,customers!C559:$C$1001,,0)=0,"",_xlfn.XLOOKUP(C560,customers!A559:$A$1001,customers!C559:$C$1001,,0))</f>
        <v/>
      </c>
      <c r="H560" s="2" t="str" cm="1">
        <f t="array" ref="H560">_xlfn.XLOOKUP(C560,customers!A559:$A$1001,customers!G559:$G$1001,"Ireland",0)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8"/>
        <v>15.54</v>
      </c>
      <c r="N560" t="str" cm="1">
        <f t="array" ref="N560">_xlfn.IFS(I560="Rob","Robusta",I560="Exc","Excelsa",I560="Ara","Arabica",I560="Lib","Liberica")</f>
        <v>Liberica</v>
      </c>
      <c r="O560" t="str" cm="1">
        <f t="array" ref="O560">_xlfn.IFS(J560="M","Midium",J560="L","Light",J560="D","Dark")</f>
        <v>Dark</v>
      </c>
      <c r="P560" t="str">
        <f>_xlfn.XLOOKUP(Orders[[#This Row],[Customer ID]],customers!A:A,customers!I:I,,0)</f>
        <v>Yes</v>
      </c>
      <c r="Q560" t="str">
        <f>_xlfn.XLOOKUP(C561,customers!A:A,customers!B:B,"مش موجود")</f>
        <v>Reamonn Aynold</v>
      </c>
    </row>
    <row r="561" spans="1:17" x14ac:dyDescent="0.25">
      <c r="A561" s="2" t="s">
        <v>3648</v>
      </c>
      <c r="B561" s="3">
        <v>44667</v>
      </c>
      <c r="C561" s="2" t="s">
        <v>3649</v>
      </c>
      <c r="D561" t="s">
        <v>6140</v>
      </c>
      <c r="E561" s="2">
        <v>3</v>
      </c>
      <c r="F561" s="2" t="str">
        <f>_xlfn.XLOOKUP(Orders[[#This Row],[Customer ID]],customers!A:A,customers!B:B)</f>
        <v>Reamonn Aynold</v>
      </c>
      <c r="G561" s="2" t="str" cm="1">
        <f t="array" ref="G561">IF(_xlfn.XLOOKUP(C561,customers!A560:$A$1001,customers!C560:$C$1001,,0)=0,"",_xlfn.XLOOKUP(C561,customers!A560:$A$1001,customers!C560:$C$1001,,0))</f>
        <v>raynoldfj@ustream.tv</v>
      </c>
      <c r="H561" s="2" t="str" cm="1">
        <f t="array" ref="H561">_xlfn.XLOOKUP(C561,customers!A560:$A$1001,customers!G560:$G$1001,"Ireland",0)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8"/>
        <v>38.849999999999994</v>
      </c>
      <c r="N561" t="str" cm="1">
        <f t="array" ref="N561">_xlfn.IFS(I561="Rob","Robusta",I561="Exc","Excelsa",I561="Ara","Arabica",I561="Lib","Liberica")</f>
        <v>Arabica</v>
      </c>
      <c r="O561" t="str" cm="1">
        <f t="array" ref="O561">_xlfn.IFS(J561="M","Midium",J561="L","Light",J561="D","Dark")</f>
        <v>Light</v>
      </c>
      <c r="P561" t="str">
        <f>_xlfn.XLOOKUP(Orders[[#This Row],[Customer ID]],customers!A:A,customers!I:I,,0)</f>
        <v>Yes</v>
      </c>
      <c r="Q561" t="str">
        <f>_xlfn.XLOOKUP(C562,customers!A:A,customers!B:B,"مش موجود")</f>
        <v>Hatty Dovydenas</v>
      </c>
    </row>
    <row r="562" spans="1:17" x14ac:dyDescent="0.25">
      <c r="A562" s="2" t="s">
        <v>3654</v>
      </c>
      <c r="B562" s="3">
        <v>44401</v>
      </c>
      <c r="C562" s="2" t="s">
        <v>3655</v>
      </c>
      <c r="D562" t="s">
        <v>6166</v>
      </c>
      <c r="E562" s="2">
        <v>6</v>
      </c>
      <c r="F562" s="2" t="str">
        <f>_xlfn.XLOOKUP(Orders[[#This Row],[Customer ID]],customers!A:A,customers!B:B)</f>
        <v>Hatty Dovydenas</v>
      </c>
      <c r="G562" s="2" t="str" cm="1">
        <f t="array" ref="G562">IF(_xlfn.XLOOKUP(C562,customers!A561:$A$1001,customers!C561:$C$1001,,0)=0,"",_xlfn.XLOOKUP(C562,customers!A561:$A$1001,customers!C561:$C$1001,,0))</f>
        <v/>
      </c>
      <c r="H562" s="2" t="str" cm="1">
        <f t="array" ref="H562">_xlfn.XLOOKUP(C562,customers!A561:$A$1001,customers!G561:$G$1001,"Ireland",0)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8"/>
        <v>189.74999999999997</v>
      </c>
      <c r="N562" t="str" cm="1">
        <f t="array" ref="N562">_xlfn.IFS(I562="Rob","Robusta",I562="Exc","Excelsa",I562="Ara","Arabica",I562="Lib","Liberica")</f>
        <v>Excelsa</v>
      </c>
      <c r="O562" t="str" cm="1">
        <f t="array" ref="O562">_xlfn.IFS(J562="M","Midium",J562="L","Light",J562="D","Dark")</f>
        <v>Midium</v>
      </c>
      <c r="P562" t="str">
        <f>_xlfn.XLOOKUP(Orders[[#This Row],[Customer ID]],customers!A:A,customers!I:I,,0)</f>
        <v>Yes</v>
      </c>
      <c r="Q562" t="str">
        <f>_xlfn.XLOOKUP(C563,customers!A:A,customers!B:B,"مش موجود")</f>
        <v>Nathaniel Bloxland</v>
      </c>
    </row>
    <row r="563" spans="1:17" x14ac:dyDescent="0.25">
      <c r="A563" s="2" t="s">
        <v>3659</v>
      </c>
      <c r="B563" s="3">
        <v>43688</v>
      </c>
      <c r="C563" s="2" t="s">
        <v>3660</v>
      </c>
      <c r="D563" t="s">
        <v>6154</v>
      </c>
      <c r="E563" s="2">
        <v>6</v>
      </c>
      <c r="F563" s="2" t="str">
        <f>_xlfn.XLOOKUP(Orders[[#This Row],[Customer ID]],customers!A:A,customers!B:B)</f>
        <v>Nathaniel Bloxland</v>
      </c>
      <c r="G563" s="2" t="str" cm="1">
        <f t="array" ref="G563">IF(_xlfn.XLOOKUP(C563,customers!A562:$A$1001,customers!C562:$C$1001,,0)=0,"",_xlfn.XLOOKUP(C563,customers!A562:$A$1001,customers!C562:$C$1001,,0))</f>
        <v/>
      </c>
      <c r="H563" s="2" t="str" cm="1">
        <f t="array" ref="H563">_xlfn.XLOOKUP(C563,customers!A562:$A$1001,customers!G562:$G$1001,"Ireland",0)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8"/>
        <v>17.91</v>
      </c>
      <c r="N563" t="str" cm="1">
        <f t="array" ref="N563">_xlfn.IFS(I563="Rob","Robusta",I563="Exc","Excelsa",I563="Ara","Arabica",I563="Lib","Liberica")</f>
        <v>Arabica</v>
      </c>
      <c r="O563" t="str" cm="1">
        <f t="array" ref="O563">_xlfn.IFS(J563="M","Midium",J563="L","Light",J563="D","Dark")</f>
        <v>Dark</v>
      </c>
      <c r="P563" t="str">
        <f>_xlfn.XLOOKUP(Orders[[#This Row],[Customer ID]],customers!A:A,customers!I:I,,0)</f>
        <v>Yes</v>
      </c>
      <c r="Q563" t="str">
        <f>_xlfn.XLOOKUP(C564,customers!A:A,customers!B:B,"مش موجود")</f>
        <v>Brendan Grece</v>
      </c>
    </row>
    <row r="564" spans="1:17" x14ac:dyDescent="0.25">
      <c r="A564" s="2" t="s">
        <v>3665</v>
      </c>
      <c r="B564" s="3">
        <v>43669</v>
      </c>
      <c r="C564" s="2" t="s">
        <v>3666</v>
      </c>
      <c r="D564" t="s">
        <v>6145</v>
      </c>
      <c r="E564" s="2">
        <v>6</v>
      </c>
      <c r="F564" s="2" t="str">
        <f>_xlfn.XLOOKUP(Orders[[#This Row],[Customer ID]],customers!A:A,customers!B:B)</f>
        <v>Brendan Grece</v>
      </c>
      <c r="G564" s="2" t="str" cm="1">
        <f t="array" ref="G564">IF(_xlfn.XLOOKUP(C564,customers!A563:$A$1001,customers!C563:$C$1001,,0)=0,"",_xlfn.XLOOKUP(C564,customers!A563:$A$1001,customers!C563:$C$1001,,0))</f>
        <v>bgrecefm@naver.com</v>
      </c>
      <c r="H564" s="2" t="str" cm="1">
        <f t="array" ref="H564">_xlfn.XLOOKUP(C564,customers!A563:$A$1001,customers!G563:$G$1001,"Ireland",0)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8"/>
        <v>28.53</v>
      </c>
      <c r="N564" t="str" cm="1">
        <f t="array" ref="N564">_xlfn.IFS(I564="Rob","Robusta",I564="Exc","Excelsa",I564="Ara","Arabica",I564="Lib","Liberica")</f>
        <v>Liberica</v>
      </c>
      <c r="O564" t="str" cm="1">
        <f t="array" ref="O564">_xlfn.IFS(J564="M","Midium",J564="L","Light",J564="D","Dark")</f>
        <v>Light</v>
      </c>
      <c r="P564" t="str">
        <f>_xlfn.XLOOKUP(Orders[[#This Row],[Customer ID]],customers!A:A,customers!I:I,,0)</f>
        <v>No</v>
      </c>
      <c r="Q564" t="str">
        <f>_xlfn.XLOOKUP(C565,customers!A:A,customers!B:B,"مش موجود")</f>
        <v>Don Flintiff</v>
      </c>
    </row>
    <row r="565" spans="1:17" x14ac:dyDescent="0.25">
      <c r="A565" s="2" t="s">
        <v>3671</v>
      </c>
      <c r="B565" s="3">
        <v>43991</v>
      </c>
      <c r="C565" s="2" t="s">
        <v>3752</v>
      </c>
      <c r="D565" t="s">
        <v>6141</v>
      </c>
      <c r="E565" s="2">
        <v>6</v>
      </c>
      <c r="F565" s="2" t="str">
        <f>_xlfn.XLOOKUP(Orders[[#This Row],[Customer ID]],customers!A:A,customers!B:B)</f>
        <v>Don Flintiff</v>
      </c>
      <c r="G565" s="2" t="str" cm="1">
        <f t="array" ref="G565">IF(_xlfn.XLOOKUP(C565,customers!A564:$A$1001,customers!C564:$C$1001,,0)=0,"",_xlfn.XLOOKUP(C565,customers!A564:$A$1001,customers!C564:$C$1001,,0))</f>
        <v>dflintiffg1@e-recht24.de</v>
      </c>
      <c r="H565" s="2" t="str" cm="1">
        <f t="array" ref="H565">_xlfn.XLOOKUP(C565,customers!A564:$A$1001,customers!G564:$G$1001,"Ireland",0)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8"/>
        <v>82.5</v>
      </c>
      <c r="N565" t="str" cm="1">
        <f t="array" ref="N565">_xlfn.IFS(I565="Rob","Robusta",I565="Exc","Excelsa",I565="Ara","Arabica",I565="Lib","Liberica")</f>
        <v>Excelsa</v>
      </c>
      <c r="O565" t="str" cm="1">
        <f t="array" ref="O565">_xlfn.IFS(J565="M","Midium",J565="L","Light",J565="D","Dark")</f>
        <v>Midium</v>
      </c>
      <c r="P565" t="str">
        <f>_xlfn.XLOOKUP(Orders[[#This Row],[Customer ID]],customers!A:A,customers!I:I,,0)</f>
        <v>No</v>
      </c>
      <c r="Q565" t="str">
        <f>_xlfn.XLOOKUP(C566,customers!A:A,customers!B:B,"مش موجود")</f>
        <v>Abbe Thys</v>
      </c>
    </row>
    <row r="566" spans="1:17" x14ac:dyDescent="0.25">
      <c r="A566" s="2" t="s">
        <v>3677</v>
      </c>
      <c r="B566" s="3">
        <v>43883</v>
      </c>
      <c r="C566" s="2" t="s">
        <v>3678</v>
      </c>
      <c r="D566" t="s">
        <v>6173</v>
      </c>
      <c r="E566" s="2">
        <v>2</v>
      </c>
      <c r="F566" s="2" t="str">
        <f>_xlfn.XLOOKUP(Orders[[#This Row],[Customer ID]],customers!A:A,customers!B:B)</f>
        <v>Abbe Thys</v>
      </c>
      <c r="G566" s="2" t="str" cm="1">
        <f t="array" ref="G566">IF(_xlfn.XLOOKUP(C566,customers!A565:$A$1001,customers!C565:$C$1001,,0)=0,"",_xlfn.XLOOKUP(C566,customers!A565:$A$1001,customers!C565:$C$1001,,0))</f>
        <v>athysfo@cdc.gov</v>
      </c>
      <c r="H566" s="2" t="str" cm="1">
        <f t="array" ref="H566">_xlfn.XLOOKUP(C566,customers!A565:$A$1001,customers!G565:$G$1001,"Ireland",0)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8"/>
        <v>14.339999999999998</v>
      </c>
      <c r="N566" t="str" cm="1">
        <f t="array" ref="N566">_xlfn.IFS(I566="Rob","Robusta",I566="Exc","Excelsa",I566="Ara","Arabica",I566="Lib","Liberica")</f>
        <v>Robusta</v>
      </c>
      <c r="O566" t="str" cm="1">
        <f t="array" ref="O566">_xlfn.IFS(J566="M","Midium",J566="L","Light",J566="D","Dark")</f>
        <v>Light</v>
      </c>
      <c r="P566" t="str">
        <f>_xlfn.XLOOKUP(Orders[[#This Row],[Customer ID]],customers!A:A,customers!I:I,,0)</f>
        <v>No</v>
      </c>
      <c r="Q566" t="str">
        <f>_xlfn.XLOOKUP(C567,customers!A:A,customers!B:B,"مش موجود")</f>
        <v>Jackquelin Chugg</v>
      </c>
    </row>
    <row r="567" spans="1:17" x14ac:dyDescent="0.25">
      <c r="A567" s="2" t="s">
        <v>3683</v>
      </c>
      <c r="B567" s="3">
        <v>44031</v>
      </c>
      <c r="C567" s="2" t="s">
        <v>3684</v>
      </c>
      <c r="D567" t="s">
        <v>6149</v>
      </c>
      <c r="E567" s="2">
        <v>4</v>
      </c>
      <c r="F567" s="2" t="str">
        <f>_xlfn.XLOOKUP(Orders[[#This Row],[Customer ID]],customers!A:A,customers!B:B)</f>
        <v>Jackquelin Chugg</v>
      </c>
      <c r="G567" s="2" t="str" cm="1">
        <f t="array" ref="G567">IF(_xlfn.XLOOKUP(C567,customers!A566:$A$1001,customers!C566:$C$1001,,0)=0,"",_xlfn.XLOOKUP(C567,customers!A566:$A$1001,customers!C566:$C$1001,,0))</f>
        <v>jchuggfp@about.me</v>
      </c>
      <c r="H567" s="2" t="str" cm="1">
        <f t="array" ref="H567">_xlfn.XLOOKUP(C567,customers!A566:$A$1001,customers!G566:$G$1001,"Ireland",0)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8"/>
        <v>82.339999999999989</v>
      </c>
      <c r="N567" t="str" cm="1">
        <f t="array" ref="N567">_xlfn.IFS(I567="Rob","Robusta",I567="Exc","Excelsa",I567="Ara","Arabica",I567="Lib","Liberica")</f>
        <v>Robusta</v>
      </c>
      <c r="O567" t="str" cm="1">
        <f t="array" ref="O567">_xlfn.IFS(J567="M","Midium",J567="L","Light",J567="D","Dark")</f>
        <v>Dark</v>
      </c>
      <c r="P567" t="str">
        <f>_xlfn.XLOOKUP(Orders[[#This Row],[Customer ID]],customers!A:A,customers!I:I,,0)</f>
        <v>No</v>
      </c>
      <c r="Q567" t="str">
        <f>_xlfn.XLOOKUP(C568,customers!A:A,customers!B:B,"مش موجود")</f>
        <v>Audra Kelston</v>
      </c>
    </row>
    <row r="568" spans="1:17" x14ac:dyDescent="0.25">
      <c r="A568" s="2" t="s">
        <v>3689</v>
      </c>
      <c r="B568" s="3">
        <v>44459</v>
      </c>
      <c r="C568" s="2" t="s">
        <v>3690</v>
      </c>
      <c r="D568" t="s">
        <v>6152</v>
      </c>
      <c r="E568" s="2">
        <v>6</v>
      </c>
      <c r="F568" s="2" t="str">
        <f>_xlfn.XLOOKUP(Orders[[#This Row],[Customer ID]],customers!A:A,customers!B:B)</f>
        <v>Audra Kelston</v>
      </c>
      <c r="G568" s="2" t="str" cm="1">
        <f t="array" ref="G568">IF(_xlfn.XLOOKUP(C568,customers!A567:$A$1001,customers!C567:$C$1001,,0)=0,"",_xlfn.XLOOKUP(C568,customers!A567:$A$1001,customers!C567:$C$1001,,0))</f>
        <v>akelstonfq@sakura.ne.jp</v>
      </c>
      <c r="H568" s="2" t="str" cm="1">
        <f t="array" ref="H568">_xlfn.XLOOKUP(C568,customers!A567:$A$1001,customers!G567:$G$1001,"Ireland",0)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8"/>
        <v>20.25</v>
      </c>
      <c r="N568" t="str" cm="1">
        <f t="array" ref="N568">_xlfn.IFS(I568="Rob","Robusta",I568="Exc","Excelsa",I568="Ara","Arabica",I568="Lib","Liberica")</f>
        <v>Arabica</v>
      </c>
      <c r="O568" t="str" cm="1">
        <f t="array" ref="O568">_xlfn.IFS(J568="M","Midium",J568="L","Light",J568="D","Dark")</f>
        <v>Midium</v>
      </c>
      <c r="P568" t="str">
        <f>_xlfn.XLOOKUP(Orders[[#This Row],[Customer ID]],customers!A:A,customers!I:I,,0)</f>
        <v>Yes</v>
      </c>
      <c r="Q568" t="str">
        <f>_xlfn.XLOOKUP(C569,customers!A:A,customers!B:B,"مش موجود")</f>
        <v>Elvina Angel</v>
      </c>
    </row>
    <row r="569" spans="1:17" x14ac:dyDescent="0.25">
      <c r="A569" s="2" t="s">
        <v>3695</v>
      </c>
      <c r="B569" s="3">
        <v>44318</v>
      </c>
      <c r="C569" s="2" t="s">
        <v>3696</v>
      </c>
      <c r="D569" t="s">
        <v>6142</v>
      </c>
      <c r="E569" s="2">
        <v>6</v>
      </c>
      <c r="F569" s="2" t="str">
        <f>_xlfn.XLOOKUP(Orders[[#This Row],[Customer ID]],customers!A:A,customers!B:B)</f>
        <v>Elvina Angel</v>
      </c>
      <c r="G569" s="2" t="str" cm="1">
        <f t="array" ref="G569">IF(_xlfn.XLOOKUP(C569,customers!A568:$A$1001,customers!C568:$C$1001,,0)=0,"",_xlfn.XLOOKUP(C569,customers!A568:$A$1001,customers!C568:$C$1001,,0))</f>
        <v/>
      </c>
      <c r="H569" s="2" t="str" cm="1">
        <f t="array" ref="H569">_xlfn.XLOOKUP(C569,customers!A568:$A$1001,customers!G568:$G$1001,"Ireland",0)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8"/>
        <v>164.90999999999997</v>
      </c>
      <c r="N569" t="str" cm="1">
        <f t="array" ref="N569">_xlfn.IFS(I569="Rob","Robusta",I569="Exc","Excelsa",I569="Ara","Arabica",I569="Lib","Liberica")</f>
        <v>Robusta</v>
      </c>
      <c r="O569" t="str" cm="1">
        <f t="array" ref="O569">_xlfn.IFS(J569="M","Midium",J569="L","Light",J569="D","Dark")</f>
        <v>Light</v>
      </c>
      <c r="P569" t="str">
        <f>_xlfn.XLOOKUP(Orders[[#This Row],[Customer ID]],customers!A:A,customers!I:I,,0)</f>
        <v>No</v>
      </c>
      <c r="Q569" t="str">
        <f>_xlfn.XLOOKUP(C570,customers!A:A,customers!B:B,"مش موجود")</f>
        <v>Claiborne Mottram</v>
      </c>
    </row>
    <row r="570" spans="1:17" x14ac:dyDescent="0.25">
      <c r="A570" s="2" t="s">
        <v>3700</v>
      </c>
      <c r="B570" s="3">
        <v>44526</v>
      </c>
      <c r="C570" s="2" t="s">
        <v>3701</v>
      </c>
      <c r="D570" t="s">
        <v>6145</v>
      </c>
      <c r="E570" s="2">
        <v>4</v>
      </c>
      <c r="F570" s="2" t="str">
        <f>_xlfn.XLOOKUP(Orders[[#This Row],[Customer ID]],customers!A:A,customers!B:B)</f>
        <v>Claiborne Mottram</v>
      </c>
      <c r="G570" s="2" t="str" cm="1">
        <f t="array" ref="G570">IF(_xlfn.XLOOKUP(C570,customers!A569:$A$1001,customers!C569:$C$1001,,0)=0,"",_xlfn.XLOOKUP(C570,customers!A569:$A$1001,customers!C569:$C$1001,,0))</f>
        <v>cmottramfs@harvard.edu</v>
      </c>
      <c r="H570" s="2" t="str" cm="1">
        <f t="array" ref="H570">_xlfn.XLOOKUP(C570,customers!A569:$A$1001,customers!G569:$G$1001,"Ireland",0)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8"/>
        <v>19.02</v>
      </c>
      <c r="N570" t="str" cm="1">
        <f t="array" ref="N570">_xlfn.IFS(I570="Rob","Robusta",I570="Exc","Excelsa",I570="Ara","Arabica",I570="Lib","Liberica")</f>
        <v>Liberica</v>
      </c>
      <c r="O570" t="str" cm="1">
        <f t="array" ref="O570">_xlfn.IFS(J570="M","Midium",J570="L","Light",J570="D","Dark")</f>
        <v>Light</v>
      </c>
      <c r="P570" t="str">
        <f>_xlfn.XLOOKUP(Orders[[#This Row],[Customer ID]],customers!A:A,customers!I:I,,0)</f>
        <v>Yes</v>
      </c>
      <c r="Q570" t="str">
        <f>_xlfn.XLOOKUP(C571,customers!A:A,customers!B:B,"مش موجود")</f>
        <v>Don Flintiff</v>
      </c>
    </row>
    <row r="571" spans="1:17" x14ac:dyDescent="0.25">
      <c r="A571" s="2" t="s">
        <v>3706</v>
      </c>
      <c r="B571" s="3">
        <v>43879</v>
      </c>
      <c r="C571" s="2" t="s">
        <v>3752</v>
      </c>
      <c r="D571" t="s">
        <v>6168</v>
      </c>
      <c r="E571" s="2">
        <v>6</v>
      </c>
      <c r="F571" s="2" t="str">
        <f>_xlfn.XLOOKUP(Orders[[#This Row],[Customer ID]],customers!A:A,customers!B:B)</f>
        <v>Don Flintiff</v>
      </c>
      <c r="G571" s="2" t="str" cm="1">
        <f t="array" ref="G571">IF(_xlfn.XLOOKUP(C571,customers!A570:$A$1001,customers!C570:$C$1001,,0)=0,"",_xlfn.XLOOKUP(C571,customers!A570:$A$1001,customers!C570:$C$1001,,0))</f>
        <v>dflintiffg1@e-recht24.de</v>
      </c>
      <c r="H571" s="2" t="str" cm="1">
        <f t="array" ref="H571">_xlfn.XLOOKUP(C571,customers!A570:$A$1001,customers!G570:$G$1001,"Ireland",0)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8"/>
        <v>137.31</v>
      </c>
      <c r="N571" t="str" cm="1">
        <f t="array" ref="N571">_xlfn.IFS(I571="Rob","Robusta",I571="Exc","Excelsa",I571="Ara","Arabica",I571="Lib","Liberica")</f>
        <v>Arabica</v>
      </c>
      <c r="O571" t="str" cm="1">
        <f t="array" ref="O571">_xlfn.IFS(J571="M","Midium",J571="L","Light",J571="D","Dark")</f>
        <v>Dark</v>
      </c>
      <c r="P571" t="str">
        <f>_xlfn.XLOOKUP(Orders[[#This Row],[Customer ID]],customers!A:A,customers!I:I,,0)</f>
        <v>No</v>
      </c>
      <c r="Q571" t="str">
        <f>_xlfn.XLOOKUP(C572,customers!A:A,customers!B:B,"مش موجود")</f>
        <v>Donalt Sangwin</v>
      </c>
    </row>
    <row r="572" spans="1:17" x14ac:dyDescent="0.25">
      <c r="A572" s="2" t="s">
        <v>3712</v>
      </c>
      <c r="B572" s="3">
        <v>43928</v>
      </c>
      <c r="C572" s="2" t="s">
        <v>3713</v>
      </c>
      <c r="D572" t="s">
        <v>6157</v>
      </c>
      <c r="E572" s="2">
        <v>4</v>
      </c>
      <c r="F572" s="2" t="str">
        <f>_xlfn.XLOOKUP(Orders[[#This Row],[Customer ID]],customers!A:A,customers!B:B)</f>
        <v>Donalt Sangwin</v>
      </c>
      <c r="G572" s="2" t="str" cm="1">
        <f t="array" ref="G572">IF(_xlfn.XLOOKUP(C572,customers!A571:$A$1001,customers!C571:$C$1001,,0)=0,"",_xlfn.XLOOKUP(C572,customers!A571:$A$1001,customers!C571:$C$1001,,0))</f>
        <v>dsangwinfu@weebly.com</v>
      </c>
      <c r="H572" s="2" t="str" cm="1">
        <f t="array" ref="H572">_xlfn.XLOOKUP(C572,customers!A571:$A$1001,customers!G571:$G$1001,"Ireland",0)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8"/>
        <v>27</v>
      </c>
      <c r="N572" t="str" cm="1">
        <f t="array" ref="N572">_xlfn.IFS(I572="Rob","Robusta",I572="Exc","Excelsa",I572="Ara","Arabica",I572="Lib","Liberica")</f>
        <v>Arabica</v>
      </c>
      <c r="O572" t="str" cm="1">
        <f t="array" ref="O572">_xlfn.IFS(J572="M","Midium",J572="L","Light",J572="D","Dark")</f>
        <v>Midium</v>
      </c>
      <c r="P572" t="str">
        <f>_xlfn.XLOOKUP(Orders[[#This Row],[Customer ID]],customers!A:A,customers!I:I,,0)</f>
        <v>No</v>
      </c>
      <c r="Q572" t="str">
        <f>_xlfn.XLOOKUP(C573,customers!A:A,customers!B:B,"مش موجود")</f>
        <v>Elizabet Aizikowitz</v>
      </c>
    </row>
    <row r="573" spans="1:17" x14ac:dyDescent="0.25">
      <c r="A573" s="2" t="s">
        <v>3718</v>
      </c>
      <c r="B573" s="3">
        <v>44592</v>
      </c>
      <c r="C573" s="2" t="s">
        <v>3719</v>
      </c>
      <c r="D573" t="s">
        <v>6176</v>
      </c>
      <c r="E573" s="2">
        <v>4</v>
      </c>
      <c r="F573" s="2" t="str">
        <f>_xlfn.XLOOKUP(Orders[[#This Row],[Customer ID]],customers!A:A,customers!B:B)</f>
        <v>Elizabet Aizikowitz</v>
      </c>
      <c r="G573" s="2" t="str" cm="1">
        <f t="array" ref="G573">IF(_xlfn.XLOOKUP(C573,customers!A572:$A$1001,customers!C572:$C$1001,,0)=0,"",_xlfn.XLOOKUP(C573,customers!A572:$A$1001,customers!C572:$C$1001,,0))</f>
        <v>eaizikowitzfv@virginia.edu</v>
      </c>
      <c r="H573" s="2" t="str" cm="1">
        <f t="array" ref="H573">_xlfn.XLOOKUP(C573,customers!A572:$A$1001,customers!G572:$G$1001,"Ireland",0)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8"/>
        <v>35.64</v>
      </c>
      <c r="N573" t="str" cm="1">
        <f t="array" ref="N573">_xlfn.IFS(I573="Rob","Robusta",I573="Exc","Excelsa",I573="Ara","Arabica",I573="Lib","Liberica")</f>
        <v>Excelsa</v>
      </c>
      <c r="O573" t="str" cm="1">
        <f t="array" ref="O573">_xlfn.IFS(J573="M","Midium",J573="L","Light",J573="D","Dark")</f>
        <v>Light</v>
      </c>
      <c r="P573" t="str">
        <f>_xlfn.XLOOKUP(Orders[[#This Row],[Customer ID]],customers!A:A,customers!I:I,,0)</f>
        <v>No</v>
      </c>
      <c r="Q573" t="str">
        <f>_xlfn.XLOOKUP(C574,customers!A:A,customers!B:B,"مش موجود")</f>
        <v>Herbie Peppard</v>
      </c>
    </row>
    <row r="574" spans="1:17" x14ac:dyDescent="0.25">
      <c r="A574" s="2" t="s">
        <v>3724</v>
      </c>
      <c r="B574" s="3">
        <v>43515</v>
      </c>
      <c r="C574" s="2" t="s">
        <v>3725</v>
      </c>
      <c r="D574" t="s">
        <v>6154</v>
      </c>
      <c r="E574" s="2">
        <v>2</v>
      </c>
      <c r="F574" s="2" t="str">
        <f>_xlfn.XLOOKUP(Orders[[#This Row],[Customer ID]],customers!A:A,customers!B:B)</f>
        <v>Herbie Peppard</v>
      </c>
      <c r="G574" s="2" t="str" cm="1">
        <f t="array" ref="G574">IF(_xlfn.XLOOKUP(C574,customers!A573:$A$1001,customers!C573:$C$1001,,0)=0,"",_xlfn.XLOOKUP(C574,customers!A573:$A$1001,customers!C573:$C$1001,,0))</f>
        <v/>
      </c>
      <c r="H574" s="2" t="str" cm="1">
        <f t="array" ref="H574">_xlfn.XLOOKUP(C574,customers!A573:$A$1001,customers!G573:$G$1001,"Ireland",0)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8"/>
        <v>5.97</v>
      </c>
      <c r="N574" t="str" cm="1">
        <f t="array" ref="N574">_xlfn.IFS(I574="Rob","Robusta",I574="Exc","Excelsa",I574="Ara","Arabica",I574="Lib","Liberica")</f>
        <v>Arabica</v>
      </c>
      <c r="O574" t="str" cm="1">
        <f t="array" ref="O574">_xlfn.IFS(J574="M","Midium",J574="L","Light",J574="D","Dark")</f>
        <v>Dark</v>
      </c>
      <c r="P574" t="str">
        <f>_xlfn.XLOOKUP(Orders[[#This Row],[Customer ID]],customers!A:A,customers!I:I,,0)</f>
        <v>Yes</v>
      </c>
      <c r="Q574" t="str">
        <f>_xlfn.XLOOKUP(C575,customers!A:A,customers!B:B,"مش موجود")</f>
        <v>Cornie Venour</v>
      </c>
    </row>
    <row r="575" spans="1:17" x14ac:dyDescent="0.25">
      <c r="A575" s="2" t="s">
        <v>3728</v>
      </c>
      <c r="B575" s="3">
        <v>43781</v>
      </c>
      <c r="C575" s="2" t="s">
        <v>3729</v>
      </c>
      <c r="D575" t="s">
        <v>6155</v>
      </c>
      <c r="E575" s="2">
        <v>6</v>
      </c>
      <c r="F575" s="2" t="str">
        <f>_xlfn.XLOOKUP(Orders[[#This Row],[Customer ID]],customers!A:A,customers!B:B)</f>
        <v>Cornie Venour</v>
      </c>
      <c r="G575" s="2" t="str" cm="1">
        <f t="array" ref="G575">IF(_xlfn.XLOOKUP(C575,customers!A574:$A$1001,customers!C574:$C$1001,,0)=0,"",_xlfn.XLOOKUP(C575,customers!A574:$A$1001,customers!C574:$C$1001,,0))</f>
        <v>cvenourfx@ask.com</v>
      </c>
      <c r="H575" s="2" t="str" cm="1">
        <f t="array" ref="H575">_xlfn.XLOOKUP(C575,customers!A574:$A$1001,customers!G574:$G$1001,"Ireland",0)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8"/>
        <v>67.5</v>
      </c>
      <c r="N575" t="str" cm="1">
        <f t="array" ref="N575">_xlfn.IFS(I575="Rob","Robusta",I575="Exc","Excelsa",I575="Ara","Arabica",I575="Lib","Liberica")</f>
        <v>Arabica</v>
      </c>
      <c r="O575" t="str" cm="1">
        <f t="array" ref="O575">_xlfn.IFS(J575="M","Midium",J575="L","Light",J575="D","Dark")</f>
        <v>Midium</v>
      </c>
      <c r="P575" t="str">
        <f>_xlfn.XLOOKUP(Orders[[#This Row],[Customer ID]],customers!A:A,customers!I:I,,0)</f>
        <v>No</v>
      </c>
      <c r="Q575" t="str">
        <f>_xlfn.XLOOKUP(C576,customers!A:A,customers!B:B,"مش موجود")</f>
        <v>Maggy Harby</v>
      </c>
    </row>
    <row r="576" spans="1:17" x14ac:dyDescent="0.25">
      <c r="A576" s="2" t="s">
        <v>3734</v>
      </c>
      <c r="B576" s="3">
        <v>44697</v>
      </c>
      <c r="C576" s="2" t="s">
        <v>3735</v>
      </c>
      <c r="D576" t="s">
        <v>6178</v>
      </c>
      <c r="E576" s="2">
        <v>6</v>
      </c>
      <c r="F576" s="2" t="str">
        <f>_xlfn.XLOOKUP(Orders[[#This Row],[Customer ID]],customers!A:A,customers!B:B)</f>
        <v>Maggy Harby</v>
      </c>
      <c r="G576" s="2" t="str" cm="1">
        <f t="array" ref="G576">IF(_xlfn.XLOOKUP(C576,customers!A575:$A$1001,customers!C575:$C$1001,,0)=0,"",_xlfn.XLOOKUP(C576,customers!A575:$A$1001,customers!C575:$C$1001,,0))</f>
        <v>mharbyfy@163.com</v>
      </c>
      <c r="H576" s="2" t="str" cm="1">
        <f t="array" ref="H576">_xlfn.XLOOKUP(C576,customers!A575:$A$1001,customers!G575:$G$1001,"Ireland",0)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8"/>
        <v>21.509999999999998</v>
      </c>
      <c r="N576" t="str" cm="1">
        <f t="array" ref="N576">_xlfn.IFS(I576="Rob","Robusta",I576="Exc","Excelsa",I576="Ara","Arabica",I576="Lib","Liberica")</f>
        <v>Robusta</v>
      </c>
      <c r="O576" t="str" cm="1">
        <f t="array" ref="O576">_xlfn.IFS(J576="M","Midium",J576="L","Light",J576="D","Dark")</f>
        <v>Light</v>
      </c>
      <c r="P576" t="str">
        <f>_xlfn.XLOOKUP(Orders[[#This Row],[Customer ID]],customers!A:A,customers!I:I,,0)</f>
        <v>Yes</v>
      </c>
      <c r="Q576" t="str">
        <f>_xlfn.XLOOKUP(C577,customers!A:A,customers!B:B,"مش موجود")</f>
        <v>Reggie Thickpenny</v>
      </c>
    </row>
    <row r="577" spans="1:17" x14ac:dyDescent="0.25">
      <c r="A577" s="2" t="s">
        <v>3739</v>
      </c>
      <c r="B577" s="3">
        <v>44239</v>
      </c>
      <c r="C577" s="2" t="s">
        <v>3740</v>
      </c>
      <c r="D577" t="s">
        <v>6181</v>
      </c>
      <c r="E577" s="2">
        <v>2</v>
      </c>
      <c r="F577" s="2" t="str">
        <f>_xlfn.XLOOKUP(Orders[[#This Row],[Customer ID]],customers!A:A,customers!B:B)</f>
        <v>Reggie Thickpenny</v>
      </c>
      <c r="G577" s="2" t="str" cm="1">
        <f t="array" ref="G577">IF(_xlfn.XLOOKUP(C577,customers!A576:$A$1001,customers!C576:$C$1001,,0)=0,"",_xlfn.XLOOKUP(C577,customers!A576:$A$1001,customers!C576:$C$1001,,0))</f>
        <v>rthickpennyfz@cafepress.com</v>
      </c>
      <c r="H577" s="2" t="str" cm="1">
        <f t="array" ref="H577">_xlfn.XLOOKUP(C577,customers!A576:$A$1001,customers!G576:$G$1001,"Ireland",0)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8"/>
        <v>66.929999999999993</v>
      </c>
      <c r="N577" t="str" cm="1">
        <f t="array" ref="N577">_xlfn.IFS(I577="Rob","Robusta",I577="Exc","Excelsa",I577="Ara","Arabica",I577="Lib","Liberica")</f>
        <v>Liberica</v>
      </c>
      <c r="O577" t="str" cm="1">
        <f t="array" ref="O577">_xlfn.IFS(J577="M","Midium",J577="L","Light",J577="D","Dark")</f>
        <v>Midium</v>
      </c>
      <c r="P577" t="str">
        <f>_xlfn.XLOOKUP(Orders[[#This Row],[Customer ID]],customers!A:A,customers!I:I,,0)</f>
        <v>No</v>
      </c>
      <c r="Q577" t="str">
        <f>_xlfn.XLOOKUP(C578,customers!A:A,customers!B:B,"مش موجود")</f>
        <v>Phyllys Ormerod</v>
      </c>
    </row>
    <row r="578" spans="1:17" x14ac:dyDescent="0.25">
      <c r="A578" s="2" t="s">
        <v>3745</v>
      </c>
      <c r="B578" s="3">
        <v>44290</v>
      </c>
      <c r="C578" s="2" t="s">
        <v>3746</v>
      </c>
      <c r="D578" t="s">
        <v>6154</v>
      </c>
      <c r="E578" s="2">
        <v>6</v>
      </c>
      <c r="F578" s="2" t="str">
        <f>_xlfn.XLOOKUP(Orders[[#This Row],[Customer ID]],customers!A:A,customers!B:B)</f>
        <v>Phyllys Ormerod</v>
      </c>
      <c r="G578" s="2" t="str" cm="1">
        <f t="array" ref="G578">IF(_xlfn.XLOOKUP(C578,customers!A577:$A$1001,customers!C577:$C$1001,,0)=0,"",_xlfn.XLOOKUP(C578,customers!A577:$A$1001,customers!C577:$C$1001,,0))</f>
        <v>pormerodg0@redcross.org</v>
      </c>
      <c r="H578" s="2" t="str" cm="1">
        <f t="array" ref="H578">_xlfn.XLOOKUP(C578,customers!A577:$A$1001,customers!G577:$G$1001,"Ireland",0)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8"/>
        <v>17.91</v>
      </c>
      <c r="N578" t="str" cm="1">
        <f t="array" ref="N578">_xlfn.IFS(I578="Rob","Robusta",I578="Exc","Excelsa",I578="Ara","Arabica",I578="Lib","Liberica")</f>
        <v>Arabica</v>
      </c>
      <c r="O578" t="str" cm="1">
        <f t="array" ref="O578">_xlfn.IFS(J578="M","Midium",J578="L","Light",J578="D","Dark")</f>
        <v>Dark</v>
      </c>
      <c r="P578" t="str">
        <f>_xlfn.XLOOKUP(Orders[[#This Row],[Customer ID]],customers!A:A,customers!I:I,,0)</f>
        <v>No</v>
      </c>
      <c r="Q578" t="str">
        <f>_xlfn.XLOOKUP(C579,customers!A:A,customers!B:B,"مش موجود")</f>
        <v>Don Flintiff</v>
      </c>
    </row>
    <row r="579" spans="1:17" x14ac:dyDescent="0.25">
      <c r="A579" s="2" t="s">
        <v>3751</v>
      </c>
      <c r="B579" s="3">
        <v>44410</v>
      </c>
      <c r="C579" s="2" t="s">
        <v>3752</v>
      </c>
      <c r="D579" t="s">
        <v>6162</v>
      </c>
      <c r="E579" s="2">
        <v>4</v>
      </c>
      <c r="F579" s="2" t="str">
        <f>_xlfn.XLOOKUP(Orders[[#This Row],[Customer ID]],customers!A:A,customers!B:B)</f>
        <v>Don Flintiff</v>
      </c>
      <c r="G579" s="2" t="str" cm="1">
        <f t="array" ref="G579">IF(_xlfn.XLOOKUP(C579,customers!A578:$A$1001,customers!C578:$C$1001,,0)=0,"",_xlfn.XLOOKUP(C579,customers!A578:$A$1001,customers!C578:$C$1001,,0))</f>
        <v>dflintiffg1@e-recht24.de</v>
      </c>
      <c r="H579" s="2" t="str" cm="1">
        <f t="array" ref="H579">_xlfn.XLOOKUP(C579,customers!A578:$A$1001,customers!G578:$G$1001,"Ireland",0)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9">L579*E579</f>
        <v>58.2</v>
      </c>
      <c r="N579" t="str" cm="1">
        <f t="array" ref="N579">_xlfn.IFS(I579="Rob","Robusta",I579="Exc","Excelsa",I579="Ara","Arabica",I579="Lib","Liberica")</f>
        <v>Liberica</v>
      </c>
      <c r="O579" t="str" cm="1">
        <f t="array" ref="O579">_xlfn.IFS(J579="M","Midium",J579="L","Light",J579="D","Dark")</f>
        <v>Midium</v>
      </c>
      <c r="P579" t="str">
        <f>_xlfn.XLOOKUP(Orders[[#This Row],[Customer ID]],customers!A:A,customers!I:I,,0)</f>
        <v>No</v>
      </c>
      <c r="Q579" t="str">
        <f>_xlfn.XLOOKUP(C580,customers!A:A,customers!B:B,"مش موجود")</f>
        <v>Tymon Zanetti</v>
      </c>
    </row>
    <row r="580" spans="1:17" x14ac:dyDescent="0.25">
      <c r="A580" s="2" t="s">
        <v>3756</v>
      </c>
      <c r="B580" s="3">
        <v>44720</v>
      </c>
      <c r="C580" s="2" t="s">
        <v>3757</v>
      </c>
      <c r="D580" t="s">
        <v>6184</v>
      </c>
      <c r="E580" s="2">
        <v>3</v>
      </c>
      <c r="F580" s="2" t="str">
        <f>_xlfn.XLOOKUP(Orders[[#This Row],[Customer ID]],customers!A:A,customers!B:B)</f>
        <v>Tymon Zanetti</v>
      </c>
      <c r="G580" s="2" t="str" cm="1">
        <f t="array" ref="G580">IF(_xlfn.XLOOKUP(C580,customers!A579:$A$1001,customers!C579:$C$1001,,0)=0,"",_xlfn.XLOOKUP(C580,customers!A579:$A$1001,customers!C579:$C$1001,,0))</f>
        <v>tzanettig2@gravatar.com</v>
      </c>
      <c r="H580" s="2" t="str" cm="1">
        <f t="array" ref="H580">_xlfn.XLOOKUP(C580,customers!A579:$A$1001,customers!G579:$G$1001,"Ireland",0)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9"/>
        <v>13.365</v>
      </c>
      <c r="N580" t="str" cm="1">
        <f t="array" ref="N580">_xlfn.IFS(I580="Rob","Robusta",I580="Exc","Excelsa",I580="Ara","Arabica",I580="Lib","Liberica")</f>
        <v>Excelsa</v>
      </c>
      <c r="O580" t="str" cm="1">
        <f t="array" ref="O580">_xlfn.IFS(J580="M","Midium",J580="L","Light",J580="D","Dark")</f>
        <v>Light</v>
      </c>
      <c r="P580" t="str">
        <f>_xlfn.XLOOKUP(Orders[[#This Row],[Customer ID]],customers!A:A,customers!I:I,,0)</f>
        <v>No</v>
      </c>
      <c r="Q580" t="str">
        <f>_xlfn.XLOOKUP(C581,customers!A:A,customers!B:B,"مش موجود")</f>
        <v>Tymon Zanetti</v>
      </c>
    </row>
    <row r="581" spans="1:17" x14ac:dyDescent="0.25">
      <c r="A581" s="2" t="s">
        <v>3756</v>
      </c>
      <c r="B581" s="3">
        <v>44720</v>
      </c>
      <c r="C581" s="2" t="s">
        <v>3757</v>
      </c>
      <c r="D581" t="s">
        <v>6157</v>
      </c>
      <c r="E581" s="2">
        <v>5</v>
      </c>
      <c r="F581" s="2" t="str">
        <f>_xlfn.XLOOKUP(Orders[[#This Row],[Customer ID]],customers!A:A,customers!B:B)</f>
        <v>Tymon Zanetti</v>
      </c>
      <c r="G581" s="2" t="str" cm="1">
        <f t="array" ref="G581">IF(_xlfn.XLOOKUP(C581,customers!A580:$A$1001,customers!C580:$C$1001,,0)=0,"",_xlfn.XLOOKUP(C581,customers!A580:$A$1001,customers!C580:$C$1001,,0))</f>
        <v>tzanettig2@gravatar.com</v>
      </c>
      <c r="H581" s="2" t="str" cm="1">
        <f t="array" ref="H581">_xlfn.XLOOKUP(C581,customers!A580:$A$1001,customers!G580:$G$1001,"Ireland",0)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9"/>
        <v>33.75</v>
      </c>
      <c r="N581" t="str" cm="1">
        <f t="array" ref="N581">_xlfn.IFS(I581="Rob","Robusta",I581="Exc","Excelsa",I581="Ara","Arabica",I581="Lib","Liberica")</f>
        <v>Arabica</v>
      </c>
      <c r="O581" t="str" cm="1">
        <f t="array" ref="O581">_xlfn.IFS(J581="M","Midium",J581="L","Light",J581="D","Dark")</f>
        <v>Midium</v>
      </c>
      <c r="P581" t="str">
        <f>_xlfn.XLOOKUP(Orders[[#This Row],[Customer ID]],customers!A:A,customers!I:I,,0)</f>
        <v>No</v>
      </c>
      <c r="Q581" t="str">
        <f>_xlfn.XLOOKUP(C582,customers!A:A,customers!B:B,"مش موجود")</f>
        <v>Reinaldos Kirtley</v>
      </c>
    </row>
    <row r="582" spans="1:17" x14ac:dyDescent="0.25">
      <c r="A582" s="2" t="s">
        <v>3767</v>
      </c>
      <c r="B582" s="3">
        <v>43965</v>
      </c>
      <c r="C582" s="2" t="s">
        <v>3768</v>
      </c>
      <c r="D582" t="s">
        <v>6171</v>
      </c>
      <c r="E582" s="2">
        <v>3</v>
      </c>
      <c r="F582" s="2" t="str">
        <f>_xlfn.XLOOKUP(Orders[[#This Row],[Customer ID]],customers!A:A,customers!B:B)</f>
        <v>Reinaldos Kirtley</v>
      </c>
      <c r="G582" s="2" t="str" cm="1">
        <f t="array" ref="G582">IF(_xlfn.XLOOKUP(C582,customers!A581:$A$1001,customers!C581:$C$1001,,0)=0,"",_xlfn.XLOOKUP(C582,customers!A581:$A$1001,customers!C581:$C$1001,,0))</f>
        <v>rkirtleyg4@hatena.ne.jp</v>
      </c>
      <c r="H582" s="2" t="str" cm="1">
        <f t="array" ref="H582">_xlfn.XLOOKUP(C582,customers!A581:$A$1001,customers!G581:$G$1001,"Ireland",0)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9"/>
        <v>44.55</v>
      </c>
      <c r="N582" t="str" cm="1">
        <f t="array" ref="N582">_xlfn.IFS(I582="Rob","Robusta",I582="Exc","Excelsa",I582="Ara","Arabica",I582="Lib","Liberica")</f>
        <v>Excelsa</v>
      </c>
      <c r="O582" t="str" cm="1">
        <f t="array" ref="O582">_xlfn.IFS(J582="M","Midium",J582="L","Light",J582="D","Dark")</f>
        <v>Light</v>
      </c>
      <c r="P582" t="str">
        <f>_xlfn.XLOOKUP(Orders[[#This Row],[Customer ID]],customers!A:A,customers!I:I,,0)</f>
        <v>Yes</v>
      </c>
      <c r="Q582" t="str">
        <f>_xlfn.XLOOKUP(C583,customers!A:A,customers!B:B,"مش موجود")</f>
        <v>Carney Clemencet</v>
      </c>
    </row>
    <row r="583" spans="1:17" x14ac:dyDescent="0.25">
      <c r="A583" s="2" t="s">
        <v>3773</v>
      </c>
      <c r="B583" s="3">
        <v>44190</v>
      </c>
      <c r="C583" s="2" t="s">
        <v>3774</v>
      </c>
      <c r="D583" t="s">
        <v>6176</v>
      </c>
      <c r="E583" s="2">
        <v>5</v>
      </c>
      <c r="F583" s="2" t="str">
        <f>_xlfn.XLOOKUP(Orders[[#This Row],[Customer ID]],customers!A:A,customers!B:B)</f>
        <v>Carney Clemencet</v>
      </c>
      <c r="G583" s="2" t="str" cm="1">
        <f t="array" ref="G583">IF(_xlfn.XLOOKUP(C583,customers!A582:$A$1001,customers!C582:$C$1001,,0)=0,"",_xlfn.XLOOKUP(C583,customers!A582:$A$1001,customers!C582:$C$1001,,0))</f>
        <v>cclemencetg5@weather.com</v>
      </c>
      <c r="H583" s="2" t="str" cm="1">
        <f t="array" ref="H583">_xlfn.XLOOKUP(C583,customers!A582:$A$1001,customers!G582:$G$1001,"Ireland",0)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9"/>
        <v>44.55</v>
      </c>
      <c r="N583" t="str" cm="1">
        <f t="array" ref="N583">_xlfn.IFS(I583="Rob","Robusta",I583="Exc","Excelsa",I583="Ara","Arabica",I583="Lib","Liberica")</f>
        <v>Excelsa</v>
      </c>
      <c r="O583" t="str" cm="1">
        <f t="array" ref="O583">_xlfn.IFS(J583="M","Midium",J583="L","Light",J583="D","Dark")</f>
        <v>Light</v>
      </c>
      <c r="P583" t="str">
        <f>_xlfn.XLOOKUP(Orders[[#This Row],[Customer ID]],customers!A:A,customers!I:I,,0)</f>
        <v>Yes</v>
      </c>
      <c r="Q583" t="str">
        <f>_xlfn.XLOOKUP(C584,customers!A:A,customers!B:B,"مش موجود")</f>
        <v>Russell Donet</v>
      </c>
    </row>
    <row r="584" spans="1:17" x14ac:dyDescent="0.25">
      <c r="A584" s="2" t="s">
        <v>3778</v>
      </c>
      <c r="B584" s="3">
        <v>44382</v>
      </c>
      <c r="C584" s="2" t="s">
        <v>3779</v>
      </c>
      <c r="D584" t="s">
        <v>6183</v>
      </c>
      <c r="E584" s="2">
        <v>5</v>
      </c>
      <c r="F584" s="2" t="str">
        <f>_xlfn.XLOOKUP(Orders[[#This Row],[Customer ID]],customers!A:A,customers!B:B)</f>
        <v>Russell Donet</v>
      </c>
      <c r="G584" s="2" t="str" cm="1">
        <f t="array" ref="G584">IF(_xlfn.XLOOKUP(C584,customers!A583:$A$1001,customers!C583:$C$1001,,0)=0,"",_xlfn.XLOOKUP(C584,customers!A583:$A$1001,customers!C583:$C$1001,,0))</f>
        <v>rdonetg6@oakley.com</v>
      </c>
      <c r="H584" s="2" t="str" cm="1">
        <f t="array" ref="H584">_xlfn.XLOOKUP(C584,customers!A583:$A$1001,customers!G583:$G$1001,"Ireland",0)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9"/>
        <v>60.75</v>
      </c>
      <c r="N584" t="str" cm="1">
        <f t="array" ref="N584">_xlfn.IFS(I584="Rob","Robusta",I584="Exc","Excelsa",I584="Ara","Arabica",I584="Lib","Liberica")</f>
        <v>Excelsa</v>
      </c>
      <c r="O584" t="str" cm="1">
        <f t="array" ref="O584">_xlfn.IFS(J584="M","Midium",J584="L","Light",J584="D","Dark")</f>
        <v>Dark</v>
      </c>
      <c r="P584" t="str">
        <f>_xlfn.XLOOKUP(Orders[[#This Row],[Customer ID]],customers!A:A,customers!I:I,,0)</f>
        <v>No</v>
      </c>
      <c r="Q584" t="str">
        <f>_xlfn.XLOOKUP(C585,customers!A:A,customers!B:B,"مش موجود")</f>
        <v>Sidney Gawen</v>
      </c>
    </row>
    <row r="585" spans="1:17" x14ac:dyDescent="0.25">
      <c r="A585" s="2" t="s">
        <v>3784</v>
      </c>
      <c r="B585" s="3">
        <v>43538</v>
      </c>
      <c r="C585" s="2" t="s">
        <v>3785</v>
      </c>
      <c r="D585" t="s">
        <v>6178</v>
      </c>
      <c r="E585" s="2">
        <v>1</v>
      </c>
      <c r="F585" s="2" t="str">
        <f>_xlfn.XLOOKUP(Orders[[#This Row],[Customer ID]],customers!A:A,customers!B:B)</f>
        <v>Sidney Gawen</v>
      </c>
      <c r="G585" s="2" t="str" cm="1">
        <f t="array" ref="G585">IF(_xlfn.XLOOKUP(C585,customers!A584:$A$1001,customers!C584:$C$1001,,0)=0,"",_xlfn.XLOOKUP(C585,customers!A584:$A$1001,customers!C584:$C$1001,,0))</f>
        <v>sgaweng7@creativecommons.org</v>
      </c>
      <c r="H585" s="2" t="str" cm="1">
        <f t="array" ref="H585">_xlfn.XLOOKUP(C585,customers!A584:$A$1001,customers!G584:$G$1001,"Ireland",0)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9"/>
        <v>3.5849999999999995</v>
      </c>
      <c r="N585" t="str" cm="1">
        <f t="array" ref="N585">_xlfn.IFS(I585="Rob","Robusta",I585="Exc","Excelsa",I585="Ara","Arabica",I585="Lib","Liberica")</f>
        <v>Robusta</v>
      </c>
      <c r="O585" t="str" cm="1">
        <f t="array" ref="O585">_xlfn.IFS(J585="M","Midium",J585="L","Light",J585="D","Dark")</f>
        <v>Light</v>
      </c>
      <c r="P585" t="str">
        <f>_xlfn.XLOOKUP(Orders[[#This Row],[Customer ID]],customers!A:A,customers!I:I,,0)</f>
        <v>Yes</v>
      </c>
      <c r="Q585" t="str">
        <f>_xlfn.XLOOKUP(C586,customers!A:A,customers!B:B,"مش موجود")</f>
        <v>Rickey Readie</v>
      </c>
    </row>
    <row r="586" spans="1:17" x14ac:dyDescent="0.25">
      <c r="A586" s="2" t="s">
        <v>3790</v>
      </c>
      <c r="B586" s="3">
        <v>44262</v>
      </c>
      <c r="C586" s="2" t="s">
        <v>3791</v>
      </c>
      <c r="D586" t="s">
        <v>6178</v>
      </c>
      <c r="E586" s="2">
        <v>6</v>
      </c>
      <c r="F586" s="2" t="str">
        <f>_xlfn.XLOOKUP(Orders[[#This Row],[Customer ID]],customers!A:A,customers!B:B)</f>
        <v>Rickey Readie</v>
      </c>
      <c r="G586" s="2" t="str" cm="1">
        <f t="array" ref="G586">IF(_xlfn.XLOOKUP(C586,customers!A585:$A$1001,customers!C585:$C$1001,,0)=0,"",_xlfn.XLOOKUP(C586,customers!A585:$A$1001,customers!C585:$C$1001,,0))</f>
        <v>rreadieg8@guardian.co.uk</v>
      </c>
      <c r="H586" s="2" t="str" cm="1">
        <f t="array" ref="H586">_xlfn.XLOOKUP(C586,customers!A585:$A$1001,customers!G585:$G$1001,"Ireland",0)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9"/>
        <v>21.509999999999998</v>
      </c>
      <c r="N586" t="str" cm="1">
        <f t="array" ref="N586">_xlfn.IFS(I586="Rob","Robusta",I586="Exc","Excelsa",I586="Ara","Arabica",I586="Lib","Liberica")</f>
        <v>Robusta</v>
      </c>
      <c r="O586" t="str" cm="1">
        <f t="array" ref="O586">_xlfn.IFS(J586="M","Midium",J586="L","Light",J586="D","Dark")</f>
        <v>Light</v>
      </c>
      <c r="P586" t="str">
        <f>_xlfn.XLOOKUP(Orders[[#This Row],[Customer ID]],customers!A:A,customers!I:I,,0)</f>
        <v>No</v>
      </c>
      <c r="Q586" t="str">
        <f>_xlfn.XLOOKUP(C587,customers!A:A,customers!B:B,"مش موجود")</f>
        <v>Cody Verissimo</v>
      </c>
    </row>
    <row r="587" spans="1:17" x14ac:dyDescent="0.25">
      <c r="A587" s="2" t="s">
        <v>3796</v>
      </c>
      <c r="B587" s="3">
        <v>44505</v>
      </c>
      <c r="C587" s="2" t="s">
        <v>3840</v>
      </c>
      <c r="D587" t="s">
        <v>6139</v>
      </c>
      <c r="E587" s="2">
        <v>2</v>
      </c>
      <c r="F587" s="2" t="str">
        <f>_xlfn.XLOOKUP(Orders[[#This Row],[Customer ID]],customers!A:A,customers!B:B)</f>
        <v>Cody Verissimo</v>
      </c>
      <c r="G587" s="2" t="str" cm="1">
        <f t="array" ref="G587">IF(_xlfn.XLOOKUP(C587,customers!A586:$A$1001,customers!C586:$C$1001,,0)=0,"",_xlfn.XLOOKUP(C587,customers!A586:$A$1001,customers!C586:$C$1001,,0))</f>
        <v>cverissimogh@theglobeandmail.com</v>
      </c>
      <c r="H587" s="2" t="str" cm="1">
        <f t="array" ref="H587">_xlfn.XLOOKUP(C587,customers!A586:$A$1001,customers!G586:$G$1001,"Ireland",0)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9"/>
        <v>16.5</v>
      </c>
      <c r="N587" t="str" cm="1">
        <f t="array" ref="N587">_xlfn.IFS(I587="Rob","Robusta",I587="Exc","Excelsa",I587="Ara","Arabica",I587="Lib","Liberica")</f>
        <v>Excelsa</v>
      </c>
      <c r="O587" t="str" cm="1">
        <f t="array" ref="O587">_xlfn.IFS(J587="M","Midium",J587="L","Light",J587="D","Dark")</f>
        <v>Midium</v>
      </c>
      <c r="P587" t="str">
        <f>_xlfn.XLOOKUP(Orders[[#This Row],[Customer ID]],customers!A:A,customers!I:I,,0)</f>
        <v>Yes</v>
      </c>
      <c r="Q587" t="str">
        <f>_xlfn.XLOOKUP(C588,customers!A:A,customers!B:B,"مش موجود")</f>
        <v>Zilvia Claisse</v>
      </c>
    </row>
    <row r="588" spans="1:17" x14ac:dyDescent="0.25">
      <c r="A588" s="2" t="s">
        <v>3802</v>
      </c>
      <c r="B588" s="3">
        <v>43867</v>
      </c>
      <c r="C588" s="2" t="s">
        <v>3803</v>
      </c>
      <c r="D588" t="s">
        <v>6142</v>
      </c>
      <c r="E588" s="2">
        <v>3</v>
      </c>
      <c r="F588" s="2" t="str">
        <f>_xlfn.XLOOKUP(Orders[[#This Row],[Customer ID]],customers!A:A,customers!B:B)</f>
        <v>Zilvia Claisse</v>
      </c>
      <c r="G588" s="2" t="str" cm="1">
        <f t="array" ref="G588">IF(_xlfn.XLOOKUP(C588,customers!A587:$A$1001,customers!C587:$C$1001,,0)=0,"",_xlfn.XLOOKUP(C588,customers!A587:$A$1001,customers!C587:$C$1001,,0))</f>
        <v/>
      </c>
      <c r="H588" s="2" t="str" cm="1">
        <f t="array" ref="H588">_xlfn.XLOOKUP(C588,customers!A587:$A$1001,customers!G587:$G$1001,"Ireland",0)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9"/>
        <v>82.454999999999984</v>
      </c>
      <c r="N588" t="str" cm="1">
        <f t="array" ref="N588">_xlfn.IFS(I588="Rob","Robusta",I588="Exc","Excelsa",I588="Ara","Arabica",I588="Lib","Liberica")</f>
        <v>Robusta</v>
      </c>
      <c r="O588" t="str" cm="1">
        <f t="array" ref="O588">_xlfn.IFS(J588="M","Midium",J588="L","Light",J588="D","Dark")</f>
        <v>Light</v>
      </c>
      <c r="P588" t="str">
        <f>_xlfn.XLOOKUP(Orders[[#This Row],[Customer ID]],customers!A:A,customers!I:I,,0)</f>
        <v>No</v>
      </c>
      <c r="Q588" t="str">
        <f>_xlfn.XLOOKUP(C589,customers!A:A,customers!B:B,"مش موجود")</f>
        <v>Bar O' Mahony</v>
      </c>
    </row>
    <row r="589" spans="1:17" x14ac:dyDescent="0.25">
      <c r="A589" s="2" t="s">
        <v>3807</v>
      </c>
      <c r="B589" s="3">
        <v>44267</v>
      </c>
      <c r="C589" s="2" t="s">
        <v>3808</v>
      </c>
      <c r="D589" t="s">
        <v>6169</v>
      </c>
      <c r="E589" s="2">
        <v>1</v>
      </c>
      <c r="F589" s="2" t="str">
        <f>_xlfn.XLOOKUP(Orders[[#This Row],[Customer ID]],customers!A:A,customers!B:B)</f>
        <v>Bar O' Mahony</v>
      </c>
      <c r="G589" s="2" t="str" cm="1">
        <f t="array" ref="G589">IF(_xlfn.XLOOKUP(C589,customers!A588:$A$1001,customers!C588:$C$1001,,0)=0,"",_xlfn.XLOOKUP(C589,customers!A588:$A$1001,customers!C588:$C$1001,,0))</f>
        <v>bogb@elpais.com</v>
      </c>
      <c r="H589" s="2" t="str" cm="1">
        <f t="array" ref="H589">_xlfn.XLOOKUP(C589,customers!A588:$A$1001,customers!G588:$G$1001,"Ireland",0)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9"/>
        <v>7.77</v>
      </c>
      <c r="N589" t="str" cm="1">
        <f t="array" ref="N589">_xlfn.IFS(I589="Rob","Robusta",I589="Exc","Excelsa",I589="Ara","Arabica",I589="Lib","Liberica")</f>
        <v>Liberica</v>
      </c>
      <c r="O589" t="str" cm="1">
        <f t="array" ref="O589">_xlfn.IFS(J589="M","Midium",J589="L","Light",J589="D","Dark")</f>
        <v>Dark</v>
      </c>
      <c r="P589" t="str">
        <f>_xlfn.XLOOKUP(Orders[[#This Row],[Customer ID]],customers!A:A,customers!I:I,,0)</f>
        <v>Yes</v>
      </c>
      <c r="Q589" t="str">
        <f>_xlfn.XLOOKUP(C590,customers!A:A,customers!B:B,"مش موجود")</f>
        <v>Valenka Stansbury</v>
      </c>
    </row>
    <row r="590" spans="1:17" x14ac:dyDescent="0.25">
      <c r="A590" s="2" t="s">
        <v>3812</v>
      </c>
      <c r="B590" s="3">
        <v>44046</v>
      </c>
      <c r="C590" s="2" t="s">
        <v>3813</v>
      </c>
      <c r="D590" t="s">
        <v>6146</v>
      </c>
      <c r="E590" s="2">
        <v>2</v>
      </c>
      <c r="F590" s="2" t="str">
        <f>_xlfn.XLOOKUP(Orders[[#This Row],[Customer ID]],customers!A:A,customers!B:B)</f>
        <v>Valenka Stansbury</v>
      </c>
      <c r="G590" s="2" t="str" cm="1">
        <f t="array" ref="G590">IF(_xlfn.XLOOKUP(C590,customers!A589:$A$1001,customers!C589:$C$1001,,0)=0,"",_xlfn.XLOOKUP(C590,customers!A589:$A$1001,customers!C589:$C$1001,,0))</f>
        <v>vstansburygc@unblog.fr</v>
      </c>
      <c r="H590" s="2" t="str" cm="1">
        <f t="array" ref="H590">_xlfn.XLOOKUP(C590,customers!A589:$A$1001,customers!G589:$G$1001,"Ireland",0)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9"/>
        <v>11.94</v>
      </c>
      <c r="N590" t="str" cm="1">
        <f t="array" ref="N590">_xlfn.IFS(I590="Rob","Robusta",I590="Exc","Excelsa",I590="Ara","Arabica",I590="Lib","Liberica")</f>
        <v>Robusta</v>
      </c>
      <c r="O590" t="str" cm="1">
        <f t="array" ref="O590">_xlfn.IFS(J590="M","Midium",J590="L","Light",J590="D","Dark")</f>
        <v>Midium</v>
      </c>
      <c r="P590" t="str">
        <f>_xlfn.XLOOKUP(Orders[[#This Row],[Customer ID]],customers!A:A,customers!I:I,,0)</f>
        <v>Yes</v>
      </c>
      <c r="Q590" t="str">
        <f>_xlfn.XLOOKUP(C591,customers!A:A,customers!B:B,"مش موجود")</f>
        <v>Daniel Heinonen</v>
      </c>
    </row>
    <row r="591" spans="1:17" x14ac:dyDescent="0.25">
      <c r="A591" s="2" t="s">
        <v>3818</v>
      </c>
      <c r="B591" s="3">
        <v>43671</v>
      </c>
      <c r="C591" s="2" t="s">
        <v>3819</v>
      </c>
      <c r="D591" t="s">
        <v>6148</v>
      </c>
      <c r="E591" s="2">
        <v>6</v>
      </c>
      <c r="F591" s="2" t="str">
        <f>_xlfn.XLOOKUP(Orders[[#This Row],[Customer ID]],customers!A:A,customers!B:B)</f>
        <v>Daniel Heinonen</v>
      </c>
      <c r="G591" s="2" t="str" cm="1">
        <f t="array" ref="G591">IF(_xlfn.XLOOKUP(C591,customers!A590:$A$1001,customers!C590:$C$1001,,0)=0,"",_xlfn.XLOOKUP(C591,customers!A590:$A$1001,customers!C590:$C$1001,,0))</f>
        <v>dheinonengd@printfriendly.com</v>
      </c>
      <c r="H591" s="2" t="str" cm="1">
        <f t="array" ref="H591">_xlfn.XLOOKUP(C591,customers!A590:$A$1001,customers!G590:$G$1001,"Ireland",0)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9"/>
        <v>204.92999999999995</v>
      </c>
      <c r="N591" t="str" cm="1">
        <f t="array" ref="N591">_xlfn.IFS(I591="Rob","Robusta",I591="Exc","Excelsa",I591="Ara","Arabica",I591="Lib","Liberica")</f>
        <v>Excelsa</v>
      </c>
      <c r="O591" t="str" cm="1">
        <f t="array" ref="O591">_xlfn.IFS(J591="M","Midium",J591="L","Light",J591="D","Dark")</f>
        <v>Light</v>
      </c>
      <c r="P591" t="str">
        <f>_xlfn.XLOOKUP(Orders[[#This Row],[Customer ID]],customers!A:A,customers!I:I,,0)</f>
        <v>No</v>
      </c>
      <c r="Q591" t="str">
        <f>_xlfn.XLOOKUP(C592,customers!A:A,customers!B:B,"مش موجود")</f>
        <v>Jewelle Shenton</v>
      </c>
    </row>
    <row r="592" spans="1:17" x14ac:dyDescent="0.25">
      <c r="A592" s="2" t="s">
        <v>3823</v>
      </c>
      <c r="B592" s="3">
        <v>43950</v>
      </c>
      <c r="C592" s="2" t="s">
        <v>3824</v>
      </c>
      <c r="D592" t="s">
        <v>6166</v>
      </c>
      <c r="E592" s="2">
        <v>2</v>
      </c>
      <c r="F592" s="2" t="str">
        <f>_xlfn.XLOOKUP(Orders[[#This Row],[Customer ID]],customers!A:A,customers!B:B)</f>
        <v>Jewelle Shenton</v>
      </c>
      <c r="G592" s="2" t="str" cm="1">
        <f t="array" ref="G592">IF(_xlfn.XLOOKUP(C592,customers!A591:$A$1001,customers!C591:$C$1001,,0)=0,"",_xlfn.XLOOKUP(C592,customers!A591:$A$1001,customers!C591:$C$1001,,0))</f>
        <v>jshentonge@google.com.hk</v>
      </c>
      <c r="H592" s="2" t="str" cm="1">
        <f t="array" ref="H592">_xlfn.XLOOKUP(C592,customers!A591:$A$1001,customers!G591:$G$1001,"Ireland",0)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9"/>
        <v>63.249999999999993</v>
      </c>
      <c r="N592" t="str" cm="1">
        <f t="array" ref="N592">_xlfn.IFS(I592="Rob","Robusta",I592="Exc","Excelsa",I592="Ara","Arabica",I592="Lib","Liberica")</f>
        <v>Excelsa</v>
      </c>
      <c r="O592" t="str" cm="1">
        <f t="array" ref="O592">_xlfn.IFS(J592="M","Midium",J592="L","Light",J592="D","Dark")</f>
        <v>Midium</v>
      </c>
      <c r="P592" t="str">
        <f>_xlfn.XLOOKUP(Orders[[#This Row],[Customer ID]],customers!A:A,customers!I:I,,0)</f>
        <v>Yes</v>
      </c>
      <c r="Q592" t="str">
        <f>_xlfn.XLOOKUP(C593,customers!A:A,customers!B:B,"مش موجود")</f>
        <v>Jennifer Wilkisson</v>
      </c>
    </row>
    <row r="593" spans="1:17" x14ac:dyDescent="0.25">
      <c r="A593" s="2" t="s">
        <v>3829</v>
      </c>
      <c r="B593" s="3">
        <v>43587</v>
      </c>
      <c r="C593" s="2" t="s">
        <v>3830</v>
      </c>
      <c r="D593" t="s">
        <v>6163</v>
      </c>
      <c r="E593" s="2">
        <v>3</v>
      </c>
      <c r="F593" s="2" t="str">
        <f>_xlfn.XLOOKUP(Orders[[#This Row],[Customer ID]],customers!A:A,customers!B:B)</f>
        <v>Jennifer Wilkisson</v>
      </c>
      <c r="G593" s="2" t="str" cm="1">
        <f t="array" ref="G593">IF(_xlfn.XLOOKUP(C593,customers!A592:$A$1001,customers!C592:$C$1001,,0)=0,"",_xlfn.XLOOKUP(C593,customers!A592:$A$1001,customers!C592:$C$1001,,0))</f>
        <v>jwilkissongf@nba.com</v>
      </c>
      <c r="H593" s="2" t="str" cm="1">
        <f t="array" ref="H593">_xlfn.XLOOKUP(C593,customers!A592:$A$1001,customers!G592:$G$1001,"Ireland",0)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9"/>
        <v>8.0549999999999997</v>
      </c>
      <c r="N593" t="str" cm="1">
        <f t="array" ref="N593">_xlfn.IFS(I593="Rob","Robusta",I593="Exc","Excelsa",I593="Ara","Arabica",I593="Lib","Liberica")</f>
        <v>Robusta</v>
      </c>
      <c r="O593" t="str" cm="1">
        <f t="array" ref="O593">_xlfn.IFS(J593="M","Midium",J593="L","Light",J593="D","Dark")</f>
        <v>Dark</v>
      </c>
      <c r="P593" t="str">
        <f>_xlfn.XLOOKUP(Orders[[#This Row],[Customer ID]],customers!A:A,customers!I:I,,0)</f>
        <v>Yes</v>
      </c>
      <c r="Q593" t="str">
        <f>_xlfn.XLOOKUP(C594,customers!A:A,customers!B:B,"مش موجود")</f>
        <v>Kylie Mowat</v>
      </c>
    </row>
    <row r="594" spans="1:17" x14ac:dyDescent="0.25">
      <c r="A594" s="2" t="s">
        <v>3834</v>
      </c>
      <c r="B594" s="3">
        <v>44437</v>
      </c>
      <c r="C594" s="2" t="s">
        <v>3835</v>
      </c>
      <c r="D594" t="s">
        <v>6175</v>
      </c>
      <c r="E594" s="2">
        <v>2</v>
      </c>
      <c r="F594" s="2" t="str">
        <f>_xlfn.XLOOKUP(Orders[[#This Row],[Customer ID]],customers!A:A,customers!B:B)</f>
        <v>Kylie Mowat</v>
      </c>
      <c r="G594" s="2" t="str" cm="1">
        <f t="array" ref="G594">IF(_xlfn.XLOOKUP(C594,customers!A593:$A$1001,customers!C593:$C$1001,,0)=0,"",_xlfn.XLOOKUP(C594,customers!A593:$A$1001,customers!C593:$C$1001,,0))</f>
        <v/>
      </c>
      <c r="H594" s="2" t="str" cm="1">
        <f t="array" ref="H594">_xlfn.XLOOKUP(C594,customers!A593:$A$1001,customers!G593:$G$1001,"Ireland",0)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9"/>
        <v>51.749999999999993</v>
      </c>
      <c r="N594" t="str" cm="1">
        <f t="array" ref="N594">_xlfn.IFS(I594="Rob","Robusta",I594="Exc","Excelsa",I594="Ara","Arabica",I594="Lib","Liberica")</f>
        <v>Arabica</v>
      </c>
      <c r="O594" t="str" cm="1">
        <f t="array" ref="O594">_xlfn.IFS(J594="M","Midium",J594="L","Light",J594="D","Dark")</f>
        <v>Midium</v>
      </c>
      <c r="P594" t="str">
        <f>_xlfn.XLOOKUP(Orders[[#This Row],[Customer ID]],customers!A:A,customers!I:I,,0)</f>
        <v>No</v>
      </c>
      <c r="Q594" t="str">
        <f>_xlfn.XLOOKUP(C595,customers!A:A,customers!B:B,"مش موجود")</f>
        <v>Cody Verissimo</v>
      </c>
    </row>
    <row r="595" spans="1:17" x14ac:dyDescent="0.25">
      <c r="A595" s="2" t="s">
        <v>3839</v>
      </c>
      <c r="B595" s="3">
        <v>43903</v>
      </c>
      <c r="C595" s="2" t="s">
        <v>3840</v>
      </c>
      <c r="D595" t="s">
        <v>6185</v>
      </c>
      <c r="E595" s="2">
        <v>1</v>
      </c>
      <c r="F595" s="2" t="str">
        <f>_xlfn.XLOOKUP(Orders[[#This Row],[Customer ID]],customers!A:A,customers!B:B)</f>
        <v>Cody Verissimo</v>
      </c>
      <c r="G595" s="2" t="str" cm="1">
        <f t="array" ref="G595">IF(_xlfn.XLOOKUP(C595,customers!A594:$A$1001,customers!C594:$C$1001,,0)=0,"",_xlfn.XLOOKUP(C595,customers!A594:$A$1001,customers!C594:$C$1001,,0))</f>
        <v>cverissimogh@theglobeandmail.com</v>
      </c>
      <c r="H595" s="2" t="str" cm="1">
        <f t="array" ref="H595">_xlfn.XLOOKUP(C595,customers!A594:$A$1001,customers!G594:$G$1001,"Ireland",0)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9"/>
        <v>27.945</v>
      </c>
      <c r="N595" t="str" cm="1">
        <f t="array" ref="N595">_xlfn.IFS(I595="Rob","Robusta",I595="Exc","Excelsa",I595="Ara","Arabica",I595="Lib","Liberica")</f>
        <v>Excelsa</v>
      </c>
      <c r="O595" t="str" cm="1">
        <f t="array" ref="O595">_xlfn.IFS(J595="M","Midium",J595="L","Light",J595="D","Dark")</f>
        <v>Dark</v>
      </c>
      <c r="P595" t="str">
        <f>_xlfn.XLOOKUP(Orders[[#This Row],[Customer ID]],customers!A:A,customers!I:I,,0)</f>
        <v>Yes</v>
      </c>
      <c r="Q595" t="str">
        <f>_xlfn.XLOOKUP(C596,customers!A:A,customers!B:B,"مش موجود")</f>
        <v>Gabriel Starcks</v>
      </c>
    </row>
    <row r="596" spans="1:17" x14ac:dyDescent="0.25">
      <c r="A596" s="2" t="s">
        <v>3844</v>
      </c>
      <c r="B596" s="3">
        <v>43512</v>
      </c>
      <c r="C596" s="2" t="s">
        <v>3845</v>
      </c>
      <c r="D596" t="s">
        <v>6182</v>
      </c>
      <c r="E596" s="2">
        <v>2</v>
      </c>
      <c r="F596" s="2" t="str">
        <f>_xlfn.XLOOKUP(Orders[[#This Row],[Customer ID]],customers!A:A,customers!B:B)</f>
        <v>Gabriel Starcks</v>
      </c>
      <c r="G596" s="2" t="str" cm="1">
        <f t="array" ref="G596">IF(_xlfn.XLOOKUP(C596,customers!A595:$A$1001,customers!C595:$C$1001,,0)=0,"",_xlfn.XLOOKUP(C596,customers!A595:$A$1001,customers!C595:$C$1001,,0))</f>
        <v>gstarcksgi@abc.net.au</v>
      </c>
      <c r="H596" s="2" t="str" cm="1">
        <f t="array" ref="H596">_xlfn.XLOOKUP(C596,customers!A595:$A$1001,customers!G595:$G$1001,"Ireland",0)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9"/>
        <v>59.569999999999993</v>
      </c>
      <c r="N596" t="str" cm="1">
        <f t="array" ref="N596">_xlfn.IFS(I596="Rob","Robusta",I596="Exc","Excelsa",I596="Ara","Arabica",I596="Lib","Liberica")</f>
        <v>Arabica</v>
      </c>
      <c r="O596" t="str" cm="1">
        <f t="array" ref="O596">_xlfn.IFS(J596="M","Midium",J596="L","Light",J596="D","Dark")</f>
        <v>Light</v>
      </c>
      <c r="P596" t="str">
        <f>_xlfn.XLOOKUP(Orders[[#This Row],[Customer ID]],customers!A:A,customers!I:I,,0)</f>
        <v>No</v>
      </c>
      <c r="Q596" t="str">
        <f>_xlfn.XLOOKUP(C597,customers!A:A,customers!B:B,"مش موجود")</f>
        <v>Darby Dummer</v>
      </c>
    </row>
    <row r="597" spans="1:17" x14ac:dyDescent="0.25">
      <c r="A597" s="2" t="s">
        <v>3850</v>
      </c>
      <c r="B597" s="3">
        <v>44527</v>
      </c>
      <c r="C597" s="2" t="s">
        <v>3851</v>
      </c>
      <c r="D597" t="s">
        <v>6171</v>
      </c>
      <c r="E597" s="2">
        <v>1</v>
      </c>
      <c r="F597" s="2" t="str">
        <f>_xlfn.XLOOKUP(Orders[[#This Row],[Customer ID]],customers!A:A,customers!B:B)</f>
        <v>Darby Dummer</v>
      </c>
      <c r="G597" s="2" t="str" cm="1">
        <f t="array" ref="G597">IF(_xlfn.XLOOKUP(C597,customers!A596:$A$1001,customers!C596:$C$1001,,0)=0,"",_xlfn.XLOOKUP(C597,customers!A596:$A$1001,customers!C596:$C$1001,,0))</f>
        <v/>
      </c>
      <c r="H597" s="2" t="str" cm="1">
        <f t="array" ref="H597">_xlfn.XLOOKUP(C597,customers!A596:$A$1001,customers!G596:$G$1001,"Ireland",0)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9"/>
        <v>14.85</v>
      </c>
      <c r="N597" t="str" cm="1">
        <f t="array" ref="N597">_xlfn.IFS(I597="Rob","Robusta",I597="Exc","Excelsa",I597="Ara","Arabica",I597="Lib","Liberica")</f>
        <v>Excelsa</v>
      </c>
      <c r="O597" t="str" cm="1">
        <f t="array" ref="O597">_xlfn.IFS(J597="M","Midium",J597="L","Light",J597="D","Dark")</f>
        <v>Light</v>
      </c>
      <c r="P597" t="str">
        <f>_xlfn.XLOOKUP(Orders[[#This Row],[Customer ID]],customers!A:A,customers!I:I,,0)</f>
        <v>No</v>
      </c>
      <c r="Q597" t="str">
        <f>_xlfn.XLOOKUP(C598,customers!A:A,customers!B:B,"مش موجود")</f>
        <v>Kienan Scholard</v>
      </c>
    </row>
    <row r="598" spans="1:17" x14ac:dyDescent="0.25">
      <c r="A598" s="2" t="s">
        <v>3854</v>
      </c>
      <c r="B598" s="3">
        <v>44523</v>
      </c>
      <c r="C598" s="2" t="s">
        <v>3855</v>
      </c>
      <c r="D598" t="s">
        <v>6157</v>
      </c>
      <c r="E598" s="2">
        <v>5</v>
      </c>
      <c r="F598" s="2" t="str">
        <f>_xlfn.XLOOKUP(Orders[[#This Row],[Customer ID]],customers!A:A,customers!B:B)</f>
        <v>Kienan Scholard</v>
      </c>
      <c r="G598" s="2" t="str" cm="1">
        <f t="array" ref="G598">IF(_xlfn.XLOOKUP(C598,customers!A597:$A$1001,customers!C597:$C$1001,,0)=0,"",_xlfn.XLOOKUP(C598,customers!A597:$A$1001,customers!C597:$C$1001,,0))</f>
        <v>kscholardgk@sbwire.com</v>
      </c>
      <c r="H598" s="2" t="str" cm="1">
        <f t="array" ref="H598">_xlfn.XLOOKUP(C598,customers!A597:$A$1001,customers!G597:$G$1001,"Ireland",0)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9"/>
        <v>33.75</v>
      </c>
      <c r="N598" t="str" cm="1">
        <f t="array" ref="N598">_xlfn.IFS(I598="Rob","Robusta",I598="Exc","Excelsa",I598="Ara","Arabica",I598="Lib","Liberica")</f>
        <v>Arabica</v>
      </c>
      <c r="O598" t="str" cm="1">
        <f t="array" ref="O598">_xlfn.IFS(J598="M","Midium",J598="L","Light",J598="D","Dark")</f>
        <v>Midium</v>
      </c>
      <c r="P598" t="str">
        <f>_xlfn.XLOOKUP(Orders[[#This Row],[Customer ID]],customers!A:A,customers!I:I,,0)</f>
        <v>No</v>
      </c>
      <c r="Q598" t="str">
        <f>_xlfn.XLOOKUP(C599,customers!A:A,customers!B:B,"مش موجود")</f>
        <v>Bo Kindley</v>
      </c>
    </row>
    <row r="599" spans="1:17" x14ac:dyDescent="0.25">
      <c r="A599" s="2" t="s">
        <v>3860</v>
      </c>
      <c r="B599" s="3">
        <v>44532</v>
      </c>
      <c r="C599" s="2" t="s">
        <v>3861</v>
      </c>
      <c r="D599" t="s">
        <v>6164</v>
      </c>
      <c r="E599" s="2">
        <v>4</v>
      </c>
      <c r="F599" s="2" t="str">
        <f>_xlfn.XLOOKUP(Orders[[#This Row],[Customer ID]],customers!A:A,customers!B:B)</f>
        <v>Bo Kindley</v>
      </c>
      <c r="G599" s="2" t="str" cm="1">
        <f t="array" ref="G599">IF(_xlfn.XLOOKUP(C599,customers!A598:$A$1001,customers!C598:$C$1001,,0)=0,"",_xlfn.XLOOKUP(C599,customers!A598:$A$1001,customers!C598:$C$1001,,0))</f>
        <v>bkindleygl@wikimedia.org</v>
      </c>
      <c r="H599" s="2" t="str" cm="1">
        <f t="array" ref="H599">_xlfn.XLOOKUP(C599,customers!A598:$A$1001,customers!G598:$G$1001,"Ireland",0)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9"/>
        <v>145.82</v>
      </c>
      <c r="N599" t="str" cm="1">
        <f t="array" ref="N599">_xlfn.IFS(I599="Rob","Robusta",I599="Exc","Excelsa",I599="Ara","Arabica",I599="Lib","Liberica")</f>
        <v>Liberica</v>
      </c>
      <c r="O599" t="str" cm="1">
        <f t="array" ref="O599">_xlfn.IFS(J599="M","Midium",J599="L","Light",J599="D","Dark")</f>
        <v>Light</v>
      </c>
      <c r="P599" t="str">
        <f>_xlfn.XLOOKUP(Orders[[#This Row],[Customer ID]],customers!A:A,customers!I:I,,0)</f>
        <v>Yes</v>
      </c>
      <c r="Q599" t="str">
        <f>_xlfn.XLOOKUP(C600,customers!A:A,customers!B:B,"مش موجود")</f>
        <v>Krissie Hammett</v>
      </c>
    </row>
    <row r="600" spans="1:17" x14ac:dyDescent="0.25">
      <c r="A600" s="2" t="s">
        <v>3866</v>
      </c>
      <c r="B600" s="3">
        <v>43471</v>
      </c>
      <c r="C600" s="2" t="s">
        <v>3867</v>
      </c>
      <c r="D600" t="s">
        <v>6174</v>
      </c>
      <c r="E600" s="2">
        <v>4</v>
      </c>
      <c r="F600" s="2" t="str">
        <f>_xlfn.XLOOKUP(Orders[[#This Row],[Customer ID]],customers!A:A,customers!B:B)</f>
        <v>Krissie Hammett</v>
      </c>
      <c r="G600" s="2" t="str" cm="1">
        <f t="array" ref="G600">IF(_xlfn.XLOOKUP(C600,customers!A599:$A$1001,customers!C599:$C$1001,,0)=0,"",_xlfn.XLOOKUP(C600,customers!A599:$A$1001,customers!C599:$C$1001,,0))</f>
        <v>khammettgm@dmoz.org</v>
      </c>
      <c r="H600" s="2" t="str" cm="1">
        <f t="array" ref="H600">_xlfn.XLOOKUP(C600,customers!A599:$A$1001,customers!G599:$G$1001,"Ireland",0)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9"/>
        <v>11.94</v>
      </c>
      <c r="N600" t="str" cm="1">
        <f t="array" ref="N600">_xlfn.IFS(I600="Rob","Robusta",I600="Exc","Excelsa",I600="Ara","Arabica",I600="Lib","Liberica")</f>
        <v>Robusta</v>
      </c>
      <c r="O600" t="str" cm="1">
        <f t="array" ref="O600">_xlfn.IFS(J600="M","Midium",J600="L","Light",J600="D","Dark")</f>
        <v>Midium</v>
      </c>
      <c r="P600" t="str">
        <f>_xlfn.XLOOKUP(Orders[[#This Row],[Customer ID]],customers!A:A,customers!I:I,,0)</f>
        <v>Yes</v>
      </c>
      <c r="Q600" t="str">
        <f>_xlfn.XLOOKUP(C601,customers!A:A,customers!B:B,"مش موجود")</f>
        <v>Alisha Hulburt</v>
      </c>
    </row>
    <row r="601" spans="1:17" x14ac:dyDescent="0.25">
      <c r="A601" s="2" t="s">
        <v>3872</v>
      </c>
      <c r="B601" s="3">
        <v>44321</v>
      </c>
      <c r="C601" s="2" t="s">
        <v>3873</v>
      </c>
      <c r="D601" t="s">
        <v>6154</v>
      </c>
      <c r="E601" s="2">
        <v>4</v>
      </c>
      <c r="F601" s="2" t="str">
        <f>_xlfn.XLOOKUP(Orders[[#This Row],[Customer ID]],customers!A:A,customers!B:B)</f>
        <v>Alisha Hulburt</v>
      </c>
      <c r="G601" s="2" t="str" cm="1">
        <f t="array" ref="G601">IF(_xlfn.XLOOKUP(C601,customers!A600:$A$1001,customers!C600:$C$1001,,0)=0,"",_xlfn.XLOOKUP(C601,customers!A600:$A$1001,customers!C600:$C$1001,,0))</f>
        <v>ahulburtgn@fda.gov</v>
      </c>
      <c r="H601" s="2" t="str" cm="1">
        <f t="array" ref="H601">_xlfn.XLOOKUP(C601,customers!A600:$A$1001,customers!G600:$G$1001,"Ireland",0)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9"/>
        <v>11.94</v>
      </c>
      <c r="N601" t="str" cm="1">
        <f t="array" ref="N601">_xlfn.IFS(I601="Rob","Robusta",I601="Exc","Excelsa",I601="Ara","Arabica",I601="Lib","Liberica")</f>
        <v>Arabica</v>
      </c>
      <c r="O601" t="str" cm="1">
        <f t="array" ref="O601">_xlfn.IFS(J601="M","Midium",J601="L","Light",J601="D","Dark")</f>
        <v>Dark</v>
      </c>
      <c r="P601" t="str">
        <f>_xlfn.XLOOKUP(Orders[[#This Row],[Customer ID]],customers!A:A,customers!I:I,,0)</f>
        <v>Yes</v>
      </c>
      <c r="Q601" t="str">
        <f>_xlfn.XLOOKUP(C602,customers!A:A,customers!B:B,"مش موجود")</f>
        <v>Peyter Lauritzen</v>
      </c>
    </row>
    <row r="602" spans="1:17" x14ac:dyDescent="0.25">
      <c r="A602" s="2" t="s">
        <v>3877</v>
      </c>
      <c r="B602" s="3">
        <v>44492</v>
      </c>
      <c r="C602" s="2" t="s">
        <v>3878</v>
      </c>
      <c r="D602" t="s">
        <v>6169</v>
      </c>
      <c r="E602" s="2">
        <v>1</v>
      </c>
      <c r="F602" s="2" t="str">
        <f>_xlfn.XLOOKUP(Orders[[#This Row],[Customer ID]],customers!A:A,customers!B:B)</f>
        <v>Peyter Lauritzen</v>
      </c>
      <c r="G602" s="2" t="str" cm="1">
        <f t="array" ref="G602">IF(_xlfn.XLOOKUP(C602,customers!A601:$A$1001,customers!C601:$C$1001,,0)=0,"",_xlfn.XLOOKUP(C602,customers!A601:$A$1001,customers!C601:$C$1001,,0))</f>
        <v>plauritzengo@photobucket.com</v>
      </c>
      <c r="H602" s="2" t="str" cm="1">
        <f t="array" ref="H602">_xlfn.XLOOKUP(C602,customers!A601:$A$1001,customers!G601:$G$1001,"Ireland",0)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9"/>
        <v>7.77</v>
      </c>
      <c r="N602" t="str" cm="1">
        <f t="array" ref="N602">_xlfn.IFS(I602="Rob","Robusta",I602="Exc","Excelsa",I602="Ara","Arabica",I602="Lib","Liberica")</f>
        <v>Liberica</v>
      </c>
      <c r="O602" t="str" cm="1">
        <f t="array" ref="O602">_xlfn.IFS(J602="M","Midium",J602="L","Light",J602="D","Dark")</f>
        <v>Dark</v>
      </c>
      <c r="P602" t="str">
        <f>_xlfn.XLOOKUP(Orders[[#This Row],[Customer ID]],customers!A:A,customers!I:I,,0)</f>
        <v>No</v>
      </c>
      <c r="Q602" t="str">
        <f>_xlfn.XLOOKUP(C603,customers!A:A,customers!B:B,"مش موجود")</f>
        <v>Aurelia Burgwin</v>
      </c>
    </row>
    <row r="603" spans="1:17" x14ac:dyDescent="0.25">
      <c r="A603" s="2" t="s">
        <v>3883</v>
      </c>
      <c r="B603" s="3">
        <v>43815</v>
      </c>
      <c r="C603" s="2" t="s">
        <v>3884</v>
      </c>
      <c r="D603" t="s">
        <v>6142</v>
      </c>
      <c r="E603" s="2">
        <v>4</v>
      </c>
      <c r="F603" s="2" t="str">
        <f>_xlfn.XLOOKUP(Orders[[#This Row],[Customer ID]],customers!A:A,customers!B:B)</f>
        <v>Aurelia Burgwin</v>
      </c>
      <c r="G603" s="2" t="str" cm="1">
        <f t="array" ref="G603">IF(_xlfn.XLOOKUP(C603,customers!A602:$A$1001,customers!C602:$C$1001,,0)=0,"",_xlfn.XLOOKUP(C603,customers!A602:$A$1001,customers!C602:$C$1001,,0))</f>
        <v>aburgwingp@redcross.org</v>
      </c>
      <c r="H603" s="2" t="str" cm="1">
        <f t="array" ref="H603">_xlfn.XLOOKUP(C603,customers!A602:$A$1001,customers!G602:$G$1001,"Ireland",0)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9"/>
        <v>109.93999999999998</v>
      </c>
      <c r="N603" t="str" cm="1">
        <f t="array" ref="N603">_xlfn.IFS(I603="Rob","Robusta",I603="Exc","Excelsa",I603="Ara","Arabica",I603="Lib","Liberica")</f>
        <v>Robusta</v>
      </c>
      <c r="O603" t="str" cm="1">
        <f t="array" ref="O603">_xlfn.IFS(J603="M","Midium",J603="L","Light",J603="D","Dark")</f>
        <v>Light</v>
      </c>
      <c r="P603" t="str">
        <f>_xlfn.XLOOKUP(Orders[[#This Row],[Customer ID]],customers!A:A,customers!I:I,,0)</f>
        <v>Yes</v>
      </c>
      <c r="Q603" t="str">
        <f>_xlfn.XLOOKUP(C604,customers!A:A,customers!B:B,"مش موجود")</f>
        <v>Emalee Rolin</v>
      </c>
    </row>
    <row r="604" spans="1:17" x14ac:dyDescent="0.25">
      <c r="A604" s="2" t="s">
        <v>3889</v>
      </c>
      <c r="B604" s="3">
        <v>43603</v>
      </c>
      <c r="C604" s="2" t="s">
        <v>3890</v>
      </c>
      <c r="D604" t="s">
        <v>6184</v>
      </c>
      <c r="E604" s="2">
        <v>5</v>
      </c>
      <c r="F604" s="2" t="str">
        <f>_xlfn.XLOOKUP(Orders[[#This Row],[Customer ID]],customers!A:A,customers!B:B)</f>
        <v>Emalee Rolin</v>
      </c>
      <c r="G604" s="2" t="str" cm="1">
        <f t="array" ref="G604">IF(_xlfn.XLOOKUP(C604,customers!A603:$A$1001,customers!C603:$C$1001,,0)=0,"",_xlfn.XLOOKUP(C604,customers!A603:$A$1001,customers!C603:$C$1001,,0))</f>
        <v>erolingq@google.fr</v>
      </c>
      <c r="H604" s="2" t="str" cm="1">
        <f t="array" ref="H604">_xlfn.XLOOKUP(C604,customers!A603:$A$1001,customers!G603:$G$1001,"Ireland",0)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9"/>
        <v>22.274999999999999</v>
      </c>
      <c r="N604" t="str" cm="1">
        <f t="array" ref="N604">_xlfn.IFS(I604="Rob","Robusta",I604="Exc","Excelsa",I604="Ara","Arabica",I604="Lib","Liberica")</f>
        <v>Excelsa</v>
      </c>
      <c r="O604" t="str" cm="1">
        <f t="array" ref="O604">_xlfn.IFS(J604="M","Midium",J604="L","Light",J604="D","Dark")</f>
        <v>Light</v>
      </c>
      <c r="P604" t="str">
        <f>_xlfn.XLOOKUP(Orders[[#This Row],[Customer ID]],customers!A:A,customers!I:I,,0)</f>
        <v>Yes</v>
      </c>
      <c r="Q604" t="str">
        <f>_xlfn.XLOOKUP(C605,customers!A:A,customers!B:B,"مش موجود")</f>
        <v>Donavon Fowle</v>
      </c>
    </row>
    <row r="605" spans="1:17" x14ac:dyDescent="0.25">
      <c r="A605" s="2" t="s">
        <v>3895</v>
      </c>
      <c r="B605" s="3">
        <v>43660</v>
      </c>
      <c r="C605" s="2" t="s">
        <v>3896</v>
      </c>
      <c r="D605" t="s">
        <v>6174</v>
      </c>
      <c r="E605" s="2">
        <v>3</v>
      </c>
      <c r="F605" s="2" t="str">
        <f>_xlfn.XLOOKUP(Orders[[#This Row],[Customer ID]],customers!A:A,customers!B:B)</f>
        <v>Donavon Fowle</v>
      </c>
      <c r="G605" s="2" t="str" cm="1">
        <f t="array" ref="G605">IF(_xlfn.XLOOKUP(C605,customers!A604:$A$1001,customers!C604:$C$1001,,0)=0,"",_xlfn.XLOOKUP(C605,customers!A604:$A$1001,customers!C604:$C$1001,,0))</f>
        <v>dfowlegr@epa.gov</v>
      </c>
      <c r="H605" s="2" t="str" cm="1">
        <f t="array" ref="H605">_xlfn.XLOOKUP(C605,customers!A604:$A$1001,customers!G604:$G$1001,"Ireland",0)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9"/>
        <v>8.9550000000000001</v>
      </c>
      <c r="N605" t="str" cm="1">
        <f t="array" ref="N605">_xlfn.IFS(I605="Rob","Robusta",I605="Exc","Excelsa",I605="Ara","Arabica",I605="Lib","Liberica")</f>
        <v>Robusta</v>
      </c>
      <c r="O605" t="str" cm="1">
        <f t="array" ref="O605">_xlfn.IFS(J605="M","Midium",J605="L","Light",J605="D","Dark")</f>
        <v>Midium</v>
      </c>
      <c r="P605" t="str">
        <f>_xlfn.XLOOKUP(Orders[[#This Row],[Customer ID]],customers!A:A,customers!I:I,,0)</f>
        <v>No</v>
      </c>
      <c r="Q605" t="str">
        <f>_xlfn.XLOOKUP(C606,customers!A:A,customers!B:B,"مش موجود")</f>
        <v>Jorge Bettison</v>
      </c>
    </row>
    <row r="606" spans="1:17" x14ac:dyDescent="0.25">
      <c r="A606" s="2" t="s">
        <v>3900</v>
      </c>
      <c r="B606" s="3">
        <v>44148</v>
      </c>
      <c r="C606" s="2" t="s">
        <v>3901</v>
      </c>
      <c r="D606" t="s">
        <v>6165</v>
      </c>
      <c r="E606" s="2">
        <v>4</v>
      </c>
      <c r="F606" s="2" t="str">
        <f>_xlfn.XLOOKUP(Orders[[#This Row],[Customer ID]],customers!A:A,customers!B:B)</f>
        <v>Jorge Bettison</v>
      </c>
      <c r="G606" s="2" t="str" cm="1">
        <f t="array" ref="G606">IF(_xlfn.XLOOKUP(C606,customers!A605:$A$1001,customers!C605:$C$1001,,0)=0,"",_xlfn.XLOOKUP(C606,customers!A605:$A$1001,customers!C605:$C$1001,,0))</f>
        <v/>
      </c>
      <c r="H606" s="2" t="str" cm="1">
        <f t="array" ref="H606">_xlfn.XLOOKUP(C606,customers!A605:$A$1001,customers!G605:$G$1001,"Ireland",0)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9"/>
        <v>119.13999999999999</v>
      </c>
      <c r="N606" t="str" cm="1">
        <f t="array" ref="N606">_xlfn.IFS(I606="Rob","Robusta",I606="Exc","Excelsa",I606="Ara","Arabica",I606="Lib","Liberica")</f>
        <v>Liberica</v>
      </c>
      <c r="O606" t="str" cm="1">
        <f t="array" ref="O606">_xlfn.IFS(J606="M","Midium",J606="L","Light",J606="D","Dark")</f>
        <v>Dark</v>
      </c>
      <c r="P606" t="str">
        <f>_xlfn.XLOOKUP(Orders[[#This Row],[Customer ID]],customers!A:A,customers!I:I,,0)</f>
        <v>No</v>
      </c>
      <c r="Q606" t="str">
        <f>_xlfn.XLOOKUP(C607,customers!A:A,customers!B:B,"مش موجود")</f>
        <v>Wang Powlesland</v>
      </c>
    </row>
    <row r="607" spans="1:17" x14ac:dyDescent="0.25">
      <c r="A607" s="2" t="s">
        <v>3905</v>
      </c>
      <c r="B607" s="3">
        <v>44028</v>
      </c>
      <c r="C607" s="2" t="s">
        <v>3906</v>
      </c>
      <c r="D607" t="s">
        <v>6182</v>
      </c>
      <c r="E607" s="2">
        <v>5</v>
      </c>
      <c r="F607" s="2" t="str">
        <f>_xlfn.XLOOKUP(Orders[[#This Row],[Customer ID]],customers!A:A,customers!B:B)</f>
        <v>Wang Powlesland</v>
      </c>
      <c r="G607" s="2" t="str" cm="1">
        <f t="array" ref="G607">IF(_xlfn.XLOOKUP(C607,customers!A606:$A$1001,customers!C606:$C$1001,,0)=0,"",_xlfn.XLOOKUP(C607,customers!A606:$A$1001,customers!C606:$C$1001,,0))</f>
        <v>wpowleslandgt@soundcloud.com</v>
      </c>
      <c r="H607" s="2" t="str" cm="1">
        <f t="array" ref="H607">_xlfn.XLOOKUP(C607,customers!A606:$A$1001,customers!G606:$G$1001,"Ireland",0)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9"/>
        <v>148.92499999999998</v>
      </c>
      <c r="N607" t="str" cm="1">
        <f t="array" ref="N607">_xlfn.IFS(I607="Rob","Robusta",I607="Exc","Excelsa",I607="Ara","Arabica",I607="Lib","Liberica")</f>
        <v>Arabica</v>
      </c>
      <c r="O607" t="str" cm="1">
        <f t="array" ref="O607">_xlfn.IFS(J607="M","Midium",J607="L","Light",J607="D","Dark")</f>
        <v>Light</v>
      </c>
      <c r="P607" t="str">
        <f>_xlfn.XLOOKUP(Orders[[#This Row],[Customer ID]],customers!A:A,customers!I:I,,0)</f>
        <v>Yes</v>
      </c>
      <c r="Q607" t="str">
        <f>_xlfn.XLOOKUP(C608,customers!A:A,customers!B:B,"مش موجود")</f>
        <v>Cody Verissimo</v>
      </c>
    </row>
    <row r="608" spans="1:17" x14ac:dyDescent="0.25">
      <c r="A608" s="2" t="s">
        <v>3911</v>
      </c>
      <c r="B608" s="3">
        <v>44138</v>
      </c>
      <c r="C608" s="2" t="s">
        <v>3840</v>
      </c>
      <c r="D608" t="s">
        <v>6164</v>
      </c>
      <c r="E608" s="2">
        <v>3</v>
      </c>
      <c r="F608" s="2" t="str">
        <f>_xlfn.XLOOKUP(Orders[[#This Row],[Customer ID]],customers!A:A,customers!B:B)</f>
        <v>Cody Verissimo</v>
      </c>
      <c r="G608" s="2" t="e" cm="1">
        <f t="array" ref="G608">IF(_xlfn.XLOOKUP(C608,customers!A607:$A$1001,customers!C607:$C$1001,,0)=0,"",_xlfn.XLOOKUP(C608,customers!A607:$A$1001,customers!C607:$C$1001,,0))</f>
        <v>#N/A</v>
      </c>
      <c r="H608" s="2" t="str" cm="1">
        <f t="array" ref="H608">_xlfn.XLOOKUP(C608,customers!A607:$A$1001,customers!G607:$G$1001,"Ireland",0)</f>
        <v>Ireland</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9"/>
        <v>109.36499999999999</v>
      </c>
      <c r="N608" t="str" cm="1">
        <f t="array" ref="N608">_xlfn.IFS(I608="Rob","Robusta",I608="Exc","Excelsa",I608="Ara","Arabica",I608="Lib","Liberica")</f>
        <v>Liberica</v>
      </c>
      <c r="O608" t="str" cm="1">
        <f t="array" ref="O608">_xlfn.IFS(J608="M","Midium",J608="L","Light",J608="D","Dark")</f>
        <v>Light</v>
      </c>
      <c r="P608" t="str">
        <f>_xlfn.XLOOKUP(Orders[[#This Row],[Customer ID]],customers!A:A,customers!I:I,,0)</f>
        <v>Yes</v>
      </c>
      <c r="Q608" t="str">
        <f>_xlfn.XLOOKUP(C609,customers!A:A,customers!B:B,"مش موجود")</f>
        <v>Laurence Ellingham</v>
      </c>
    </row>
    <row r="609" spans="1:17" x14ac:dyDescent="0.25">
      <c r="A609" s="2" t="s">
        <v>3917</v>
      </c>
      <c r="B609" s="3">
        <v>44640</v>
      </c>
      <c r="C609" s="2" t="s">
        <v>3918</v>
      </c>
      <c r="D609" t="s">
        <v>6153</v>
      </c>
      <c r="E609" s="2">
        <v>1</v>
      </c>
      <c r="F609" s="2" t="str">
        <f>_xlfn.XLOOKUP(Orders[[#This Row],[Customer ID]],customers!A:A,customers!B:B)</f>
        <v>Laurence Ellingham</v>
      </c>
      <c r="G609" s="2" t="str" cm="1">
        <f t="array" ref="G609">IF(_xlfn.XLOOKUP(C609,customers!A608:$A$1001,customers!C608:$C$1001,,0)=0,"",_xlfn.XLOOKUP(C609,customers!A608:$A$1001,customers!C608:$C$1001,,0))</f>
        <v>lellinghamgv@sciencedaily.com</v>
      </c>
      <c r="H609" s="2" t="str" cm="1">
        <f t="array" ref="H609">_xlfn.XLOOKUP(C609,customers!A608:$A$1001,customers!G608:$G$1001,"Ireland",0)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9"/>
        <v>3.645</v>
      </c>
      <c r="N609" t="str" cm="1">
        <f t="array" ref="N609">_xlfn.IFS(I609="Rob","Robusta",I609="Exc","Excelsa",I609="Ara","Arabica",I609="Lib","Liberica")</f>
        <v>Excelsa</v>
      </c>
      <c r="O609" t="str" cm="1">
        <f t="array" ref="O609">_xlfn.IFS(J609="M","Midium",J609="L","Light",J609="D","Dark")</f>
        <v>Dark</v>
      </c>
      <c r="P609" t="str">
        <f>_xlfn.XLOOKUP(Orders[[#This Row],[Customer ID]],customers!A:A,customers!I:I,,0)</f>
        <v>Yes</v>
      </c>
      <c r="Q609" t="str">
        <f>_xlfn.XLOOKUP(C610,customers!A:A,customers!B:B,"مش موجود")</f>
        <v>Billy Neiland</v>
      </c>
    </row>
    <row r="610" spans="1:17" x14ac:dyDescent="0.25">
      <c r="A610" s="2" t="s">
        <v>3923</v>
      </c>
      <c r="B610" s="3">
        <v>44608</v>
      </c>
      <c r="C610" s="2" t="s">
        <v>3924</v>
      </c>
      <c r="D610" t="s">
        <v>6185</v>
      </c>
      <c r="E610" s="2">
        <v>2</v>
      </c>
      <c r="F610" s="2" t="str">
        <f>_xlfn.XLOOKUP(Orders[[#This Row],[Customer ID]],customers!A:A,customers!B:B)</f>
        <v>Billy Neiland</v>
      </c>
      <c r="G610" s="2" t="str" cm="1">
        <f t="array" ref="G610">IF(_xlfn.XLOOKUP(C610,customers!A609:$A$1001,customers!C609:$C$1001,,0)=0,"",_xlfn.XLOOKUP(C610,customers!A609:$A$1001,customers!C609:$C$1001,,0))</f>
        <v/>
      </c>
      <c r="H610" s="2" t="str" cm="1">
        <f t="array" ref="H610">_xlfn.XLOOKUP(C610,customers!A609:$A$1001,customers!G609:$G$1001,"Ireland",0)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9"/>
        <v>55.89</v>
      </c>
      <c r="N610" t="str" cm="1">
        <f t="array" ref="N610">_xlfn.IFS(I610="Rob","Robusta",I610="Exc","Excelsa",I610="Ara","Arabica",I610="Lib","Liberica")</f>
        <v>Excelsa</v>
      </c>
      <c r="O610" t="str" cm="1">
        <f t="array" ref="O610">_xlfn.IFS(J610="M","Midium",J610="L","Light",J610="D","Dark")</f>
        <v>Dark</v>
      </c>
      <c r="P610" t="str">
        <f>_xlfn.XLOOKUP(Orders[[#This Row],[Customer ID]],customers!A:A,customers!I:I,,0)</f>
        <v>No</v>
      </c>
      <c r="Q610" t="str">
        <f>_xlfn.XLOOKUP(C611,customers!A:A,customers!B:B,"مش موجود")</f>
        <v>Ancell Fendt</v>
      </c>
    </row>
    <row r="611" spans="1:17" x14ac:dyDescent="0.25">
      <c r="A611" s="2" t="s">
        <v>3927</v>
      </c>
      <c r="B611" s="3">
        <v>44147</v>
      </c>
      <c r="C611" s="2" t="s">
        <v>3928</v>
      </c>
      <c r="D611" t="s">
        <v>6159</v>
      </c>
      <c r="E611" s="2">
        <v>6</v>
      </c>
      <c r="F611" s="2" t="str">
        <f>_xlfn.XLOOKUP(Orders[[#This Row],[Customer ID]],customers!A:A,customers!B:B)</f>
        <v>Ancell Fendt</v>
      </c>
      <c r="G611" s="2" t="str" cm="1">
        <f t="array" ref="G611">IF(_xlfn.XLOOKUP(C611,customers!A610:$A$1001,customers!C610:$C$1001,,0)=0,"",_xlfn.XLOOKUP(C611,customers!A610:$A$1001,customers!C610:$C$1001,,0))</f>
        <v>afendtgx@forbes.com</v>
      </c>
      <c r="H611" s="2" t="str" cm="1">
        <f t="array" ref="H611">_xlfn.XLOOKUP(C611,customers!A610:$A$1001,customers!G610:$G$1001,"Ireland",0)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9"/>
        <v>26.19</v>
      </c>
      <c r="N611" t="str" cm="1">
        <f t="array" ref="N611">_xlfn.IFS(I611="Rob","Robusta",I611="Exc","Excelsa",I611="Ara","Arabica",I611="Lib","Liberica")</f>
        <v>Liberica</v>
      </c>
      <c r="O611" t="str" cm="1">
        <f t="array" ref="O611">_xlfn.IFS(J611="M","Midium",J611="L","Light",J611="D","Dark")</f>
        <v>Midium</v>
      </c>
      <c r="P611" t="str">
        <f>_xlfn.XLOOKUP(Orders[[#This Row],[Customer ID]],customers!A:A,customers!I:I,,0)</f>
        <v>Yes</v>
      </c>
      <c r="Q611" t="str">
        <f>_xlfn.XLOOKUP(C612,customers!A:A,customers!B:B,"مش موجود")</f>
        <v>Angelia Cleyburn</v>
      </c>
    </row>
    <row r="612" spans="1:17" x14ac:dyDescent="0.25">
      <c r="A612" s="2" t="s">
        <v>3933</v>
      </c>
      <c r="B612" s="3">
        <v>43743</v>
      </c>
      <c r="C612" s="2" t="s">
        <v>3934</v>
      </c>
      <c r="D612" t="s">
        <v>6138</v>
      </c>
      <c r="E612" s="2">
        <v>4</v>
      </c>
      <c r="F612" s="2" t="str">
        <f>_xlfn.XLOOKUP(Orders[[#This Row],[Customer ID]],customers!A:A,customers!B:B)</f>
        <v>Angelia Cleyburn</v>
      </c>
      <c r="G612" s="2" t="str" cm="1">
        <f t="array" ref="G612">IF(_xlfn.XLOOKUP(C612,customers!A611:$A$1001,customers!C611:$C$1001,,0)=0,"",_xlfn.XLOOKUP(C612,customers!A611:$A$1001,customers!C611:$C$1001,,0))</f>
        <v>acleyburngy@lycos.com</v>
      </c>
      <c r="H612" s="2" t="str" cm="1">
        <f t="array" ref="H612">_xlfn.XLOOKUP(C612,customers!A611:$A$1001,customers!G611:$G$1001,"Ireland",0)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9"/>
        <v>39.799999999999997</v>
      </c>
      <c r="N612" t="str" cm="1">
        <f t="array" ref="N612">_xlfn.IFS(I612="Rob","Robusta",I612="Exc","Excelsa",I612="Ara","Arabica",I612="Lib","Liberica")</f>
        <v>Robusta</v>
      </c>
      <c r="O612" t="str" cm="1">
        <f t="array" ref="O612">_xlfn.IFS(J612="M","Midium",J612="L","Light",J612="D","Dark")</f>
        <v>Midium</v>
      </c>
      <c r="P612" t="str">
        <f>_xlfn.XLOOKUP(Orders[[#This Row],[Customer ID]],customers!A:A,customers!I:I,,0)</f>
        <v>No</v>
      </c>
      <c r="Q612" t="str">
        <f>_xlfn.XLOOKUP(C613,customers!A:A,customers!B:B,"مش موجود")</f>
        <v>Temple Castiglione</v>
      </c>
    </row>
    <row r="613" spans="1:17" x14ac:dyDescent="0.25">
      <c r="A613" s="2" t="s">
        <v>3939</v>
      </c>
      <c r="B613" s="3">
        <v>43739</v>
      </c>
      <c r="C613" s="2" t="s">
        <v>3940</v>
      </c>
      <c r="D613" t="s">
        <v>6148</v>
      </c>
      <c r="E613" s="2">
        <v>2</v>
      </c>
      <c r="F613" s="2" t="str">
        <f>_xlfn.XLOOKUP(Orders[[#This Row],[Customer ID]],customers!A:A,customers!B:B)</f>
        <v>Temple Castiglione</v>
      </c>
      <c r="G613" s="2" t="str" cm="1">
        <f t="array" ref="G613">IF(_xlfn.XLOOKUP(C613,customers!A612:$A$1001,customers!C612:$C$1001,,0)=0,"",_xlfn.XLOOKUP(C613,customers!A612:$A$1001,customers!C612:$C$1001,,0))</f>
        <v>tcastiglionegz@xing.com</v>
      </c>
      <c r="H613" s="2" t="str" cm="1">
        <f t="array" ref="H613">_xlfn.XLOOKUP(C613,customers!A612:$A$1001,customers!G612:$G$1001,"Ireland",0)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9"/>
        <v>68.309999999999988</v>
      </c>
      <c r="N613" t="str" cm="1">
        <f t="array" ref="N613">_xlfn.IFS(I613="Rob","Robusta",I613="Exc","Excelsa",I613="Ara","Arabica",I613="Lib","Liberica")</f>
        <v>Excelsa</v>
      </c>
      <c r="O613" t="str" cm="1">
        <f t="array" ref="O613">_xlfn.IFS(J613="M","Midium",J613="L","Light",J613="D","Dark")</f>
        <v>Light</v>
      </c>
      <c r="P613" t="str">
        <f>_xlfn.XLOOKUP(Orders[[#This Row],[Customer ID]],customers!A:A,customers!I:I,,0)</f>
        <v>No</v>
      </c>
      <c r="Q613" t="str">
        <f>_xlfn.XLOOKUP(C614,customers!A:A,customers!B:B,"مش موجود")</f>
        <v>Betti Lacasa</v>
      </c>
    </row>
    <row r="614" spans="1:17" x14ac:dyDescent="0.25">
      <c r="A614" s="2" t="s">
        <v>3945</v>
      </c>
      <c r="B614" s="3">
        <v>43896</v>
      </c>
      <c r="C614" s="2" t="s">
        <v>3946</v>
      </c>
      <c r="D614" t="s">
        <v>6152</v>
      </c>
      <c r="E614" s="2">
        <v>4</v>
      </c>
      <c r="F614" s="2" t="str">
        <f>_xlfn.XLOOKUP(Orders[[#This Row],[Customer ID]],customers!A:A,customers!B:B)</f>
        <v>Betti Lacasa</v>
      </c>
      <c r="G614" s="2" t="str" cm="1">
        <f t="array" ref="G614">IF(_xlfn.XLOOKUP(C614,customers!A613:$A$1001,customers!C613:$C$1001,,0)=0,"",_xlfn.XLOOKUP(C614,customers!A613:$A$1001,customers!C613:$C$1001,,0))</f>
        <v/>
      </c>
      <c r="H614" s="2" t="str" cm="1">
        <f t="array" ref="H614">_xlfn.XLOOKUP(C614,customers!A613:$A$1001,customers!G613:$G$1001,"Ireland",0)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9"/>
        <v>13.5</v>
      </c>
      <c r="N614" t="str" cm="1">
        <f t="array" ref="N614">_xlfn.IFS(I614="Rob","Robusta",I614="Exc","Excelsa",I614="Ara","Arabica",I614="Lib","Liberica")</f>
        <v>Arabica</v>
      </c>
      <c r="O614" t="str" cm="1">
        <f t="array" ref="O614">_xlfn.IFS(J614="M","Midium",J614="L","Light",J614="D","Dark")</f>
        <v>Midium</v>
      </c>
      <c r="P614" t="str">
        <f>_xlfn.XLOOKUP(Orders[[#This Row],[Customer ID]],customers!A:A,customers!I:I,,0)</f>
        <v>No</v>
      </c>
      <c r="Q614" t="str">
        <f>_xlfn.XLOOKUP(C615,customers!A:A,customers!B:B,"مش موجود")</f>
        <v>Gunilla Lynch</v>
      </c>
    </row>
    <row r="615" spans="1:17" x14ac:dyDescent="0.25">
      <c r="A615" s="2" t="s">
        <v>3950</v>
      </c>
      <c r="B615" s="3">
        <v>43761</v>
      </c>
      <c r="C615" s="2" t="s">
        <v>3951</v>
      </c>
      <c r="D615" t="s">
        <v>6146</v>
      </c>
      <c r="E615" s="2">
        <v>1</v>
      </c>
      <c r="F615" s="2" t="str">
        <f>_xlfn.XLOOKUP(Orders[[#This Row],[Customer ID]],customers!A:A,customers!B:B)</f>
        <v>Gunilla Lynch</v>
      </c>
      <c r="G615" s="2" t="str" cm="1">
        <f t="array" ref="G615">IF(_xlfn.XLOOKUP(C615,customers!A614:$A$1001,customers!C614:$C$1001,,0)=0,"",_xlfn.XLOOKUP(C615,customers!A614:$A$1001,customers!C614:$C$1001,,0))</f>
        <v/>
      </c>
      <c r="H615" s="2" t="str" cm="1">
        <f t="array" ref="H615">_xlfn.XLOOKUP(C615,customers!A614:$A$1001,customers!G614:$G$1001,"Ireland",0)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9"/>
        <v>5.97</v>
      </c>
      <c r="N615" t="str" cm="1">
        <f t="array" ref="N615">_xlfn.IFS(I615="Rob","Robusta",I615="Exc","Excelsa",I615="Ara","Arabica",I615="Lib","Liberica")</f>
        <v>Robusta</v>
      </c>
      <c r="O615" t="str" cm="1">
        <f t="array" ref="O615">_xlfn.IFS(J615="M","Midium",J615="L","Light",J615="D","Dark")</f>
        <v>Midium</v>
      </c>
      <c r="P615" t="str">
        <f>_xlfn.XLOOKUP(Orders[[#This Row],[Customer ID]],customers!A:A,customers!I:I,,0)</f>
        <v>No</v>
      </c>
      <c r="Q615" t="str">
        <f>_xlfn.XLOOKUP(C616,customers!A:A,customers!B:B,"مش موجود")</f>
        <v>Cody Verissimo</v>
      </c>
    </row>
    <row r="616" spans="1:17" x14ac:dyDescent="0.25">
      <c r="A616" s="2" t="s">
        <v>3955</v>
      </c>
      <c r="B616" s="3">
        <v>43944</v>
      </c>
      <c r="C616" s="2" t="s">
        <v>3840</v>
      </c>
      <c r="D616" t="s">
        <v>6146</v>
      </c>
      <c r="E616" s="2">
        <v>5</v>
      </c>
      <c r="F616" s="2" t="str">
        <f>_xlfn.XLOOKUP(Orders[[#This Row],[Customer ID]],customers!A:A,customers!B:B)</f>
        <v>Cody Verissimo</v>
      </c>
      <c r="G616" s="2" t="e" cm="1">
        <f t="array" ref="G616">IF(_xlfn.XLOOKUP(C616,customers!A615:$A$1001,customers!C615:$C$1001,,0)=0,"",_xlfn.XLOOKUP(C616,customers!A615:$A$1001,customers!C615:$C$1001,,0))</f>
        <v>#N/A</v>
      </c>
      <c r="H616" s="2" t="str" cm="1">
        <f t="array" ref="H616">_xlfn.XLOOKUP(C616,customers!A615:$A$1001,customers!G615:$G$1001,"Ireland",0)</f>
        <v>Ireland</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9"/>
        <v>29.849999999999998</v>
      </c>
      <c r="N616" t="str" cm="1">
        <f t="array" ref="N616">_xlfn.IFS(I616="Rob","Robusta",I616="Exc","Excelsa",I616="Ara","Arabica",I616="Lib","Liberica")</f>
        <v>Robusta</v>
      </c>
      <c r="O616" t="str" cm="1">
        <f t="array" ref="O616">_xlfn.IFS(J616="M","Midium",J616="L","Light",J616="D","Dark")</f>
        <v>Midium</v>
      </c>
      <c r="P616" t="str">
        <f>_xlfn.XLOOKUP(Orders[[#This Row],[Customer ID]],customers!A:A,customers!I:I,,0)</f>
        <v>Yes</v>
      </c>
      <c r="Q616" t="str">
        <f>_xlfn.XLOOKUP(C617,customers!A:A,customers!B:B,"مش موجود")</f>
        <v>Shay Couronne</v>
      </c>
    </row>
    <row r="617" spans="1:17" x14ac:dyDescent="0.25">
      <c r="A617" s="2" t="s">
        <v>3960</v>
      </c>
      <c r="B617" s="3">
        <v>44006</v>
      </c>
      <c r="C617" s="2" t="s">
        <v>3961</v>
      </c>
      <c r="D617" t="s">
        <v>6164</v>
      </c>
      <c r="E617" s="2">
        <v>2</v>
      </c>
      <c r="F617" s="2" t="str">
        <f>_xlfn.XLOOKUP(Orders[[#This Row],[Customer ID]],customers!A:A,customers!B:B)</f>
        <v>Shay Couronne</v>
      </c>
      <c r="G617" s="2" t="str" cm="1">
        <f t="array" ref="G617">IF(_xlfn.XLOOKUP(C617,customers!A616:$A$1001,customers!C616:$C$1001,,0)=0,"",_xlfn.XLOOKUP(C617,customers!A616:$A$1001,customers!C616:$C$1001,,0))</f>
        <v>scouronneh3@mozilla.org</v>
      </c>
      <c r="H617" s="2" t="str" cm="1">
        <f t="array" ref="H617">_xlfn.XLOOKUP(C617,customers!A616:$A$1001,customers!G616:$G$1001,"Ireland",0)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9"/>
        <v>72.91</v>
      </c>
      <c r="N617" t="str" cm="1">
        <f t="array" ref="N617">_xlfn.IFS(I617="Rob","Robusta",I617="Exc","Excelsa",I617="Ara","Arabica",I617="Lib","Liberica")</f>
        <v>Liberica</v>
      </c>
      <c r="O617" t="str" cm="1">
        <f t="array" ref="O617">_xlfn.IFS(J617="M","Midium",J617="L","Light",J617="D","Dark")</f>
        <v>Light</v>
      </c>
      <c r="P617" t="str">
        <f>_xlfn.XLOOKUP(Orders[[#This Row],[Customer ID]],customers!A:A,customers!I:I,,0)</f>
        <v>Yes</v>
      </c>
      <c r="Q617" t="str">
        <f>_xlfn.XLOOKUP(C618,customers!A:A,customers!B:B,"مش موجود")</f>
        <v>Linus Flippelli</v>
      </c>
    </row>
    <row r="618" spans="1:17" x14ac:dyDescent="0.25">
      <c r="A618" s="2" t="s">
        <v>3966</v>
      </c>
      <c r="B618" s="3">
        <v>44271</v>
      </c>
      <c r="C618" s="2" t="s">
        <v>3967</v>
      </c>
      <c r="D618" t="s">
        <v>6166</v>
      </c>
      <c r="E618" s="2">
        <v>4</v>
      </c>
      <c r="F618" s="2" t="str">
        <f>_xlfn.XLOOKUP(Orders[[#This Row],[Customer ID]],customers!A:A,customers!B:B)</f>
        <v>Linus Flippelli</v>
      </c>
      <c r="G618" s="2" t="str" cm="1">
        <f t="array" ref="G618">IF(_xlfn.XLOOKUP(C618,customers!A617:$A$1001,customers!C617:$C$1001,,0)=0,"",_xlfn.XLOOKUP(C618,customers!A617:$A$1001,customers!C617:$C$1001,,0))</f>
        <v>lflippellih4@github.io</v>
      </c>
      <c r="H618" s="2" t="str" cm="1">
        <f t="array" ref="H618">_xlfn.XLOOKUP(C618,customers!A617:$A$1001,customers!G617:$G$1001,"Ireland",0)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9"/>
        <v>126.49999999999999</v>
      </c>
      <c r="N618" t="str" cm="1">
        <f t="array" ref="N618">_xlfn.IFS(I618="Rob","Robusta",I618="Exc","Excelsa",I618="Ara","Arabica",I618="Lib","Liberica")</f>
        <v>Excelsa</v>
      </c>
      <c r="O618" t="str" cm="1">
        <f t="array" ref="O618">_xlfn.IFS(J618="M","Midium",J618="L","Light",J618="D","Dark")</f>
        <v>Midium</v>
      </c>
      <c r="P618" t="str">
        <f>_xlfn.XLOOKUP(Orders[[#This Row],[Customer ID]],customers!A:A,customers!I:I,,0)</f>
        <v>No</v>
      </c>
      <c r="Q618" t="str">
        <f>_xlfn.XLOOKUP(C619,customers!A:A,customers!B:B,"مش موجود")</f>
        <v>Rachelle Elizabeth</v>
      </c>
    </row>
    <row r="619" spans="1:17" x14ac:dyDescent="0.25">
      <c r="A619" s="2" t="s">
        <v>3972</v>
      </c>
      <c r="B619" s="3">
        <v>43928</v>
      </c>
      <c r="C619" s="2" t="s">
        <v>3973</v>
      </c>
      <c r="D619" t="s">
        <v>6181</v>
      </c>
      <c r="E619" s="2">
        <v>1</v>
      </c>
      <c r="F619" s="2" t="str">
        <f>_xlfn.XLOOKUP(Orders[[#This Row],[Customer ID]],customers!A:A,customers!B:B)</f>
        <v>Rachelle Elizabeth</v>
      </c>
      <c r="G619" s="2" t="str" cm="1">
        <f t="array" ref="G619">IF(_xlfn.XLOOKUP(C619,customers!A618:$A$1001,customers!C618:$C$1001,,0)=0,"",_xlfn.XLOOKUP(C619,customers!A618:$A$1001,customers!C618:$C$1001,,0))</f>
        <v>relizabethh5@live.com</v>
      </c>
      <c r="H619" s="2" t="str" cm="1">
        <f t="array" ref="H619">_xlfn.XLOOKUP(C619,customers!A618:$A$1001,customers!G618:$G$1001,"Ireland",0)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9"/>
        <v>33.464999999999996</v>
      </c>
      <c r="N619" t="str" cm="1">
        <f t="array" ref="N619">_xlfn.IFS(I619="Rob","Robusta",I619="Exc","Excelsa",I619="Ara","Arabica",I619="Lib","Liberica")</f>
        <v>Liberica</v>
      </c>
      <c r="O619" t="str" cm="1">
        <f t="array" ref="O619">_xlfn.IFS(J619="M","Midium",J619="L","Light",J619="D","Dark")</f>
        <v>Midium</v>
      </c>
      <c r="P619" t="str">
        <f>_xlfn.XLOOKUP(Orders[[#This Row],[Customer ID]],customers!A:A,customers!I:I,,0)</f>
        <v>No</v>
      </c>
      <c r="Q619" t="str">
        <f>_xlfn.XLOOKUP(C620,customers!A:A,customers!B:B,"مش موجود")</f>
        <v>Innis Renhard</v>
      </c>
    </row>
    <row r="620" spans="1:17" x14ac:dyDescent="0.25">
      <c r="A620" s="2" t="s">
        <v>3978</v>
      </c>
      <c r="B620" s="3">
        <v>44469</v>
      </c>
      <c r="C620" s="2" t="s">
        <v>3979</v>
      </c>
      <c r="D620" t="s">
        <v>6183</v>
      </c>
      <c r="E620" s="2">
        <v>6</v>
      </c>
      <c r="F620" s="2" t="str">
        <f>_xlfn.XLOOKUP(Orders[[#This Row],[Customer ID]],customers!A:A,customers!B:B)</f>
        <v>Innis Renhard</v>
      </c>
      <c r="G620" s="2" t="str" cm="1">
        <f t="array" ref="G620">IF(_xlfn.XLOOKUP(C620,customers!A619:$A$1001,customers!C619:$C$1001,,0)=0,"",_xlfn.XLOOKUP(C620,customers!A619:$A$1001,customers!C619:$C$1001,,0))</f>
        <v>irenhardh6@i2i.jp</v>
      </c>
      <c r="H620" s="2" t="str" cm="1">
        <f t="array" ref="H620">_xlfn.XLOOKUP(C620,customers!A619:$A$1001,customers!G619:$G$1001,"Ireland",0)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9"/>
        <v>72.900000000000006</v>
      </c>
      <c r="N620" t="str" cm="1">
        <f t="array" ref="N620">_xlfn.IFS(I620="Rob","Robusta",I620="Exc","Excelsa",I620="Ara","Arabica",I620="Lib","Liberica")</f>
        <v>Excelsa</v>
      </c>
      <c r="O620" t="str" cm="1">
        <f t="array" ref="O620">_xlfn.IFS(J620="M","Midium",J620="L","Light",J620="D","Dark")</f>
        <v>Dark</v>
      </c>
      <c r="P620" t="str">
        <f>_xlfn.XLOOKUP(Orders[[#This Row],[Customer ID]],customers!A:A,customers!I:I,,0)</f>
        <v>Yes</v>
      </c>
      <c r="Q620" t="str">
        <f>_xlfn.XLOOKUP(C621,customers!A:A,customers!B:B,"مش موجود")</f>
        <v>Winne Roche</v>
      </c>
    </row>
    <row r="621" spans="1:17" x14ac:dyDescent="0.25">
      <c r="A621" s="2" t="s">
        <v>3984</v>
      </c>
      <c r="B621" s="3">
        <v>44682</v>
      </c>
      <c r="C621" s="2" t="s">
        <v>3985</v>
      </c>
      <c r="D621" t="s">
        <v>6169</v>
      </c>
      <c r="E621" s="2">
        <v>2</v>
      </c>
      <c r="F621" s="2" t="str">
        <f>_xlfn.XLOOKUP(Orders[[#This Row],[Customer ID]],customers!A:A,customers!B:B)</f>
        <v>Winne Roche</v>
      </c>
      <c r="G621" s="2" t="str" cm="1">
        <f t="array" ref="G621">IF(_xlfn.XLOOKUP(C621,customers!A620:$A$1001,customers!C620:$C$1001,,0)=0,"",_xlfn.XLOOKUP(C621,customers!A620:$A$1001,customers!C620:$C$1001,,0))</f>
        <v>wrocheh7@xinhuanet.com</v>
      </c>
      <c r="H621" s="2" t="str" cm="1">
        <f t="array" ref="H621">_xlfn.XLOOKUP(C621,customers!A620:$A$1001,customers!G620:$G$1001,"Ireland",0)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9"/>
        <v>15.54</v>
      </c>
      <c r="N621" t="str" cm="1">
        <f t="array" ref="N621">_xlfn.IFS(I621="Rob","Robusta",I621="Exc","Excelsa",I621="Ara","Arabica",I621="Lib","Liberica")</f>
        <v>Liberica</v>
      </c>
      <c r="O621" t="str" cm="1">
        <f t="array" ref="O621">_xlfn.IFS(J621="M","Midium",J621="L","Light",J621="D","Dark")</f>
        <v>Dark</v>
      </c>
      <c r="P621" t="str">
        <f>_xlfn.XLOOKUP(Orders[[#This Row],[Customer ID]],customers!A:A,customers!I:I,,0)</f>
        <v>Yes</v>
      </c>
      <c r="Q621" t="str">
        <f>_xlfn.XLOOKUP(C622,customers!A:A,customers!B:B,"مش موجود")</f>
        <v>Linn Alaway</v>
      </c>
    </row>
    <row r="622" spans="1:17" x14ac:dyDescent="0.25">
      <c r="A622" s="2" t="s">
        <v>3990</v>
      </c>
      <c r="B622" s="3">
        <v>44217</v>
      </c>
      <c r="C622" s="2" t="s">
        <v>4042</v>
      </c>
      <c r="D622" t="s">
        <v>6152</v>
      </c>
      <c r="E622" s="2">
        <v>6</v>
      </c>
      <c r="F622" s="2" t="str">
        <f>_xlfn.XLOOKUP(Orders[[#This Row],[Customer ID]],customers!A:A,customers!B:B)</f>
        <v>Linn Alaway</v>
      </c>
      <c r="G622" s="2" t="str" cm="1">
        <f t="array" ref="G622">IF(_xlfn.XLOOKUP(C622,customers!A621:$A$1001,customers!C621:$C$1001,,0)=0,"",_xlfn.XLOOKUP(C622,customers!A621:$A$1001,customers!C621:$C$1001,,0))</f>
        <v>lalawayhh@weather.com</v>
      </c>
      <c r="H622" s="2" t="str" cm="1">
        <f t="array" ref="H622">_xlfn.XLOOKUP(C622,customers!A621:$A$1001,customers!G621:$G$1001,"Ireland",0)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9"/>
        <v>20.25</v>
      </c>
      <c r="N622" t="str" cm="1">
        <f t="array" ref="N622">_xlfn.IFS(I622="Rob","Robusta",I622="Exc","Excelsa",I622="Ara","Arabica",I622="Lib","Liberica")</f>
        <v>Arabica</v>
      </c>
      <c r="O622" t="str" cm="1">
        <f t="array" ref="O622">_xlfn.IFS(J622="M","Midium",J622="L","Light",J622="D","Dark")</f>
        <v>Midium</v>
      </c>
      <c r="P622" t="str">
        <f>_xlfn.XLOOKUP(Orders[[#This Row],[Customer ID]],customers!A:A,customers!I:I,,0)</f>
        <v>No</v>
      </c>
      <c r="Q622" t="str">
        <f>_xlfn.XLOOKUP(C623,customers!A:A,customers!B:B,"مش موجود")</f>
        <v>Cordy Odgaard</v>
      </c>
    </row>
    <row r="623" spans="1:17" x14ac:dyDescent="0.25">
      <c r="A623" s="2" t="s">
        <v>3996</v>
      </c>
      <c r="B623" s="3">
        <v>44006</v>
      </c>
      <c r="C623" s="2" t="s">
        <v>3997</v>
      </c>
      <c r="D623" t="s">
        <v>6140</v>
      </c>
      <c r="E623" s="2">
        <v>6</v>
      </c>
      <c r="F623" s="2" t="str">
        <f>_xlfn.XLOOKUP(Orders[[#This Row],[Customer ID]],customers!A:A,customers!B:B)</f>
        <v>Cordy Odgaard</v>
      </c>
      <c r="G623" s="2" t="str" cm="1">
        <f t="array" ref="G623">IF(_xlfn.XLOOKUP(C623,customers!A622:$A$1001,customers!C622:$C$1001,,0)=0,"",_xlfn.XLOOKUP(C623,customers!A622:$A$1001,customers!C622:$C$1001,,0))</f>
        <v>codgaardh9@nsw.gov.au</v>
      </c>
      <c r="H623" s="2" t="str" cm="1">
        <f t="array" ref="H623">_xlfn.XLOOKUP(C623,customers!A622:$A$1001,customers!G622:$G$1001,"Ireland",0)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9"/>
        <v>77.699999999999989</v>
      </c>
      <c r="N623" t="str" cm="1">
        <f t="array" ref="N623">_xlfn.IFS(I623="Rob","Robusta",I623="Exc","Excelsa",I623="Ara","Arabica",I623="Lib","Liberica")</f>
        <v>Arabica</v>
      </c>
      <c r="O623" t="str" cm="1">
        <f t="array" ref="O623">_xlfn.IFS(J623="M","Midium",J623="L","Light",J623="D","Dark")</f>
        <v>Light</v>
      </c>
      <c r="P623" t="str">
        <f>_xlfn.XLOOKUP(Orders[[#This Row],[Customer ID]],customers!A:A,customers!I:I,,0)</f>
        <v>No</v>
      </c>
      <c r="Q623" t="str">
        <f>_xlfn.XLOOKUP(C624,customers!A:A,customers!B:B,"مش موجود")</f>
        <v>Bertine Byrd</v>
      </c>
    </row>
    <row r="624" spans="1:17" x14ac:dyDescent="0.25">
      <c r="A624" s="2" t="s">
        <v>4002</v>
      </c>
      <c r="B624" s="3">
        <v>43527</v>
      </c>
      <c r="C624" s="2" t="s">
        <v>4003</v>
      </c>
      <c r="D624" t="s">
        <v>6181</v>
      </c>
      <c r="E624" s="2">
        <v>4</v>
      </c>
      <c r="F624" s="2" t="str">
        <f>_xlfn.XLOOKUP(Orders[[#This Row],[Customer ID]],customers!A:A,customers!B:B)</f>
        <v>Bertine Byrd</v>
      </c>
      <c r="G624" s="2" t="str" cm="1">
        <f t="array" ref="G624">IF(_xlfn.XLOOKUP(C624,customers!A623:$A$1001,customers!C623:$C$1001,,0)=0,"",_xlfn.XLOOKUP(C624,customers!A623:$A$1001,customers!C623:$C$1001,,0))</f>
        <v>bbyrdha@4shared.com</v>
      </c>
      <c r="H624" s="2" t="str" cm="1">
        <f t="array" ref="H624">_xlfn.XLOOKUP(C624,customers!A623:$A$1001,customers!G623:$G$1001,"Ireland",0)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9"/>
        <v>133.85999999999999</v>
      </c>
      <c r="N624" t="str" cm="1">
        <f t="array" ref="N624">_xlfn.IFS(I624="Rob","Robusta",I624="Exc","Excelsa",I624="Ara","Arabica",I624="Lib","Liberica")</f>
        <v>Liberica</v>
      </c>
      <c r="O624" t="str" cm="1">
        <f t="array" ref="O624">_xlfn.IFS(J624="M","Midium",J624="L","Light",J624="D","Dark")</f>
        <v>Midium</v>
      </c>
      <c r="P624" t="str">
        <f>_xlfn.XLOOKUP(Orders[[#This Row],[Customer ID]],customers!A:A,customers!I:I,,0)</f>
        <v>No</v>
      </c>
      <c r="Q624" t="str">
        <f>_xlfn.XLOOKUP(C625,customers!A:A,customers!B:B,"مش موجود")</f>
        <v>Nelie Garnson</v>
      </c>
    </row>
    <row r="625" spans="1:17" x14ac:dyDescent="0.25">
      <c r="A625" s="2" t="s">
        <v>4007</v>
      </c>
      <c r="B625" s="3">
        <v>44224</v>
      </c>
      <c r="C625" s="2" t="s">
        <v>4008</v>
      </c>
      <c r="D625" t="s">
        <v>6183</v>
      </c>
      <c r="E625" s="2">
        <v>1</v>
      </c>
      <c r="F625" s="2" t="str">
        <f>_xlfn.XLOOKUP(Orders[[#This Row],[Customer ID]],customers!A:A,customers!B:B)</f>
        <v>Nelie Garnson</v>
      </c>
      <c r="G625" s="2" t="str" cm="1">
        <f t="array" ref="G625">IF(_xlfn.XLOOKUP(C625,customers!A624:$A$1001,customers!C624:$C$1001,,0)=0,"",_xlfn.XLOOKUP(C625,customers!A624:$A$1001,customers!C624:$C$1001,,0))</f>
        <v/>
      </c>
      <c r="H625" s="2" t="str" cm="1">
        <f t="array" ref="H625">_xlfn.XLOOKUP(C625,customers!A624:$A$1001,customers!G624:$G$1001,"Ireland",0)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9"/>
        <v>12.15</v>
      </c>
      <c r="N625" t="str" cm="1">
        <f t="array" ref="N625">_xlfn.IFS(I625="Rob","Robusta",I625="Exc","Excelsa",I625="Ara","Arabica",I625="Lib","Liberica")</f>
        <v>Excelsa</v>
      </c>
      <c r="O625" t="str" cm="1">
        <f t="array" ref="O625">_xlfn.IFS(J625="M","Midium",J625="L","Light",J625="D","Dark")</f>
        <v>Dark</v>
      </c>
      <c r="P625" t="str">
        <f>_xlfn.XLOOKUP(Orders[[#This Row],[Customer ID]],customers!A:A,customers!I:I,,0)</f>
        <v>No</v>
      </c>
      <c r="Q625" t="str">
        <f>_xlfn.XLOOKUP(C626,customers!A:A,customers!B:B,"مش موجود")</f>
        <v>Dianne Chardin</v>
      </c>
    </row>
    <row r="626" spans="1:17" x14ac:dyDescent="0.25">
      <c r="A626" s="2" t="s">
        <v>4012</v>
      </c>
      <c r="B626" s="3">
        <v>44010</v>
      </c>
      <c r="C626" s="2" t="s">
        <v>4013</v>
      </c>
      <c r="D626" t="s">
        <v>6166</v>
      </c>
      <c r="E626" s="2">
        <v>2</v>
      </c>
      <c r="F626" s="2" t="str">
        <f>_xlfn.XLOOKUP(Orders[[#This Row],[Customer ID]],customers!A:A,customers!B:B)</f>
        <v>Dianne Chardin</v>
      </c>
      <c r="G626" s="2" t="str" cm="1">
        <f t="array" ref="G626">IF(_xlfn.XLOOKUP(C626,customers!A625:$A$1001,customers!C625:$C$1001,,0)=0,"",_xlfn.XLOOKUP(C626,customers!A625:$A$1001,customers!C625:$C$1001,,0))</f>
        <v>dchardinhc@nhs.uk</v>
      </c>
      <c r="H626" s="2" t="str" cm="1">
        <f t="array" ref="H626">_xlfn.XLOOKUP(C626,customers!A625:$A$1001,customers!G625:$G$1001,"Ireland",0)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9"/>
        <v>63.249999999999993</v>
      </c>
      <c r="N626" t="str" cm="1">
        <f t="array" ref="N626">_xlfn.IFS(I626="Rob","Robusta",I626="Exc","Excelsa",I626="Ara","Arabica",I626="Lib","Liberica")</f>
        <v>Excelsa</v>
      </c>
      <c r="O626" t="str" cm="1">
        <f t="array" ref="O626">_xlfn.IFS(J626="M","Midium",J626="L","Light",J626="D","Dark")</f>
        <v>Midium</v>
      </c>
      <c r="P626" t="str">
        <f>_xlfn.XLOOKUP(Orders[[#This Row],[Customer ID]],customers!A:A,customers!I:I,,0)</f>
        <v>Yes</v>
      </c>
      <c r="Q626" t="str">
        <f>_xlfn.XLOOKUP(C627,customers!A:A,customers!B:B,"مش موجود")</f>
        <v>Hailee Radbone</v>
      </c>
    </row>
    <row r="627" spans="1:17" x14ac:dyDescent="0.25">
      <c r="A627" s="2" t="s">
        <v>4017</v>
      </c>
      <c r="B627" s="3">
        <v>44017</v>
      </c>
      <c r="C627" s="2" t="s">
        <v>4018</v>
      </c>
      <c r="D627" t="s">
        <v>6173</v>
      </c>
      <c r="E627" s="2">
        <v>5</v>
      </c>
      <c r="F627" s="2" t="str">
        <f>_xlfn.XLOOKUP(Orders[[#This Row],[Customer ID]],customers!A:A,customers!B:B)</f>
        <v>Hailee Radbone</v>
      </c>
      <c r="G627" s="2" t="str" cm="1">
        <f t="array" ref="G627">IF(_xlfn.XLOOKUP(C627,customers!A626:$A$1001,customers!C626:$C$1001,,0)=0,"",_xlfn.XLOOKUP(C627,customers!A626:$A$1001,customers!C626:$C$1001,,0))</f>
        <v>hradbonehd@newsvine.com</v>
      </c>
      <c r="H627" s="2" t="str" cm="1">
        <f t="array" ref="H627">_xlfn.XLOOKUP(C627,customers!A626:$A$1001,customers!G626:$G$1001,"Ireland",0)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9"/>
        <v>35.849999999999994</v>
      </c>
      <c r="N627" t="str" cm="1">
        <f t="array" ref="N627">_xlfn.IFS(I627="Rob","Robusta",I627="Exc","Excelsa",I627="Ara","Arabica",I627="Lib","Liberica")</f>
        <v>Robusta</v>
      </c>
      <c r="O627" t="str" cm="1">
        <f t="array" ref="O627">_xlfn.IFS(J627="M","Midium",J627="L","Light",J627="D","Dark")</f>
        <v>Light</v>
      </c>
      <c r="P627" t="str">
        <f>_xlfn.XLOOKUP(Orders[[#This Row],[Customer ID]],customers!A:A,customers!I:I,,0)</f>
        <v>No</v>
      </c>
      <c r="Q627" t="str">
        <f>_xlfn.XLOOKUP(C628,customers!A:A,customers!B:B,"مش موجود")</f>
        <v>Wallis Bernth</v>
      </c>
    </row>
    <row r="628" spans="1:17" x14ac:dyDescent="0.25">
      <c r="A628" s="2" t="s">
        <v>4023</v>
      </c>
      <c r="B628" s="3">
        <v>43526</v>
      </c>
      <c r="C628" s="2" t="s">
        <v>4024</v>
      </c>
      <c r="D628" t="s">
        <v>6175</v>
      </c>
      <c r="E628" s="2">
        <v>3</v>
      </c>
      <c r="F628" s="2" t="str">
        <f>_xlfn.XLOOKUP(Orders[[#This Row],[Customer ID]],customers!A:A,customers!B:B)</f>
        <v>Wallis Bernth</v>
      </c>
      <c r="G628" s="2" t="str" cm="1">
        <f t="array" ref="G628">IF(_xlfn.XLOOKUP(C628,customers!A627:$A$1001,customers!C627:$C$1001,,0)=0,"",_xlfn.XLOOKUP(C628,customers!A627:$A$1001,customers!C627:$C$1001,,0))</f>
        <v>wbernthhe@miitbeian.gov.cn</v>
      </c>
      <c r="H628" s="2" t="str" cm="1">
        <f t="array" ref="H628">_xlfn.XLOOKUP(C628,customers!A627:$A$1001,customers!G627:$G$1001,"Ireland",0)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9"/>
        <v>77.624999999999986</v>
      </c>
      <c r="N628" t="str" cm="1">
        <f t="array" ref="N628">_xlfn.IFS(I628="Rob","Robusta",I628="Exc","Excelsa",I628="Ara","Arabica",I628="Lib","Liberica")</f>
        <v>Arabica</v>
      </c>
      <c r="O628" t="str" cm="1">
        <f t="array" ref="O628">_xlfn.IFS(J628="M","Midium",J628="L","Light",J628="D","Dark")</f>
        <v>Midium</v>
      </c>
      <c r="P628" t="str">
        <f>_xlfn.XLOOKUP(Orders[[#This Row],[Customer ID]],customers!A:A,customers!I:I,,0)</f>
        <v>No</v>
      </c>
      <c r="Q628" t="str">
        <f>_xlfn.XLOOKUP(C629,customers!A:A,customers!B:B,"مش موجود")</f>
        <v>Byron Acarson</v>
      </c>
    </row>
    <row r="629" spans="1:17" x14ac:dyDescent="0.25">
      <c r="A629" s="2" t="s">
        <v>4029</v>
      </c>
      <c r="B629" s="3">
        <v>44682</v>
      </c>
      <c r="C629" s="2" t="s">
        <v>4030</v>
      </c>
      <c r="D629" t="s">
        <v>6166</v>
      </c>
      <c r="E629" s="2">
        <v>2</v>
      </c>
      <c r="F629" s="2" t="str">
        <f>_xlfn.XLOOKUP(Orders[[#This Row],[Customer ID]],customers!A:A,customers!B:B)</f>
        <v>Byron Acarson</v>
      </c>
      <c r="G629" s="2" t="str" cm="1">
        <f t="array" ref="G629">IF(_xlfn.XLOOKUP(C629,customers!A628:$A$1001,customers!C628:$C$1001,,0)=0,"",_xlfn.XLOOKUP(C629,customers!A628:$A$1001,customers!C628:$C$1001,,0))</f>
        <v>bacarsonhf@cnn.com</v>
      </c>
      <c r="H629" s="2" t="str" cm="1">
        <f t="array" ref="H629">_xlfn.XLOOKUP(C629,customers!A628:$A$1001,customers!G628:$G$1001,"Ireland",0)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9"/>
        <v>63.249999999999993</v>
      </c>
      <c r="N629" t="str" cm="1">
        <f t="array" ref="N629">_xlfn.IFS(I629="Rob","Robusta",I629="Exc","Excelsa",I629="Ara","Arabica",I629="Lib","Liberica")</f>
        <v>Excelsa</v>
      </c>
      <c r="O629" t="str" cm="1">
        <f t="array" ref="O629">_xlfn.IFS(J629="M","Midium",J629="L","Light",J629="D","Dark")</f>
        <v>Midium</v>
      </c>
      <c r="P629" t="str">
        <f>_xlfn.XLOOKUP(Orders[[#This Row],[Customer ID]],customers!A:A,customers!I:I,,0)</f>
        <v>Yes</v>
      </c>
      <c r="Q629" t="str">
        <f>_xlfn.XLOOKUP(C630,customers!A:A,customers!B:B,"مش موجود")</f>
        <v>Faunie Brigham</v>
      </c>
    </row>
    <row r="630" spans="1:17" x14ac:dyDescent="0.25">
      <c r="A630" s="2" t="s">
        <v>4035</v>
      </c>
      <c r="B630" s="3">
        <v>44680</v>
      </c>
      <c r="C630" s="2" t="s">
        <v>4036</v>
      </c>
      <c r="D630" t="s">
        <v>6184</v>
      </c>
      <c r="E630" s="2">
        <v>6</v>
      </c>
      <c r="F630" s="2" t="str">
        <f>_xlfn.XLOOKUP(Orders[[#This Row],[Customer ID]],customers!A:A,customers!B:B)</f>
        <v>Faunie Brigham</v>
      </c>
      <c r="G630" s="2" t="str" cm="1">
        <f t="array" ref="G630">IF(_xlfn.XLOOKUP(C630,customers!A629:$A$1001,customers!C629:$C$1001,,0)=0,"",_xlfn.XLOOKUP(C630,customers!A629:$A$1001,customers!C629:$C$1001,,0))</f>
        <v>fbrighamhg@blog.com</v>
      </c>
      <c r="H630" s="2" t="str" cm="1">
        <f t="array" ref="H630">_xlfn.XLOOKUP(C630,customers!A629:$A$1001,customers!G629:$G$1001,"Ireland",0)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9"/>
        <v>26.73</v>
      </c>
      <c r="N630" t="str" cm="1">
        <f t="array" ref="N630">_xlfn.IFS(I630="Rob","Robusta",I630="Exc","Excelsa",I630="Ara","Arabica",I630="Lib","Liberica")</f>
        <v>Excelsa</v>
      </c>
      <c r="O630" t="str" cm="1">
        <f t="array" ref="O630">_xlfn.IFS(J630="M","Midium",J630="L","Light",J630="D","Dark")</f>
        <v>Light</v>
      </c>
      <c r="P630" t="str">
        <f>_xlfn.XLOOKUP(Orders[[#This Row],[Customer ID]],customers!A:A,customers!I:I,,0)</f>
        <v>Yes</v>
      </c>
      <c r="Q630" t="str">
        <f>_xlfn.XLOOKUP(C631,customers!A:A,customers!B:B,"مش موجود")</f>
        <v>Faunie Brigham</v>
      </c>
    </row>
    <row r="631" spans="1:17" x14ac:dyDescent="0.25">
      <c r="A631" s="2" t="s">
        <v>4035</v>
      </c>
      <c r="B631" s="3">
        <v>44680</v>
      </c>
      <c r="C631" s="2" t="s">
        <v>4036</v>
      </c>
      <c r="D631" t="s">
        <v>6169</v>
      </c>
      <c r="E631" s="2">
        <v>4</v>
      </c>
      <c r="F631" s="2" t="str">
        <f>_xlfn.XLOOKUP(Orders[[#This Row],[Customer ID]],customers!A:A,customers!B:B)</f>
        <v>Faunie Brigham</v>
      </c>
      <c r="G631" s="2" t="str" cm="1">
        <f t="array" ref="G631">IF(_xlfn.XLOOKUP(C631,customers!A630:$A$1001,customers!C630:$C$1001,,0)=0,"",_xlfn.XLOOKUP(C631,customers!A630:$A$1001,customers!C630:$C$1001,,0))</f>
        <v>fbrighamhg@blog.com</v>
      </c>
      <c r="H631" s="2" t="str" cm="1">
        <f t="array" ref="H631">_xlfn.XLOOKUP(C631,customers!A630:$A$1001,customers!G630:$G$1001,"Ireland",0)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9"/>
        <v>31.08</v>
      </c>
      <c r="N631" t="str" cm="1">
        <f t="array" ref="N631">_xlfn.IFS(I631="Rob","Robusta",I631="Exc","Excelsa",I631="Ara","Arabica",I631="Lib","Liberica")</f>
        <v>Liberica</v>
      </c>
      <c r="O631" t="str" cm="1">
        <f t="array" ref="O631">_xlfn.IFS(J631="M","Midium",J631="L","Light",J631="D","Dark")</f>
        <v>Dark</v>
      </c>
      <c r="P631" t="str">
        <f>_xlfn.XLOOKUP(Orders[[#This Row],[Customer ID]],customers!A:A,customers!I:I,,0)</f>
        <v>Yes</v>
      </c>
      <c r="Q631" t="str">
        <f>_xlfn.XLOOKUP(C632,customers!A:A,customers!B:B,"مش موجود")</f>
        <v>Faunie Brigham</v>
      </c>
    </row>
    <row r="632" spans="1:17" x14ac:dyDescent="0.25">
      <c r="A632" s="2" t="s">
        <v>4035</v>
      </c>
      <c r="B632" s="3">
        <v>44680</v>
      </c>
      <c r="C632" s="2" t="s">
        <v>4036</v>
      </c>
      <c r="D632" t="s">
        <v>6154</v>
      </c>
      <c r="E632" s="2">
        <v>1</v>
      </c>
      <c r="F632" s="2" t="str">
        <f>_xlfn.XLOOKUP(Orders[[#This Row],[Customer ID]],customers!A:A,customers!B:B)</f>
        <v>Faunie Brigham</v>
      </c>
      <c r="G632" s="2" t="e" cm="1">
        <f t="array" ref="G632">IF(_xlfn.XLOOKUP(C632,customers!A631:$A$1001,customers!C631:$C$1001,,0)=0,"",_xlfn.XLOOKUP(C632,customers!A631:$A$1001,customers!C631:$C$1001,,0))</f>
        <v>#N/A</v>
      </c>
      <c r="H632" s="2" t="str" cm="1">
        <f t="array" ref="H632">_xlfn.XLOOKUP(C632,customers!A631:$A$1001,customers!G631:$G$1001,"Ireland",0)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9"/>
        <v>2.9849999999999999</v>
      </c>
      <c r="N632" t="str" cm="1">
        <f t="array" ref="N632">_xlfn.IFS(I632="Rob","Robusta",I632="Exc","Excelsa",I632="Ara","Arabica",I632="Lib","Liberica")</f>
        <v>Arabica</v>
      </c>
      <c r="O632" t="str" cm="1">
        <f t="array" ref="O632">_xlfn.IFS(J632="M","Midium",J632="L","Light",J632="D","Dark")</f>
        <v>Dark</v>
      </c>
      <c r="P632" t="str">
        <f>_xlfn.XLOOKUP(Orders[[#This Row],[Customer ID]],customers!A:A,customers!I:I,,0)</f>
        <v>Yes</v>
      </c>
      <c r="Q632" t="str">
        <f>_xlfn.XLOOKUP(C633,customers!A:A,customers!B:B,"مش موجود")</f>
        <v>Faunie Brigham</v>
      </c>
    </row>
    <row r="633" spans="1:17" x14ac:dyDescent="0.25">
      <c r="A633" s="2" t="s">
        <v>4035</v>
      </c>
      <c r="B633" s="3">
        <v>44680</v>
      </c>
      <c r="C633" s="2" t="s">
        <v>4036</v>
      </c>
      <c r="D633" t="s">
        <v>6149</v>
      </c>
      <c r="E633" s="2">
        <v>5</v>
      </c>
      <c r="F633" s="2" t="str">
        <f>_xlfn.XLOOKUP(Orders[[#This Row],[Customer ID]],customers!A:A,customers!B:B)</f>
        <v>Faunie Brigham</v>
      </c>
      <c r="G633" s="2" t="e" cm="1">
        <f t="array" ref="G633">IF(_xlfn.XLOOKUP(C633,customers!A632:$A$1001,customers!C632:$C$1001,,0)=0,"",_xlfn.XLOOKUP(C633,customers!A632:$A$1001,customers!C632:$C$1001,,0))</f>
        <v>#N/A</v>
      </c>
      <c r="H633" s="2" t="str" cm="1">
        <f t="array" ref="H633">_xlfn.XLOOKUP(C633,customers!A632:$A$1001,customers!G632:$G$1001,"Ireland",0)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9"/>
        <v>102.92499999999998</v>
      </c>
      <c r="N633" t="str" cm="1">
        <f t="array" ref="N633">_xlfn.IFS(I633="Rob","Robusta",I633="Exc","Excelsa",I633="Ara","Arabica",I633="Lib","Liberica")</f>
        <v>Robusta</v>
      </c>
      <c r="O633" t="str" cm="1">
        <f t="array" ref="O633">_xlfn.IFS(J633="M","Midium",J633="L","Light",J633="D","Dark")</f>
        <v>Dark</v>
      </c>
      <c r="P633" t="str">
        <f>_xlfn.XLOOKUP(Orders[[#This Row],[Customer ID]],customers!A:A,customers!I:I,,0)</f>
        <v>Yes</v>
      </c>
      <c r="Q633" t="str">
        <f>_xlfn.XLOOKUP(C634,customers!A:A,customers!B:B,"مش موجود")</f>
        <v>Marjorie Yoxen</v>
      </c>
    </row>
    <row r="634" spans="1:17" x14ac:dyDescent="0.25">
      <c r="A634" s="2" t="s">
        <v>4056</v>
      </c>
      <c r="B634" s="3">
        <v>44049</v>
      </c>
      <c r="C634" s="2" t="s">
        <v>4057</v>
      </c>
      <c r="D634" t="s">
        <v>6176</v>
      </c>
      <c r="E634" s="2">
        <v>4</v>
      </c>
      <c r="F634" s="2" t="str">
        <f>_xlfn.XLOOKUP(Orders[[#This Row],[Customer ID]],customers!A:A,customers!B:B)</f>
        <v>Marjorie Yoxen</v>
      </c>
      <c r="G634" s="2" t="str" cm="1">
        <f t="array" ref="G634">IF(_xlfn.XLOOKUP(C634,customers!A633:$A$1001,customers!C633:$C$1001,,0)=0,"",_xlfn.XLOOKUP(C634,customers!A633:$A$1001,customers!C633:$C$1001,,0))</f>
        <v>myoxenhk@google.com</v>
      </c>
      <c r="H634" s="2" t="str" cm="1">
        <f t="array" ref="H634">_xlfn.XLOOKUP(C634,customers!A633:$A$1001,customers!G633:$G$1001,"Ireland",0)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9"/>
        <v>35.64</v>
      </c>
      <c r="N634" t="str" cm="1">
        <f t="array" ref="N634">_xlfn.IFS(I634="Rob","Robusta",I634="Exc","Excelsa",I634="Ara","Arabica",I634="Lib","Liberica")</f>
        <v>Excelsa</v>
      </c>
      <c r="O634" t="str" cm="1">
        <f t="array" ref="O634">_xlfn.IFS(J634="M","Midium",J634="L","Light",J634="D","Dark")</f>
        <v>Light</v>
      </c>
      <c r="P634" t="str">
        <f>_xlfn.XLOOKUP(Orders[[#This Row],[Customer ID]],customers!A:A,customers!I:I,,0)</f>
        <v>No</v>
      </c>
      <c r="Q634" t="str">
        <f>_xlfn.XLOOKUP(C635,customers!A:A,customers!B:B,"مش موجود")</f>
        <v>Gaspar McGavin</v>
      </c>
    </row>
    <row r="635" spans="1:17" x14ac:dyDescent="0.25">
      <c r="A635" s="2" t="s">
        <v>4062</v>
      </c>
      <c r="B635" s="3">
        <v>43820</v>
      </c>
      <c r="C635" s="2" t="s">
        <v>4063</v>
      </c>
      <c r="D635" t="s">
        <v>6179</v>
      </c>
      <c r="E635" s="2">
        <v>4</v>
      </c>
      <c r="F635" s="2" t="str">
        <f>_xlfn.XLOOKUP(Orders[[#This Row],[Customer ID]],customers!A:A,customers!B:B)</f>
        <v>Gaspar McGavin</v>
      </c>
      <c r="G635" s="2" t="str" cm="1">
        <f t="array" ref="G635">IF(_xlfn.XLOOKUP(C635,customers!A634:$A$1001,customers!C634:$C$1001,,0)=0,"",_xlfn.XLOOKUP(C635,customers!A634:$A$1001,customers!C634:$C$1001,,0))</f>
        <v>gmcgavinhl@histats.com</v>
      </c>
      <c r="H635" s="2" t="str" cm="1">
        <f t="array" ref="H635">_xlfn.XLOOKUP(C635,customers!A634:$A$1001,customers!G634:$G$1001,"Ireland",0)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9"/>
        <v>47.8</v>
      </c>
      <c r="N635" t="str" cm="1">
        <f t="array" ref="N635">_xlfn.IFS(I635="Rob","Robusta",I635="Exc","Excelsa",I635="Ara","Arabica",I635="Lib","Liberica")</f>
        <v>Robusta</v>
      </c>
      <c r="O635" t="str" cm="1">
        <f t="array" ref="O635">_xlfn.IFS(J635="M","Midium",J635="L","Light",J635="D","Dark")</f>
        <v>Light</v>
      </c>
      <c r="P635" t="str">
        <f>_xlfn.XLOOKUP(Orders[[#This Row],[Customer ID]],customers!A:A,customers!I:I,,0)</f>
        <v>No</v>
      </c>
      <c r="Q635" t="str">
        <f>_xlfn.XLOOKUP(C636,customers!A:A,customers!B:B,"مش موجود")</f>
        <v>Lindy Uttermare</v>
      </c>
    </row>
    <row r="636" spans="1:17" x14ac:dyDescent="0.25">
      <c r="A636" s="2" t="s">
        <v>4068</v>
      </c>
      <c r="B636" s="3">
        <v>43940</v>
      </c>
      <c r="C636" s="2" t="s">
        <v>4069</v>
      </c>
      <c r="D636" t="s">
        <v>6162</v>
      </c>
      <c r="E636" s="2">
        <v>3</v>
      </c>
      <c r="F636" s="2" t="str">
        <f>_xlfn.XLOOKUP(Orders[[#This Row],[Customer ID]],customers!A:A,customers!B:B)</f>
        <v>Lindy Uttermare</v>
      </c>
      <c r="G636" s="2" t="str" cm="1">
        <f t="array" ref="G636">IF(_xlfn.XLOOKUP(C636,customers!A635:$A$1001,customers!C635:$C$1001,,0)=0,"",_xlfn.XLOOKUP(C636,customers!A635:$A$1001,customers!C635:$C$1001,,0))</f>
        <v>luttermarehm@engadget.com</v>
      </c>
      <c r="H636" s="2" t="str" cm="1">
        <f t="array" ref="H636">_xlfn.XLOOKUP(C636,customers!A635:$A$1001,customers!G635:$G$1001,"Ireland",0)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9"/>
        <v>43.650000000000006</v>
      </c>
      <c r="N636" t="str" cm="1">
        <f t="array" ref="N636">_xlfn.IFS(I636="Rob","Robusta",I636="Exc","Excelsa",I636="Ara","Arabica",I636="Lib","Liberica")</f>
        <v>Liberica</v>
      </c>
      <c r="O636" t="str" cm="1">
        <f t="array" ref="O636">_xlfn.IFS(J636="M","Midium",J636="L","Light",J636="D","Dark")</f>
        <v>Midium</v>
      </c>
      <c r="P636" t="str">
        <f>_xlfn.XLOOKUP(Orders[[#This Row],[Customer ID]],customers!A:A,customers!I:I,,0)</f>
        <v>No</v>
      </c>
      <c r="Q636" t="str">
        <f>_xlfn.XLOOKUP(C637,customers!A:A,customers!B:B,"مش موجود")</f>
        <v>Eal D'Ambrogio</v>
      </c>
    </row>
    <row r="637" spans="1:17" x14ac:dyDescent="0.25">
      <c r="A637" s="2" t="s">
        <v>4074</v>
      </c>
      <c r="B637" s="3">
        <v>44578</v>
      </c>
      <c r="C637" s="2" t="s">
        <v>4075</v>
      </c>
      <c r="D637" t="s">
        <v>6176</v>
      </c>
      <c r="E637" s="2">
        <v>4</v>
      </c>
      <c r="F637" s="2" t="str">
        <f>_xlfn.XLOOKUP(Orders[[#This Row],[Customer ID]],customers!A:A,customers!B:B)</f>
        <v>Eal D'Ambrogio</v>
      </c>
      <c r="G637" s="2" t="str" cm="1">
        <f t="array" ref="G637">IF(_xlfn.XLOOKUP(C637,customers!A636:$A$1001,customers!C636:$C$1001,,0)=0,"",_xlfn.XLOOKUP(C637,customers!A636:$A$1001,customers!C636:$C$1001,,0))</f>
        <v>edambrogiohn@techcrunch.com</v>
      </c>
      <c r="H637" s="2" t="str" cm="1">
        <f t="array" ref="H637">_xlfn.XLOOKUP(C637,customers!A636:$A$1001,customers!G636:$G$1001,"Ireland",0)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9"/>
        <v>35.64</v>
      </c>
      <c r="N637" t="str" cm="1">
        <f t="array" ref="N637">_xlfn.IFS(I637="Rob","Robusta",I637="Exc","Excelsa",I637="Ara","Arabica",I637="Lib","Liberica")</f>
        <v>Excelsa</v>
      </c>
      <c r="O637" t="str" cm="1">
        <f t="array" ref="O637">_xlfn.IFS(J637="M","Midium",J637="L","Light",J637="D","Dark")</f>
        <v>Light</v>
      </c>
      <c r="P637" t="str">
        <f>_xlfn.XLOOKUP(Orders[[#This Row],[Customer ID]],customers!A:A,customers!I:I,,0)</f>
        <v>Yes</v>
      </c>
      <c r="Q637" t="str">
        <f>_xlfn.XLOOKUP(C638,customers!A:A,customers!B:B,"مش موجود")</f>
        <v>Carolee Winchcombe</v>
      </c>
    </row>
    <row r="638" spans="1:17" x14ac:dyDescent="0.25">
      <c r="A638" s="2" t="s">
        <v>4080</v>
      </c>
      <c r="B638" s="3">
        <v>43487</v>
      </c>
      <c r="C638" s="2" t="s">
        <v>4081</v>
      </c>
      <c r="D638" t="s">
        <v>6170</v>
      </c>
      <c r="E638" s="2">
        <v>6</v>
      </c>
      <c r="F638" s="2" t="str">
        <f>_xlfn.XLOOKUP(Orders[[#This Row],[Customer ID]],customers!A:A,customers!B:B)</f>
        <v>Carolee Winchcombe</v>
      </c>
      <c r="G638" s="2" t="str" cm="1">
        <f t="array" ref="G638">IF(_xlfn.XLOOKUP(C638,customers!A637:$A$1001,customers!C637:$C$1001,,0)=0,"",_xlfn.XLOOKUP(C638,customers!A637:$A$1001,customers!C637:$C$1001,,0))</f>
        <v>cwinchcombeho@jiathis.com</v>
      </c>
      <c r="H638" s="2" t="str" cm="1">
        <f t="array" ref="H638">_xlfn.XLOOKUP(C638,customers!A637:$A$1001,customers!G637:$G$1001,"Ireland",0)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9"/>
        <v>95.1</v>
      </c>
      <c r="N638" t="str" cm="1">
        <f t="array" ref="N638">_xlfn.IFS(I638="Rob","Robusta",I638="Exc","Excelsa",I638="Ara","Arabica",I638="Lib","Liberica")</f>
        <v>Liberica</v>
      </c>
      <c r="O638" t="str" cm="1">
        <f t="array" ref="O638">_xlfn.IFS(J638="M","Midium",J638="L","Light",J638="D","Dark")</f>
        <v>Light</v>
      </c>
      <c r="P638" t="str">
        <f>_xlfn.XLOOKUP(Orders[[#This Row],[Customer ID]],customers!A:A,customers!I:I,,0)</f>
        <v>Yes</v>
      </c>
      <c r="Q638" t="str">
        <f>_xlfn.XLOOKUP(C639,customers!A:A,customers!B:B,"مش موجود")</f>
        <v>Benedikta Paumier</v>
      </c>
    </row>
    <row r="639" spans="1:17" x14ac:dyDescent="0.25">
      <c r="A639" s="2" t="s">
        <v>4086</v>
      </c>
      <c r="B639" s="3">
        <v>43889</v>
      </c>
      <c r="C639" s="2" t="s">
        <v>4087</v>
      </c>
      <c r="D639" t="s">
        <v>6166</v>
      </c>
      <c r="E639" s="2">
        <v>1</v>
      </c>
      <c r="F639" s="2" t="str">
        <f>_xlfn.XLOOKUP(Orders[[#This Row],[Customer ID]],customers!A:A,customers!B:B)</f>
        <v>Benedikta Paumier</v>
      </c>
      <c r="G639" s="2" t="str" cm="1">
        <f t="array" ref="G639">IF(_xlfn.XLOOKUP(C639,customers!A638:$A$1001,customers!C638:$C$1001,,0)=0,"",_xlfn.XLOOKUP(C639,customers!A638:$A$1001,customers!C638:$C$1001,,0))</f>
        <v>bpaumierhp@umn.edu</v>
      </c>
      <c r="H639" s="2" t="str" cm="1">
        <f t="array" ref="H639">_xlfn.XLOOKUP(C639,customers!A638:$A$1001,customers!G638:$G$1001,"Ireland",0)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9"/>
        <v>31.624999999999996</v>
      </c>
      <c r="N639" t="str" cm="1">
        <f t="array" ref="N639">_xlfn.IFS(I639="Rob","Robusta",I639="Exc","Excelsa",I639="Ara","Arabica",I639="Lib","Liberica")</f>
        <v>Excelsa</v>
      </c>
      <c r="O639" t="str" cm="1">
        <f t="array" ref="O639">_xlfn.IFS(J639="M","Midium",J639="L","Light",J639="D","Dark")</f>
        <v>Midium</v>
      </c>
      <c r="P639" t="str">
        <f>_xlfn.XLOOKUP(Orders[[#This Row],[Customer ID]],customers!A:A,customers!I:I,,0)</f>
        <v>Yes</v>
      </c>
      <c r="Q639" t="str">
        <f>_xlfn.XLOOKUP(C640,customers!A:A,customers!B:B,"مش موجود")</f>
        <v>Neville Piatto</v>
      </c>
    </row>
    <row r="640" spans="1:17" x14ac:dyDescent="0.25">
      <c r="A640" s="2" t="s">
        <v>4093</v>
      </c>
      <c r="B640" s="3">
        <v>43684</v>
      </c>
      <c r="C640" s="2" t="s">
        <v>4094</v>
      </c>
      <c r="D640" t="s">
        <v>6175</v>
      </c>
      <c r="E640" s="2">
        <v>3</v>
      </c>
      <c r="F640" s="2" t="str">
        <f>_xlfn.XLOOKUP(Orders[[#This Row],[Customer ID]],customers!A:A,customers!B:B)</f>
        <v>Neville Piatto</v>
      </c>
      <c r="G640" s="2" t="str" cm="1">
        <f t="array" ref="G640">IF(_xlfn.XLOOKUP(C640,customers!A639:$A$1001,customers!C639:$C$1001,,0)=0,"",_xlfn.XLOOKUP(C640,customers!A639:$A$1001,customers!C639:$C$1001,,0))</f>
        <v/>
      </c>
      <c r="H640" s="2" t="str" cm="1">
        <f t="array" ref="H640">_xlfn.XLOOKUP(C640,customers!A639:$A$1001,customers!G639:$G$1001,"Ireland",0)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9"/>
        <v>77.624999999999986</v>
      </c>
      <c r="N640" t="str" cm="1">
        <f t="array" ref="N640">_xlfn.IFS(I640="Rob","Robusta",I640="Exc","Excelsa",I640="Ara","Arabica",I640="Lib","Liberica")</f>
        <v>Arabica</v>
      </c>
      <c r="O640" t="str" cm="1">
        <f t="array" ref="O640">_xlfn.IFS(J640="M","Midium",J640="L","Light",J640="D","Dark")</f>
        <v>Midium</v>
      </c>
      <c r="P640" t="str">
        <f>_xlfn.XLOOKUP(Orders[[#This Row],[Customer ID]],customers!A:A,customers!I:I,,0)</f>
        <v>Yes</v>
      </c>
      <c r="Q640" t="str">
        <f>_xlfn.XLOOKUP(C641,customers!A:A,customers!B:B,"مش موجود")</f>
        <v>Jeno Capey</v>
      </c>
    </row>
    <row r="641" spans="1:17" x14ac:dyDescent="0.25">
      <c r="A641" s="2" t="s">
        <v>4098</v>
      </c>
      <c r="B641" s="3">
        <v>44331</v>
      </c>
      <c r="C641" s="2" t="s">
        <v>4099</v>
      </c>
      <c r="D641" t="s">
        <v>6150</v>
      </c>
      <c r="E641" s="2">
        <v>1</v>
      </c>
      <c r="F641" s="2" t="str">
        <f>_xlfn.XLOOKUP(Orders[[#This Row],[Customer ID]],customers!A:A,customers!B:B)</f>
        <v>Jeno Capey</v>
      </c>
      <c r="G641" s="2" t="str" cm="1">
        <f t="array" ref="G641">IF(_xlfn.XLOOKUP(C641,customers!A640:$A$1001,customers!C640:$C$1001,,0)=0,"",_xlfn.XLOOKUP(C641,customers!A640:$A$1001,customers!C640:$C$1001,,0))</f>
        <v>jcapeyhr@bravesites.com</v>
      </c>
      <c r="H641" s="2" t="str" cm="1">
        <f t="array" ref="H641">_xlfn.XLOOKUP(C641,customers!A640:$A$1001,customers!G640:$G$1001,"Ireland",0)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9"/>
        <v>3.8849999999999998</v>
      </c>
      <c r="N641" t="str" cm="1">
        <f t="array" ref="N641">_xlfn.IFS(I641="Rob","Robusta",I641="Exc","Excelsa",I641="Ara","Arabica",I641="Lib","Liberica")</f>
        <v>Liberica</v>
      </c>
      <c r="O641" t="str" cm="1">
        <f t="array" ref="O641">_xlfn.IFS(J641="M","Midium",J641="L","Light",J641="D","Dark")</f>
        <v>Dark</v>
      </c>
      <c r="P641" t="str">
        <f>_xlfn.XLOOKUP(Orders[[#This Row],[Customer ID]],customers!A:A,customers!I:I,,0)</f>
        <v>Yes</v>
      </c>
      <c r="Q641" t="str">
        <f>_xlfn.XLOOKUP(C642,customers!A:A,customers!B:B,"مش موجود")</f>
        <v>Tuckie Mathonnet</v>
      </c>
    </row>
    <row r="642" spans="1:17" x14ac:dyDescent="0.25">
      <c r="A642" s="2" t="s">
        <v>4104</v>
      </c>
      <c r="B642" s="3">
        <v>44547</v>
      </c>
      <c r="C642" s="2" t="s">
        <v>4152</v>
      </c>
      <c r="D642" t="s">
        <v>6142</v>
      </c>
      <c r="E642" s="2">
        <v>5</v>
      </c>
      <c r="F642" s="2" t="str">
        <f>_xlfn.XLOOKUP(Orders[[#This Row],[Customer ID]],customers!A:A,customers!B:B)</f>
        <v>Tuckie Mathonnet</v>
      </c>
      <c r="G642" s="2" t="str" cm="1">
        <f t="array" ref="G642">IF(_xlfn.XLOOKUP(C642,customers!A641:$A$1001,customers!C641:$C$1001,,0)=0,"",_xlfn.XLOOKUP(C642,customers!A641:$A$1001,customers!C641:$C$1001,,0))</f>
        <v>tmathonneti0@google.co.jp</v>
      </c>
      <c r="H642" s="2" t="str" cm="1">
        <f t="array" ref="H642">_xlfn.XLOOKUP(C642,customers!A641:$A$1001,customers!G641:$G$1001,"Ireland",0)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9"/>
        <v>137.42499999999998</v>
      </c>
      <c r="N642" t="str" cm="1">
        <f t="array" ref="N642">_xlfn.IFS(I642="Rob","Robusta",I642="Exc","Excelsa",I642="Ara","Arabica",I642="Lib","Liberica")</f>
        <v>Robusta</v>
      </c>
      <c r="O642" t="str" cm="1">
        <f t="array" ref="O642">_xlfn.IFS(J642="M","Midium",J642="L","Light",J642="D","Dark")</f>
        <v>Light</v>
      </c>
      <c r="P642" t="str">
        <f>_xlfn.XLOOKUP(Orders[[#This Row],[Customer ID]],customers!A:A,customers!I:I,,0)</f>
        <v>No</v>
      </c>
      <c r="Q642" t="str">
        <f>_xlfn.XLOOKUP(C643,customers!A:A,customers!B:B,"مش موجود")</f>
        <v>Yardley Basill</v>
      </c>
    </row>
    <row r="643" spans="1:17" x14ac:dyDescent="0.25">
      <c r="A643" s="2" t="s">
        <v>4109</v>
      </c>
      <c r="B643" s="3">
        <v>44448</v>
      </c>
      <c r="C643" s="2" t="s">
        <v>4110</v>
      </c>
      <c r="D643" t="s">
        <v>6179</v>
      </c>
      <c r="E643" s="2">
        <v>3</v>
      </c>
      <c r="F643" s="2" t="str">
        <f>_xlfn.XLOOKUP(Orders[[#This Row],[Customer ID]],customers!A:A,customers!B:B)</f>
        <v>Yardley Basill</v>
      </c>
      <c r="G643" s="2" t="str" cm="1">
        <f t="array" ref="G643">IF(_xlfn.XLOOKUP(C643,customers!A642:$A$1001,customers!C642:$C$1001,,0)=0,"",_xlfn.XLOOKUP(C643,customers!A642:$A$1001,customers!C642:$C$1001,,0))</f>
        <v>ybasillht@theguardian.com</v>
      </c>
      <c r="H643" s="2" t="str" cm="1">
        <f t="array" ref="H643">_xlfn.XLOOKUP(C643,customers!A642:$A$1001,customers!G642:$G$1001,"Ireland",0)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10">L643*E643</f>
        <v>35.849999999999994</v>
      </c>
      <c r="N643" t="str" cm="1">
        <f t="array" ref="N643">_xlfn.IFS(I643="Rob","Robusta",I643="Exc","Excelsa",I643="Ara","Arabica",I643="Lib","Liberica")</f>
        <v>Robusta</v>
      </c>
      <c r="O643" t="str" cm="1">
        <f t="array" ref="O643">_xlfn.IFS(J643="M","Midium",J643="L","Light",J643="D","Dark")</f>
        <v>Light</v>
      </c>
      <c r="P643" t="str">
        <f>_xlfn.XLOOKUP(Orders[[#This Row],[Customer ID]],customers!A:A,customers!I:I,,0)</f>
        <v>Yes</v>
      </c>
      <c r="Q643" t="str">
        <f>_xlfn.XLOOKUP(C644,customers!A:A,customers!B:B,"مش موجود")</f>
        <v>Maggy Baistow</v>
      </c>
    </row>
    <row r="644" spans="1:17" x14ac:dyDescent="0.25">
      <c r="A644" s="2" t="s">
        <v>4115</v>
      </c>
      <c r="B644" s="3">
        <v>43880</v>
      </c>
      <c r="C644" s="2" t="s">
        <v>4116</v>
      </c>
      <c r="D644" t="s">
        <v>6156</v>
      </c>
      <c r="E644" s="2">
        <v>2</v>
      </c>
      <c r="F644" s="2" t="str">
        <f>_xlfn.XLOOKUP(Orders[[#This Row],[Customer ID]],customers!A:A,customers!B:B)</f>
        <v>Maggy Baistow</v>
      </c>
      <c r="G644" s="2" t="str" cm="1">
        <f t="array" ref="G644">IF(_xlfn.XLOOKUP(C644,customers!A643:$A$1001,customers!C643:$C$1001,,0)=0,"",_xlfn.XLOOKUP(C644,customers!A643:$A$1001,customers!C643:$C$1001,,0))</f>
        <v>mbaistowhu@i2i.jp</v>
      </c>
      <c r="H644" s="2" t="str" cm="1">
        <f t="array" ref="H644">_xlfn.XLOOKUP(C644,customers!A643:$A$1001,customers!G643:$G$1001,"Ireland",0)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10"/>
        <v>8.25</v>
      </c>
      <c r="N644" t="str" cm="1">
        <f t="array" ref="N644">_xlfn.IFS(I644="Rob","Robusta",I644="Exc","Excelsa",I644="Ara","Arabica",I644="Lib","Liberica")</f>
        <v>Excelsa</v>
      </c>
      <c r="O644" t="str" cm="1">
        <f t="array" ref="O644">_xlfn.IFS(J644="M","Midium",J644="L","Light",J644="D","Dark")</f>
        <v>Midium</v>
      </c>
      <c r="P644" t="str">
        <f>_xlfn.XLOOKUP(Orders[[#This Row],[Customer ID]],customers!A:A,customers!I:I,,0)</f>
        <v>Yes</v>
      </c>
      <c r="Q644" t="str">
        <f>_xlfn.XLOOKUP(C645,customers!A:A,customers!B:B,"مش موجود")</f>
        <v>Courtney Pallant</v>
      </c>
    </row>
    <row r="645" spans="1:17" x14ac:dyDescent="0.25">
      <c r="A645" s="2" t="s">
        <v>4123</v>
      </c>
      <c r="B645" s="3">
        <v>44011</v>
      </c>
      <c r="C645" s="2" t="s">
        <v>4124</v>
      </c>
      <c r="D645" t="s">
        <v>6148</v>
      </c>
      <c r="E645" s="2">
        <v>3</v>
      </c>
      <c r="F645" s="2" t="str">
        <f>_xlfn.XLOOKUP(Orders[[#This Row],[Customer ID]],customers!A:A,customers!B:B)</f>
        <v>Courtney Pallant</v>
      </c>
      <c r="G645" s="2" t="str" cm="1">
        <f t="array" ref="G645">IF(_xlfn.XLOOKUP(C645,customers!A644:$A$1001,customers!C644:$C$1001,,0)=0,"",_xlfn.XLOOKUP(C645,customers!A644:$A$1001,customers!C644:$C$1001,,0))</f>
        <v>cpallanthv@typepad.com</v>
      </c>
      <c r="H645" s="2" t="str" cm="1">
        <f t="array" ref="H645">_xlfn.XLOOKUP(C645,customers!A644:$A$1001,customers!G644:$G$1001,"Ireland",0)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10"/>
        <v>102.46499999999997</v>
      </c>
      <c r="N645" t="str" cm="1">
        <f t="array" ref="N645">_xlfn.IFS(I645="Rob","Robusta",I645="Exc","Excelsa",I645="Ara","Arabica",I645="Lib","Liberica")</f>
        <v>Excelsa</v>
      </c>
      <c r="O645" t="str" cm="1">
        <f t="array" ref="O645">_xlfn.IFS(J645="M","Midium",J645="L","Light",J645="D","Dark")</f>
        <v>Light</v>
      </c>
      <c r="P645" t="str">
        <f>_xlfn.XLOOKUP(Orders[[#This Row],[Customer ID]],customers!A:A,customers!I:I,,0)</f>
        <v>Yes</v>
      </c>
      <c r="Q645" t="str">
        <f>_xlfn.XLOOKUP(C646,customers!A:A,customers!B:B,"مش موجود")</f>
        <v>Marne Mingey</v>
      </c>
    </row>
    <row r="646" spans="1:17" x14ac:dyDescent="0.25">
      <c r="A646" s="2" t="s">
        <v>4128</v>
      </c>
      <c r="B646" s="3">
        <v>44694</v>
      </c>
      <c r="C646" s="2" t="s">
        <v>4129</v>
      </c>
      <c r="D646" t="s">
        <v>6149</v>
      </c>
      <c r="E646" s="2">
        <v>2</v>
      </c>
      <c r="F646" s="2" t="str">
        <f>_xlfn.XLOOKUP(Orders[[#This Row],[Customer ID]],customers!A:A,customers!B:B)</f>
        <v>Marne Mingey</v>
      </c>
      <c r="G646" s="2" t="str" cm="1">
        <f t="array" ref="G646">IF(_xlfn.XLOOKUP(C646,customers!A645:$A$1001,customers!C645:$C$1001,,0)=0,"",_xlfn.XLOOKUP(C646,customers!A645:$A$1001,customers!C645:$C$1001,,0))</f>
        <v/>
      </c>
      <c r="H646" s="2" t="str" cm="1">
        <f t="array" ref="H646">_xlfn.XLOOKUP(C646,customers!A645:$A$1001,customers!G645:$G$1001,"Ireland",0)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10"/>
        <v>41.169999999999995</v>
      </c>
      <c r="N646" t="str" cm="1">
        <f t="array" ref="N646">_xlfn.IFS(I646="Rob","Robusta",I646="Exc","Excelsa",I646="Ara","Arabica",I646="Lib","Liberica")</f>
        <v>Robusta</v>
      </c>
      <c r="O646" t="str" cm="1">
        <f t="array" ref="O646">_xlfn.IFS(J646="M","Midium",J646="L","Light",J646="D","Dark")</f>
        <v>Dark</v>
      </c>
      <c r="P646" t="str">
        <f>_xlfn.XLOOKUP(Orders[[#This Row],[Customer ID]],customers!A:A,customers!I:I,,0)</f>
        <v>No</v>
      </c>
      <c r="Q646" t="str">
        <f>_xlfn.XLOOKUP(C647,customers!A:A,customers!B:B,"مش موجود")</f>
        <v>Denny O' Ronan</v>
      </c>
    </row>
    <row r="647" spans="1:17" x14ac:dyDescent="0.25">
      <c r="A647" s="2" t="s">
        <v>4133</v>
      </c>
      <c r="B647" s="3">
        <v>44106</v>
      </c>
      <c r="C647" s="2" t="s">
        <v>4134</v>
      </c>
      <c r="D647" t="s">
        <v>6168</v>
      </c>
      <c r="E647" s="2">
        <v>3</v>
      </c>
      <c r="F647" s="2" t="str">
        <f>_xlfn.XLOOKUP(Orders[[#This Row],[Customer ID]],customers!A:A,customers!B:B)</f>
        <v>Denny O' Ronan</v>
      </c>
      <c r="G647" s="2" t="str" cm="1">
        <f t="array" ref="G647">IF(_xlfn.XLOOKUP(C647,customers!A646:$A$1001,customers!C646:$C$1001,,0)=0,"",_xlfn.XLOOKUP(C647,customers!A646:$A$1001,customers!C646:$C$1001,,0))</f>
        <v>dohx@redcross.org</v>
      </c>
      <c r="H647" s="2" t="str" cm="1">
        <f t="array" ref="H647">_xlfn.XLOOKUP(C647,customers!A646:$A$1001,customers!G646:$G$1001,"Ireland",0)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10"/>
        <v>68.655000000000001</v>
      </c>
      <c r="N647" t="str" cm="1">
        <f t="array" ref="N647">_xlfn.IFS(I647="Rob","Robusta",I647="Exc","Excelsa",I647="Ara","Arabica",I647="Lib","Liberica")</f>
        <v>Arabica</v>
      </c>
      <c r="O647" t="str" cm="1">
        <f t="array" ref="O647">_xlfn.IFS(J647="M","Midium",J647="L","Light",J647="D","Dark")</f>
        <v>Dark</v>
      </c>
      <c r="P647" t="str">
        <f>_xlfn.XLOOKUP(Orders[[#This Row],[Customer ID]],customers!A:A,customers!I:I,,0)</f>
        <v>Yes</v>
      </c>
      <c r="Q647" t="str">
        <f>_xlfn.XLOOKUP(C648,customers!A:A,customers!B:B,"مش موجود")</f>
        <v>Dottie Rallin</v>
      </c>
    </row>
    <row r="648" spans="1:17" x14ac:dyDescent="0.25">
      <c r="A648" s="2" t="s">
        <v>4139</v>
      </c>
      <c r="B648" s="3">
        <v>44532</v>
      </c>
      <c r="C648" s="2" t="s">
        <v>4140</v>
      </c>
      <c r="D648" t="s">
        <v>6147</v>
      </c>
      <c r="E648" s="2">
        <v>1</v>
      </c>
      <c r="F648" s="2" t="str">
        <f>_xlfn.XLOOKUP(Orders[[#This Row],[Customer ID]],customers!A:A,customers!B:B)</f>
        <v>Dottie Rallin</v>
      </c>
      <c r="G648" s="2" t="str" cm="1">
        <f t="array" ref="G648">IF(_xlfn.XLOOKUP(C648,customers!A647:$A$1001,customers!C647:$C$1001,,0)=0,"",_xlfn.XLOOKUP(C648,customers!A647:$A$1001,customers!C647:$C$1001,,0))</f>
        <v>drallinhy@howstuffworks.com</v>
      </c>
      <c r="H648" s="2" t="str" cm="1">
        <f t="array" ref="H648">_xlfn.XLOOKUP(C648,customers!A647:$A$1001,customers!G647:$G$1001,"Ireland",0)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10"/>
        <v>9.9499999999999993</v>
      </c>
      <c r="N648" t="str" cm="1">
        <f t="array" ref="N648">_xlfn.IFS(I648="Rob","Robusta",I648="Exc","Excelsa",I648="Ara","Arabica",I648="Lib","Liberica")</f>
        <v>Arabica</v>
      </c>
      <c r="O648" t="str" cm="1">
        <f t="array" ref="O648">_xlfn.IFS(J648="M","Midium",J648="L","Light",J648="D","Dark")</f>
        <v>Dark</v>
      </c>
      <c r="P648" t="str">
        <f>_xlfn.XLOOKUP(Orders[[#This Row],[Customer ID]],customers!A:A,customers!I:I,,0)</f>
        <v>Yes</v>
      </c>
      <c r="Q648" t="str">
        <f>_xlfn.XLOOKUP(C649,customers!A:A,customers!B:B,"مش موجود")</f>
        <v>Ardith Chill</v>
      </c>
    </row>
    <row r="649" spans="1:17" x14ac:dyDescent="0.25">
      <c r="A649" s="2" t="s">
        <v>4145</v>
      </c>
      <c r="B649" s="3">
        <v>44502</v>
      </c>
      <c r="C649" s="2" t="s">
        <v>4146</v>
      </c>
      <c r="D649" t="s">
        <v>6161</v>
      </c>
      <c r="E649" s="2">
        <v>3</v>
      </c>
      <c r="F649" s="2" t="str">
        <f>_xlfn.XLOOKUP(Orders[[#This Row],[Customer ID]],customers!A:A,customers!B:B)</f>
        <v>Ardith Chill</v>
      </c>
      <c r="G649" s="2" t="str" cm="1">
        <f t="array" ref="G649">IF(_xlfn.XLOOKUP(C649,customers!A648:$A$1001,customers!C648:$C$1001,,0)=0,"",_xlfn.XLOOKUP(C649,customers!A648:$A$1001,customers!C648:$C$1001,,0))</f>
        <v>achillhz@epa.gov</v>
      </c>
      <c r="H649" s="2" t="str" cm="1">
        <f t="array" ref="H649">_xlfn.XLOOKUP(C649,customers!A648:$A$1001,customers!G648:$G$1001,"Ireland",0)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10"/>
        <v>28.53</v>
      </c>
      <c r="N649" t="str" cm="1">
        <f t="array" ref="N649">_xlfn.IFS(I649="Rob","Robusta",I649="Exc","Excelsa",I649="Ara","Arabica",I649="Lib","Liberica")</f>
        <v>Liberica</v>
      </c>
      <c r="O649" t="str" cm="1">
        <f t="array" ref="O649">_xlfn.IFS(J649="M","Midium",J649="L","Light",J649="D","Dark")</f>
        <v>Light</v>
      </c>
      <c r="P649" t="str">
        <f>_xlfn.XLOOKUP(Orders[[#This Row],[Customer ID]],customers!A:A,customers!I:I,,0)</f>
        <v>Yes</v>
      </c>
      <c r="Q649" t="str">
        <f>_xlfn.XLOOKUP(C650,customers!A:A,customers!B:B,"مش موجود")</f>
        <v>Tuckie Mathonnet</v>
      </c>
    </row>
    <row r="650" spans="1:17" x14ac:dyDescent="0.25">
      <c r="A650" s="2" t="s">
        <v>4151</v>
      </c>
      <c r="B650" s="3">
        <v>43884</v>
      </c>
      <c r="C650" s="2" t="s">
        <v>4152</v>
      </c>
      <c r="D650" t="s">
        <v>6163</v>
      </c>
      <c r="E650" s="2">
        <v>6</v>
      </c>
      <c r="F650" s="2" t="str">
        <f>_xlfn.XLOOKUP(Orders[[#This Row],[Customer ID]],customers!A:A,customers!B:B)</f>
        <v>Tuckie Mathonnet</v>
      </c>
      <c r="G650" s="2" t="str" cm="1">
        <f t="array" ref="G650">IF(_xlfn.XLOOKUP(C650,customers!A649:$A$1001,customers!C649:$C$1001,,0)=0,"",_xlfn.XLOOKUP(C650,customers!A649:$A$1001,customers!C649:$C$1001,,0))</f>
        <v>tmathonneti0@google.co.jp</v>
      </c>
      <c r="H650" s="2" t="str" cm="1">
        <f t="array" ref="H650">_xlfn.XLOOKUP(C650,customers!A649:$A$1001,customers!G649:$G$1001,"Ireland",0)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10"/>
        <v>16.11</v>
      </c>
      <c r="N650" t="str" cm="1">
        <f t="array" ref="N650">_xlfn.IFS(I650="Rob","Robusta",I650="Exc","Excelsa",I650="Ara","Arabica",I650="Lib","Liberica")</f>
        <v>Robusta</v>
      </c>
      <c r="O650" t="str" cm="1">
        <f t="array" ref="O650">_xlfn.IFS(J650="M","Midium",J650="L","Light",J650="D","Dark")</f>
        <v>Dark</v>
      </c>
      <c r="P650" t="str">
        <f>_xlfn.XLOOKUP(Orders[[#This Row],[Customer ID]],customers!A:A,customers!I:I,,0)</f>
        <v>No</v>
      </c>
      <c r="Q650" t="str">
        <f>_xlfn.XLOOKUP(C651,customers!A:A,customers!B:B,"مش موجود")</f>
        <v>Charmane Denys</v>
      </c>
    </row>
    <row r="651" spans="1:17" x14ac:dyDescent="0.25">
      <c r="A651" s="2" t="s">
        <v>4157</v>
      </c>
      <c r="B651" s="3">
        <v>44015</v>
      </c>
      <c r="C651" s="2" t="s">
        <v>4158</v>
      </c>
      <c r="D651" t="s">
        <v>6170</v>
      </c>
      <c r="E651" s="2">
        <v>6</v>
      </c>
      <c r="F651" s="2" t="str">
        <f>_xlfn.XLOOKUP(Orders[[#This Row],[Customer ID]],customers!A:A,customers!B:B)</f>
        <v>Charmane Denys</v>
      </c>
      <c r="G651" s="2" t="str" cm="1">
        <f t="array" ref="G651">IF(_xlfn.XLOOKUP(C651,customers!A650:$A$1001,customers!C650:$C$1001,,0)=0,"",_xlfn.XLOOKUP(C651,customers!A650:$A$1001,customers!C650:$C$1001,,0))</f>
        <v>cdenysi1@is.gd</v>
      </c>
      <c r="H651" s="2" t="str" cm="1">
        <f t="array" ref="H651">_xlfn.XLOOKUP(C651,customers!A650:$A$1001,customers!G650:$G$1001,"Ireland",0)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10"/>
        <v>95.1</v>
      </c>
      <c r="N651" t="str" cm="1">
        <f t="array" ref="N651">_xlfn.IFS(I651="Rob","Robusta",I651="Exc","Excelsa",I651="Ara","Arabica",I651="Lib","Liberica")</f>
        <v>Liberica</v>
      </c>
      <c r="O651" t="str" cm="1">
        <f t="array" ref="O651">_xlfn.IFS(J651="M","Midium",J651="L","Light",J651="D","Dark")</f>
        <v>Light</v>
      </c>
      <c r="P651" t="str">
        <f>_xlfn.XLOOKUP(Orders[[#This Row],[Customer ID]],customers!A:A,customers!I:I,,0)</f>
        <v>No</v>
      </c>
      <c r="Q651" t="str">
        <f>_xlfn.XLOOKUP(C652,customers!A:A,customers!B:B,"مش موجود")</f>
        <v>Cecily Stebbings</v>
      </c>
    </row>
    <row r="652" spans="1:17" x14ac:dyDescent="0.25">
      <c r="A652" s="2" t="s">
        <v>4163</v>
      </c>
      <c r="B652" s="3">
        <v>43507</v>
      </c>
      <c r="C652" s="2" t="s">
        <v>4164</v>
      </c>
      <c r="D652" t="s">
        <v>6172</v>
      </c>
      <c r="E652" s="2">
        <v>1</v>
      </c>
      <c r="F652" s="2" t="str">
        <f>_xlfn.XLOOKUP(Orders[[#This Row],[Customer ID]],customers!A:A,customers!B:B)</f>
        <v>Cecily Stebbings</v>
      </c>
      <c r="G652" s="2" t="str" cm="1">
        <f t="array" ref="G652">IF(_xlfn.XLOOKUP(C652,customers!A651:$A$1001,customers!C651:$C$1001,,0)=0,"",_xlfn.XLOOKUP(C652,customers!A651:$A$1001,customers!C651:$C$1001,,0))</f>
        <v>cstebbingsi2@drupal.org</v>
      </c>
      <c r="H652" s="2" t="str" cm="1">
        <f t="array" ref="H652">_xlfn.XLOOKUP(C652,customers!A651:$A$1001,customers!G651:$G$1001,"Ireland",0)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10"/>
        <v>5.3699999999999992</v>
      </c>
      <c r="N652" t="str" cm="1">
        <f t="array" ref="N652">_xlfn.IFS(I652="Rob","Robusta",I652="Exc","Excelsa",I652="Ara","Arabica",I652="Lib","Liberica")</f>
        <v>Robusta</v>
      </c>
      <c r="O652" t="str" cm="1">
        <f t="array" ref="O652">_xlfn.IFS(J652="M","Midium",J652="L","Light",J652="D","Dark")</f>
        <v>Dark</v>
      </c>
      <c r="P652" t="str">
        <f>_xlfn.XLOOKUP(Orders[[#This Row],[Customer ID]],customers!A:A,customers!I:I,,0)</f>
        <v>Yes</v>
      </c>
      <c r="Q652" t="str">
        <f>_xlfn.XLOOKUP(C653,customers!A:A,customers!B:B,"مش موجود")</f>
        <v>Giana Tonnesen</v>
      </c>
    </row>
    <row r="653" spans="1:17" x14ac:dyDescent="0.25">
      <c r="A653" s="2" t="s">
        <v>4169</v>
      </c>
      <c r="B653" s="3">
        <v>44084</v>
      </c>
      <c r="C653" s="2" t="s">
        <v>4170</v>
      </c>
      <c r="D653" t="s">
        <v>6179</v>
      </c>
      <c r="E653" s="2">
        <v>4</v>
      </c>
      <c r="F653" s="2" t="str">
        <f>_xlfn.XLOOKUP(Orders[[#This Row],[Customer ID]],customers!A:A,customers!B:B)</f>
        <v>Giana Tonnesen</v>
      </c>
      <c r="G653" s="2" t="str" cm="1">
        <f t="array" ref="G653">IF(_xlfn.XLOOKUP(C653,customers!A652:$A$1001,customers!C652:$C$1001,,0)=0,"",_xlfn.XLOOKUP(C653,customers!A652:$A$1001,customers!C652:$C$1001,,0))</f>
        <v/>
      </c>
      <c r="H653" s="2" t="str" cm="1">
        <f t="array" ref="H653">_xlfn.XLOOKUP(C653,customers!A652:$A$1001,customers!G652:$G$1001,"Ireland",0)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10"/>
        <v>47.8</v>
      </c>
      <c r="N653" t="str" cm="1">
        <f t="array" ref="N653">_xlfn.IFS(I653="Rob","Robusta",I653="Exc","Excelsa",I653="Ara","Arabica",I653="Lib","Liberica")</f>
        <v>Robusta</v>
      </c>
      <c r="O653" t="str" cm="1">
        <f t="array" ref="O653">_xlfn.IFS(J653="M","Midium",J653="L","Light",J653="D","Dark")</f>
        <v>Light</v>
      </c>
      <c r="P653" t="str">
        <f>_xlfn.XLOOKUP(Orders[[#This Row],[Customer ID]],customers!A:A,customers!I:I,,0)</f>
        <v>No</v>
      </c>
      <c r="Q653" t="str">
        <f>_xlfn.XLOOKUP(C654,customers!A:A,customers!B:B,"مش موجود")</f>
        <v>Rhetta Zywicki</v>
      </c>
    </row>
    <row r="654" spans="1:17" x14ac:dyDescent="0.25">
      <c r="A654" s="2" t="s">
        <v>4174</v>
      </c>
      <c r="B654" s="3">
        <v>43892</v>
      </c>
      <c r="C654" s="2" t="s">
        <v>4175</v>
      </c>
      <c r="D654" t="s">
        <v>6170</v>
      </c>
      <c r="E654" s="2">
        <v>4</v>
      </c>
      <c r="F654" s="2" t="str">
        <f>_xlfn.XLOOKUP(Orders[[#This Row],[Customer ID]],customers!A:A,customers!B:B)</f>
        <v>Rhetta Zywicki</v>
      </c>
      <c r="G654" s="2" t="str" cm="1">
        <f t="array" ref="G654">IF(_xlfn.XLOOKUP(C654,customers!A653:$A$1001,customers!C653:$C$1001,,0)=0,"",_xlfn.XLOOKUP(C654,customers!A653:$A$1001,customers!C653:$C$1001,,0))</f>
        <v>rzywickii4@ifeng.com</v>
      </c>
      <c r="H654" s="2" t="str" cm="1">
        <f t="array" ref="H654">_xlfn.XLOOKUP(C654,customers!A653:$A$1001,customers!G653:$G$1001,"Ireland",0)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10"/>
        <v>63.4</v>
      </c>
      <c r="N654" t="str" cm="1">
        <f t="array" ref="N654">_xlfn.IFS(I654="Rob","Robusta",I654="Exc","Excelsa",I654="Ara","Arabica",I654="Lib","Liberica")</f>
        <v>Liberica</v>
      </c>
      <c r="O654" t="str" cm="1">
        <f t="array" ref="O654">_xlfn.IFS(J654="M","Midium",J654="L","Light",J654="D","Dark")</f>
        <v>Light</v>
      </c>
      <c r="P654" t="str">
        <f>_xlfn.XLOOKUP(Orders[[#This Row],[Customer ID]],customers!A:A,customers!I:I,,0)</f>
        <v>No</v>
      </c>
      <c r="Q654" t="str">
        <f>_xlfn.XLOOKUP(C655,customers!A:A,customers!B:B,"مش موجود")</f>
        <v>Almeria Burgett</v>
      </c>
    </row>
    <row r="655" spans="1:17" x14ac:dyDescent="0.25">
      <c r="A655" s="2" t="s">
        <v>4179</v>
      </c>
      <c r="B655" s="3">
        <v>44375</v>
      </c>
      <c r="C655" s="2" t="s">
        <v>4180</v>
      </c>
      <c r="D655" t="s">
        <v>6175</v>
      </c>
      <c r="E655" s="2">
        <v>4</v>
      </c>
      <c r="F655" s="2" t="str">
        <f>_xlfn.XLOOKUP(Orders[[#This Row],[Customer ID]],customers!A:A,customers!B:B)</f>
        <v>Almeria Burgett</v>
      </c>
      <c r="G655" s="2" t="str" cm="1">
        <f t="array" ref="G655">IF(_xlfn.XLOOKUP(C655,customers!A654:$A$1001,customers!C654:$C$1001,,0)=0,"",_xlfn.XLOOKUP(C655,customers!A654:$A$1001,customers!C654:$C$1001,,0))</f>
        <v>aburgetti5@moonfruit.com</v>
      </c>
      <c r="H655" s="2" t="str" cm="1">
        <f t="array" ref="H655">_xlfn.XLOOKUP(C655,customers!A654:$A$1001,customers!G654:$G$1001,"Ireland",0)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10"/>
        <v>103.49999999999999</v>
      </c>
      <c r="N655" t="str" cm="1">
        <f t="array" ref="N655">_xlfn.IFS(I655="Rob","Robusta",I655="Exc","Excelsa",I655="Ara","Arabica",I655="Lib","Liberica")</f>
        <v>Arabica</v>
      </c>
      <c r="O655" t="str" cm="1">
        <f t="array" ref="O655">_xlfn.IFS(J655="M","Midium",J655="L","Light",J655="D","Dark")</f>
        <v>Midium</v>
      </c>
      <c r="P655" t="str">
        <f>_xlfn.XLOOKUP(Orders[[#This Row],[Customer ID]],customers!A:A,customers!I:I,,0)</f>
        <v>No</v>
      </c>
      <c r="Q655" t="str">
        <f>_xlfn.XLOOKUP(C656,customers!A:A,customers!B:B,"مش موجود")</f>
        <v>Marvin Malloy</v>
      </c>
    </row>
    <row r="656" spans="1:17" x14ac:dyDescent="0.25">
      <c r="A656" s="2" t="s">
        <v>4185</v>
      </c>
      <c r="B656" s="3">
        <v>43476</v>
      </c>
      <c r="C656" s="2" t="s">
        <v>4186</v>
      </c>
      <c r="D656" t="s">
        <v>6168</v>
      </c>
      <c r="E656" s="2">
        <v>3</v>
      </c>
      <c r="F656" s="2" t="str">
        <f>_xlfn.XLOOKUP(Orders[[#This Row],[Customer ID]],customers!A:A,customers!B:B)</f>
        <v>Marvin Malloy</v>
      </c>
      <c r="G656" s="2" t="str" cm="1">
        <f t="array" ref="G656">IF(_xlfn.XLOOKUP(C656,customers!A655:$A$1001,customers!C655:$C$1001,,0)=0,"",_xlfn.XLOOKUP(C656,customers!A655:$A$1001,customers!C655:$C$1001,,0))</f>
        <v>mmalloyi6@seattletimes.com</v>
      </c>
      <c r="H656" s="2" t="str" cm="1">
        <f t="array" ref="H656">_xlfn.XLOOKUP(C656,customers!A655:$A$1001,customers!G655:$G$1001,"Ireland",0)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10"/>
        <v>68.655000000000001</v>
      </c>
      <c r="N656" t="str" cm="1">
        <f t="array" ref="N656">_xlfn.IFS(I656="Rob","Robusta",I656="Exc","Excelsa",I656="Ara","Arabica",I656="Lib","Liberica")</f>
        <v>Arabica</v>
      </c>
      <c r="O656" t="str" cm="1">
        <f t="array" ref="O656">_xlfn.IFS(J656="M","Midium",J656="L","Light",J656="D","Dark")</f>
        <v>Dark</v>
      </c>
      <c r="P656" t="str">
        <f>_xlfn.XLOOKUP(Orders[[#This Row],[Customer ID]],customers!A:A,customers!I:I,,0)</f>
        <v>No</v>
      </c>
      <c r="Q656" t="str">
        <f>_xlfn.XLOOKUP(C657,customers!A:A,customers!B:B,"مش موجود")</f>
        <v>Maxim McParland</v>
      </c>
    </row>
    <row r="657" spans="1:17" x14ac:dyDescent="0.25">
      <c r="A657" s="2" t="s">
        <v>4191</v>
      </c>
      <c r="B657" s="3">
        <v>43728</v>
      </c>
      <c r="C657" s="2" t="s">
        <v>4192</v>
      </c>
      <c r="D657" t="s">
        <v>6151</v>
      </c>
      <c r="E657" s="2">
        <v>2</v>
      </c>
      <c r="F657" s="2" t="str">
        <f>_xlfn.XLOOKUP(Orders[[#This Row],[Customer ID]],customers!A:A,customers!B:B)</f>
        <v>Maxim McParland</v>
      </c>
      <c r="G657" s="2" t="str" cm="1">
        <f t="array" ref="G657">IF(_xlfn.XLOOKUP(C657,customers!A656:$A$1001,customers!C656:$C$1001,,0)=0,"",_xlfn.XLOOKUP(C657,customers!A656:$A$1001,customers!C656:$C$1001,,0))</f>
        <v>mmcparlandi7@w3.org</v>
      </c>
      <c r="H657" s="2" t="str" cm="1">
        <f t="array" ref="H657">_xlfn.XLOOKUP(C657,customers!A656:$A$1001,customers!G656:$G$1001,"Ireland",0)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10"/>
        <v>45.769999999999996</v>
      </c>
      <c r="N657" t="str" cm="1">
        <f t="array" ref="N657">_xlfn.IFS(I657="Rob","Robusta",I657="Exc","Excelsa",I657="Ara","Arabica",I657="Lib","Liberica")</f>
        <v>Robusta</v>
      </c>
      <c r="O657" t="str" cm="1">
        <f t="array" ref="O657">_xlfn.IFS(J657="M","Midium",J657="L","Light",J657="D","Dark")</f>
        <v>Midium</v>
      </c>
      <c r="P657" t="str">
        <f>_xlfn.XLOOKUP(Orders[[#This Row],[Customer ID]],customers!A:A,customers!I:I,,0)</f>
        <v>Yes</v>
      </c>
      <c r="Q657" t="str">
        <f>_xlfn.XLOOKUP(C658,customers!A:A,customers!B:B,"مش موجود")</f>
        <v>Sylas Jennaroy</v>
      </c>
    </row>
    <row r="658" spans="1:17" x14ac:dyDescent="0.25">
      <c r="A658" s="2" t="s">
        <v>4196</v>
      </c>
      <c r="B658" s="3">
        <v>44485</v>
      </c>
      <c r="C658" s="2" t="s">
        <v>4197</v>
      </c>
      <c r="D658" t="s">
        <v>6143</v>
      </c>
      <c r="E658" s="2">
        <v>4</v>
      </c>
      <c r="F658" s="2" t="str">
        <f>_xlfn.XLOOKUP(Orders[[#This Row],[Customer ID]],customers!A:A,customers!B:B)</f>
        <v>Sylas Jennaroy</v>
      </c>
      <c r="G658" s="2" t="str" cm="1">
        <f t="array" ref="G658">IF(_xlfn.XLOOKUP(C658,customers!A657:$A$1001,customers!C657:$C$1001,,0)=0,"",_xlfn.XLOOKUP(C658,customers!A657:$A$1001,customers!C657:$C$1001,,0))</f>
        <v>sjennaroyi8@purevolume.com</v>
      </c>
      <c r="H658" s="2" t="str" cm="1">
        <f t="array" ref="H658">_xlfn.XLOOKUP(C658,customers!A657:$A$1001,customers!G657:$G$1001,"Ireland",0)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10"/>
        <v>51.8</v>
      </c>
      <c r="N658" t="str" cm="1">
        <f t="array" ref="N658">_xlfn.IFS(I658="Rob","Robusta",I658="Exc","Excelsa",I658="Ara","Arabica",I658="Lib","Liberica")</f>
        <v>Liberica</v>
      </c>
      <c r="O658" t="str" cm="1">
        <f t="array" ref="O658">_xlfn.IFS(J658="M","Midium",J658="L","Light",J658="D","Dark")</f>
        <v>Dark</v>
      </c>
      <c r="P658" t="str">
        <f>_xlfn.XLOOKUP(Orders[[#This Row],[Customer ID]],customers!A:A,customers!I:I,,0)</f>
        <v>No</v>
      </c>
      <c r="Q658" t="str">
        <f>_xlfn.XLOOKUP(C659,customers!A:A,customers!B:B,"مش موجود")</f>
        <v>Wren Place</v>
      </c>
    </row>
    <row r="659" spans="1:17" x14ac:dyDescent="0.25">
      <c r="A659" s="2" t="s">
        <v>4201</v>
      </c>
      <c r="B659" s="3">
        <v>43831</v>
      </c>
      <c r="C659" s="2" t="s">
        <v>4202</v>
      </c>
      <c r="D659" t="s">
        <v>6157</v>
      </c>
      <c r="E659" s="2">
        <v>2</v>
      </c>
      <c r="F659" s="2" t="str">
        <f>_xlfn.XLOOKUP(Orders[[#This Row],[Customer ID]],customers!A:A,customers!B:B)</f>
        <v>Wren Place</v>
      </c>
      <c r="G659" s="2" t="str" cm="1">
        <f t="array" ref="G659">IF(_xlfn.XLOOKUP(C659,customers!A658:$A$1001,customers!C658:$C$1001,,0)=0,"",_xlfn.XLOOKUP(C659,customers!A658:$A$1001,customers!C658:$C$1001,,0))</f>
        <v>wplacei9@wsj.com</v>
      </c>
      <c r="H659" s="2" t="str" cm="1">
        <f t="array" ref="H659">_xlfn.XLOOKUP(C659,customers!A658:$A$1001,customers!G658:$G$1001,"Ireland",0)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10"/>
        <v>13.5</v>
      </c>
      <c r="N659" t="str" cm="1">
        <f t="array" ref="N659">_xlfn.IFS(I659="Rob","Robusta",I659="Exc","Excelsa",I659="Ara","Arabica",I659="Lib","Liberica")</f>
        <v>Arabica</v>
      </c>
      <c r="O659" t="str" cm="1">
        <f t="array" ref="O659">_xlfn.IFS(J659="M","Midium",J659="L","Light",J659="D","Dark")</f>
        <v>Midium</v>
      </c>
      <c r="P659" t="str">
        <f>_xlfn.XLOOKUP(Orders[[#This Row],[Customer ID]],customers!A:A,customers!I:I,,0)</f>
        <v>Yes</v>
      </c>
      <c r="Q659" t="str">
        <f>_xlfn.XLOOKUP(C660,customers!A:A,customers!B:B,"مش موجود")</f>
        <v>Janella Millett</v>
      </c>
    </row>
    <row r="660" spans="1:17" x14ac:dyDescent="0.25">
      <c r="A660" s="2" t="s">
        <v>4207</v>
      </c>
      <c r="B660" s="3">
        <v>44630</v>
      </c>
      <c r="C660" s="2" t="s">
        <v>4263</v>
      </c>
      <c r="D660" t="s">
        <v>6139</v>
      </c>
      <c r="E660" s="2">
        <v>3</v>
      </c>
      <c r="F660" s="2" t="str">
        <f>_xlfn.XLOOKUP(Orders[[#This Row],[Customer ID]],customers!A:A,customers!B:B)</f>
        <v>Janella Millett</v>
      </c>
      <c r="G660" s="2" t="str" cm="1">
        <f t="array" ref="G660">IF(_xlfn.XLOOKUP(C660,customers!A659:$A$1001,customers!C659:$C$1001,,0)=0,"",_xlfn.XLOOKUP(C660,customers!A659:$A$1001,customers!C659:$C$1001,,0))</f>
        <v>jmillettik@addtoany.com</v>
      </c>
      <c r="H660" s="2" t="str" cm="1">
        <f t="array" ref="H660">_xlfn.XLOOKUP(C660,customers!A659:$A$1001,customers!G659:$G$1001,"Ireland",0)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10"/>
        <v>24.75</v>
      </c>
      <c r="N660" t="str" cm="1">
        <f t="array" ref="N660">_xlfn.IFS(I660="Rob","Robusta",I660="Exc","Excelsa",I660="Ara","Arabica",I660="Lib","Liberica")</f>
        <v>Excelsa</v>
      </c>
      <c r="O660" t="str" cm="1">
        <f t="array" ref="O660">_xlfn.IFS(J660="M","Midium",J660="L","Light",J660="D","Dark")</f>
        <v>Midium</v>
      </c>
      <c r="P660" t="str">
        <f>_xlfn.XLOOKUP(Orders[[#This Row],[Customer ID]],customers!A:A,customers!I:I,,0)</f>
        <v>Yes</v>
      </c>
      <c r="Q660" t="str">
        <f>_xlfn.XLOOKUP(C661,customers!A:A,customers!B:B,"مش موجود")</f>
        <v>Dollie Gadsden</v>
      </c>
    </row>
    <row r="661" spans="1:17" x14ac:dyDescent="0.25">
      <c r="A661" s="2" t="s">
        <v>4211</v>
      </c>
      <c r="B661" s="3">
        <v>44693</v>
      </c>
      <c r="C661" s="2" t="s">
        <v>4212</v>
      </c>
      <c r="D661" t="s">
        <v>6168</v>
      </c>
      <c r="E661" s="2">
        <v>2</v>
      </c>
      <c r="F661" s="2" t="str">
        <f>_xlfn.XLOOKUP(Orders[[#This Row],[Customer ID]],customers!A:A,customers!B:B)</f>
        <v>Dollie Gadsden</v>
      </c>
      <c r="G661" s="2" t="str" cm="1">
        <f t="array" ref="G661">IF(_xlfn.XLOOKUP(C661,customers!A660:$A$1001,customers!C660:$C$1001,,0)=0,"",_xlfn.XLOOKUP(C661,customers!A660:$A$1001,customers!C660:$C$1001,,0))</f>
        <v>dgadsdenib@google.com.hk</v>
      </c>
      <c r="H661" s="2" t="str" cm="1">
        <f t="array" ref="H661">_xlfn.XLOOKUP(C661,customers!A660:$A$1001,customers!G660:$G$1001,"Ireland",0)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10"/>
        <v>45.769999999999996</v>
      </c>
      <c r="N661" t="str" cm="1">
        <f t="array" ref="N661">_xlfn.IFS(I661="Rob","Robusta",I661="Exc","Excelsa",I661="Ara","Arabica",I661="Lib","Liberica")</f>
        <v>Arabica</v>
      </c>
      <c r="O661" t="str" cm="1">
        <f t="array" ref="O661">_xlfn.IFS(J661="M","Midium",J661="L","Light",J661="D","Dark")</f>
        <v>Dark</v>
      </c>
      <c r="P661" t="str">
        <f>_xlfn.XLOOKUP(Orders[[#This Row],[Customer ID]],customers!A:A,customers!I:I,,0)</f>
        <v>Yes</v>
      </c>
      <c r="Q661" t="str">
        <f>_xlfn.XLOOKUP(C662,customers!A:A,customers!B:B,"مش موجود")</f>
        <v>Val Wakelin</v>
      </c>
    </row>
    <row r="662" spans="1:17" x14ac:dyDescent="0.25">
      <c r="A662" s="2" t="s">
        <v>4217</v>
      </c>
      <c r="B662" s="3">
        <v>44084</v>
      </c>
      <c r="C662" s="2" t="s">
        <v>4218</v>
      </c>
      <c r="D662" t="s">
        <v>6176</v>
      </c>
      <c r="E662" s="2">
        <v>6</v>
      </c>
      <c r="F662" s="2" t="str">
        <f>_xlfn.XLOOKUP(Orders[[#This Row],[Customer ID]],customers!A:A,customers!B:B)</f>
        <v>Val Wakelin</v>
      </c>
      <c r="G662" s="2" t="str" cm="1">
        <f t="array" ref="G662">IF(_xlfn.XLOOKUP(C662,customers!A661:$A$1001,customers!C661:$C$1001,,0)=0,"",_xlfn.XLOOKUP(C662,customers!A661:$A$1001,customers!C661:$C$1001,,0))</f>
        <v>vwakelinic@unesco.org</v>
      </c>
      <c r="H662" s="2" t="str" cm="1">
        <f t="array" ref="H662">_xlfn.XLOOKUP(C662,customers!A661:$A$1001,customers!G661:$G$1001,"Ireland",0)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10"/>
        <v>53.46</v>
      </c>
      <c r="N662" t="str" cm="1">
        <f t="array" ref="N662">_xlfn.IFS(I662="Rob","Robusta",I662="Exc","Excelsa",I662="Ara","Arabica",I662="Lib","Liberica")</f>
        <v>Excelsa</v>
      </c>
      <c r="O662" t="str" cm="1">
        <f t="array" ref="O662">_xlfn.IFS(J662="M","Midium",J662="L","Light",J662="D","Dark")</f>
        <v>Light</v>
      </c>
      <c r="P662" t="str">
        <f>_xlfn.XLOOKUP(Orders[[#This Row],[Customer ID]],customers!A:A,customers!I:I,,0)</f>
        <v>No</v>
      </c>
      <c r="Q662" t="str">
        <f>_xlfn.XLOOKUP(C663,customers!A:A,customers!B:B,"مش موجود")</f>
        <v>Annie Campsall</v>
      </c>
    </row>
    <row r="663" spans="1:17" x14ac:dyDescent="0.25">
      <c r="A663" s="2" t="s">
        <v>4223</v>
      </c>
      <c r="B663" s="3">
        <v>44485</v>
      </c>
      <c r="C663" s="2" t="s">
        <v>4224</v>
      </c>
      <c r="D663" t="s">
        <v>6152</v>
      </c>
      <c r="E663" s="2">
        <v>6</v>
      </c>
      <c r="F663" s="2" t="str">
        <f>_xlfn.XLOOKUP(Orders[[#This Row],[Customer ID]],customers!A:A,customers!B:B)</f>
        <v>Annie Campsall</v>
      </c>
      <c r="G663" s="2" t="str" cm="1">
        <f t="array" ref="G663">IF(_xlfn.XLOOKUP(C663,customers!A662:$A$1001,customers!C662:$C$1001,,0)=0,"",_xlfn.XLOOKUP(C663,customers!A662:$A$1001,customers!C662:$C$1001,,0))</f>
        <v>acampsallid@zimbio.com</v>
      </c>
      <c r="H663" s="2" t="str" cm="1">
        <f t="array" ref="H663">_xlfn.XLOOKUP(C663,customers!A662:$A$1001,customers!G662:$G$1001,"Ireland",0)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10"/>
        <v>20.25</v>
      </c>
      <c r="N663" t="str" cm="1">
        <f t="array" ref="N663">_xlfn.IFS(I663="Rob","Robusta",I663="Exc","Excelsa",I663="Ara","Arabica",I663="Lib","Liberica")</f>
        <v>Arabica</v>
      </c>
      <c r="O663" t="str" cm="1">
        <f t="array" ref="O663">_xlfn.IFS(J663="M","Midium",J663="L","Light",J663="D","Dark")</f>
        <v>Midium</v>
      </c>
      <c r="P663" t="str">
        <f>_xlfn.XLOOKUP(Orders[[#This Row],[Customer ID]],customers!A:A,customers!I:I,,0)</f>
        <v>Yes</v>
      </c>
      <c r="Q663" t="str">
        <f>_xlfn.XLOOKUP(C664,customers!A:A,customers!B:B,"مش موجود")</f>
        <v>Shermy Moseby</v>
      </c>
    </row>
    <row r="664" spans="1:17" x14ac:dyDescent="0.25">
      <c r="A664" s="2" t="s">
        <v>4229</v>
      </c>
      <c r="B664" s="3">
        <v>44364</v>
      </c>
      <c r="C664" s="2" t="s">
        <v>4230</v>
      </c>
      <c r="D664" t="s">
        <v>6165</v>
      </c>
      <c r="E664" s="2">
        <v>5</v>
      </c>
      <c r="F664" s="2" t="str">
        <f>_xlfn.XLOOKUP(Orders[[#This Row],[Customer ID]],customers!A:A,customers!B:B)</f>
        <v>Shermy Moseby</v>
      </c>
      <c r="G664" s="2" t="str" cm="1">
        <f t="array" ref="G664">IF(_xlfn.XLOOKUP(C664,customers!A663:$A$1001,customers!C663:$C$1001,,0)=0,"",_xlfn.XLOOKUP(C664,customers!A663:$A$1001,customers!C663:$C$1001,,0))</f>
        <v>smosebyie@stanford.edu</v>
      </c>
      <c r="H664" s="2" t="str" cm="1">
        <f t="array" ref="H664">_xlfn.XLOOKUP(C664,customers!A663:$A$1001,customers!G663:$G$1001,"Ireland",0)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10"/>
        <v>148.92499999999998</v>
      </c>
      <c r="N664" t="str" cm="1">
        <f t="array" ref="N664">_xlfn.IFS(I664="Rob","Robusta",I664="Exc","Excelsa",I664="Ara","Arabica",I664="Lib","Liberica")</f>
        <v>Liberica</v>
      </c>
      <c r="O664" t="str" cm="1">
        <f t="array" ref="O664">_xlfn.IFS(J664="M","Midium",J664="L","Light",J664="D","Dark")</f>
        <v>Dark</v>
      </c>
      <c r="P664" t="str">
        <f>_xlfn.XLOOKUP(Orders[[#This Row],[Customer ID]],customers!A:A,customers!I:I,,0)</f>
        <v>No</v>
      </c>
      <c r="Q664" t="str">
        <f>_xlfn.XLOOKUP(C665,customers!A:A,customers!B:B,"مش موجود")</f>
        <v>Corrie Wass</v>
      </c>
    </row>
    <row r="665" spans="1:17" x14ac:dyDescent="0.25">
      <c r="A665" s="2" t="s">
        <v>4234</v>
      </c>
      <c r="B665" s="3">
        <v>43554</v>
      </c>
      <c r="C665" s="2" t="s">
        <v>4235</v>
      </c>
      <c r="D665" t="s">
        <v>6155</v>
      </c>
      <c r="E665" s="2">
        <v>6</v>
      </c>
      <c r="F665" s="2" t="str">
        <f>_xlfn.XLOOKUP(Orders[[#This Row],[Customer ID]],customers!A:A,customers!B:B)</f>
        <v>Corrie Wass</v>
      </c>
      <c r="G665" s="2" t="str" cm="1">
        <f t="array" ref="G665">IF(_xlfn.XLOOKUP(C665,customers!A664:$A$1001,customers!C664:$C$1001,,0)=0,"",_xlfn.XLOOKUP(C665,customers!A664:$A$1001,customers!C664:$C$1001,,0))</f>
        <v>cwassif@prweb.com</v>
      </c>
      <c r="H665" s="2" t="str" cm="1">
        <f t="array" ref="H665">_xlfn.XLOOKUP(C665,customers!A664:$A$1001,customers!G664:$G$1001,"Ireland",0)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10"/>
        <v>67.5</v>
      </c>
      <c r="N665" t="str" cm="1">
        <f t="array" ref="N665">_xlfn.IFS(I665="Rob","Robusta",I665="Exc","Excelsa",I665="Ara","Arabica",I665="Lib","Liberica")</f>
        <v>Arabica</v>
      </c>
      <c r="O665" t="str" cm="1">
        <f t="array" ref="O665">_xlfn.IFS(J665="M","Midium",J665="L","Light",J665="D","Dark")</f>
        <v>Midium</v>
      </c>
      <c r="P665" t="str">
        <f>_xlfn.XLOOKUP(Orders[[#This Row],[Customer ID]],customers!A:A,customers!I:I,,0)</f>
        <v>No</v>
      </c>
      <c r="Q665" t="str">
        <f>_xlfn.XLOOKUP(C666,customers!A:A,customers!B:B,"مش موجود")</f>
        <v>Ira Sjostrom</v>
      </c>
    </row>
    <row r="666" spans="1:17" x14ac:dyDescent="0.25">
      <c r="A666" s="2" t="s">
        <v>4239</v>
      </c>
      <c r="B666" s="3">
        <v>44549</v>
      </c>
      <c r="C666" s="2" t="s">
        <v>4240</v>
      </c>
      <c r="D666" t="s">
        <v>6183</v>
      </c>
      <c r="E666" s="2">
        <v>6</v>
      </c>
      <c r="F666" s="2" t="str">
        <f>_xlfn.XLOOKUP(Orders[[#This Row],[Customer ID]],customers!A:A,customers!B:B)</f>
        <v>Ira Sjostrom</v>
      </c>
      <c r="G666" s="2" t="str" cm="1">
        <f t="array" ref="G666">IF(_xlfn.XLOOKUP(C666,customers!A665:$A$1001,customers!C665:$C$1001,,0)=0,"",_xlfn.XLOOKUP(C666,customers!A665:$A$1001,customers!C665:$C$1001,,0))</f>
        <v>isjostromig@pbs.org</v>
      </c>
      <c r="H666" s="2" t="str" cm="1">
        <f t="array" ref="H666">_xlfn.XLOOKUP(C666,customers!A665:$A$1001,customers!G665:$G$1001,"Ireland",0)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10"/>
        <v>72.900000000000006</v>
      </c>
      <c r="N666" t="str" cm="1">
        <f t="array" ref="N666">_xlfn.IFS(I666="Rob","Robusta",I666="Exc","Excelsa",I666="Ara","Arabica",I666="Lib","Liberica")</f>
        <v>Excelsa</v>
      </c>
      <c r="O666" t="str" cm="1">
        <f t="array" ref="O666">_xlfn.IFS(J666="M","Midium",J666="L","Light",J666="D","Dark")</f>
        <v>Dark</v>
      </c>
      <c r="P666" t="str">
        <f>_xlfn.XLOOKUP(Orders[[#This Row],[Customer ID]],customers!A:A,customers!I:I,,0)</f>
        <v>No</v>
      </c>
      <c r="Q666" t="str">
        <f>_xlfn.XLOOKUP(C667,customers!A:A,customers!B:B,"مش موجود")</f>
        <v>Ira Sjostrom</v>
      </c>
    </row>
    <row r="667" spans="1:17" x14ac:dyDescent="0.25">
      <c r="A667" s="2" t="s">
        <v>4239</v>
      </c>
      <c r="B667" s="3">
        <v>44549</v>
      </c>
      <c r="C667" s="2" t="s">
        <v>4240</v>
      </c>
      <c r="D667" t="s">
        <v>6150</v>
      </c>
      <c r="E667" s="2">
        <v>2</v>
      </c>
      <c r="F667" s="2" t="str">
        <f>_xlfn.XLOOKUP(Orders[[#This Row],[Customer ID]],customers!A:A,customers!B:B)</f>
        <v>Ira Sjostrom</v>
      </c>
      <c r="G667" s="2" t="str" cm="1">
        <f t="array" ref="G667">IF(_xlfn.XLOOKUP(C667,customers!A666:$A$1001,customers!C666:$C$1001,,0)=0,"",_xlfn.XLOOKUP(C667,customers!A666:$A$1001,customers!C666:$C$1001,,0))</f>
        <v>isjostromig@pbs.org</v>
      </c>
      <c r="H667" s="2" t="str" cm="1">
        <f t="array" ref="H667">_xlfn.XLOOKUP(C667,customers!A666:$A$1001,customers!G666:$G$1001,"Ireland",0)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10"/>
        <v>7.77</v>
      </c>
      <c r="N667" t="str" cm="1">
        <f t="array" ref="N667">_xlfn.IFS(I667="Rob","Robusta",I667="Exc","Excelsa",I667="Ara","Arabica",I667="Lib","Liberica")</f>
        <v>Liberica</v>
      </c>
      <c r="O667" t="str" cm="1">
        <f t="array" ref="O667">_xlfn.IFS(J667="M","Midium",J667="L","Light",J667="D","Dark")</f>
        <v>Dark</v>
      </c>
      <c r="P667" t="str">
        <f>_xlfn.XLOOKUP(Orders[[#This Row],[Customer ID]],customers!A:A,customers!I:I,,0)</f>
        <v>No</v>
      </c>
      <c r="Q667" t="str">
        <f>_xlfn.XLOOKUP(C668,customers!A:A,customers!B:B,"مش موجود")</f>
        <v>Jermaine Branchett</v>
      </c>
    </row>
    <row r="668" spans="1:17" x14ac:dyDescent="0.25">
      <c r="A668" s="2" t="s">
        <v>4250</v>
      </c>
      <c r="B668" s="3">
        <v>43987</v>
      </c>
      <c r="C668" s="2" t="s">
        <v>4251</v>
      </c>
      <c r="D668" t="s">
        <v>6168</v>
      </c>
      <c r="E668" s="2">
        <v>4</v>
      </c>
      <c r="F668" s="2" t="str">
        <f>_xlfn.XLOOKUP(Orders[[#This Row],[Customer ID]],customers!A:A,customers!B:B)</f>
        <v>Jermaine Branchett</v>
      </c>
      <c r="G668" s="2" t="str" cm="1">
        <f t="array" ref="G668">IF(_xlfn.XLOOKUP(C668,customers!A667:$A$1001,customers!C667:$C$1001,,0)=0,"",_xlfn.XLOOKUP(C668,customers!A667:$A$1001,customers!C667:$C$1001,,0))</f>
        <v>jbranchettii@bravesites.com</v>
      </c>
      <c r="H668" s="2" t="str" cm="1">
        <f t="array" ref="H668">_xlfn.XLOOKUP(C668,customers!A667:$A$1001,customers!G667:$G$1001,"Ireland",0)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10"/>
        <v>91.539999999999992</v>
      </c>
      <c r="N668" t="str" cm="1">
        <f t="array" ref="N668">_xlfn.IFS(I668="Rob","Robusta",I668="Exc","Excelsa",I668="Ara","Arabica",I668="Lib","Liberica")</f>
        <v>Arabica</v>
      </c>
      <c r="O668" t="str" cm="1">
        <f t="array" ref="O668">_xlfn.IFS(J668="M","Midium",J668="L","Light",J668="D","Dark")</f>
        <v>Dark</v>
      </c>
      <c r="P668" t="str">
        <f>_xlfn.XLOOKUP(Orders[[#This Row],[Customer ID]],customers!A:A,customers!I:I,,0)</f>
        <v>No</v>
      </c>
      <c r="Q668" t="str">
        <f>_xlfn.XLOOKUP(C669,customers!A:A,customers!B:B,"مش موجود")</f>
        <v>Nissie Rudland</v>
      </c>
    </row>
    <row r="669" spans="1:17" x14ac:dyDescent="0.25">
      <c r="A669" s="2" t="s">
        <v>4256</v>
      </c>
      <c r="B669" s="3">
        <v>44451</v>
      </c>
      <c r="C669" s="2" t="s">
        <v>4257</v>
      </c>
      <c r="D669" t="s">
        <v>6147</v>
      </c>
      <c r="E669" s="2">
        <v>6</v>
      </c>
      <c r="F669" s="2" t="str">
        <f>_xlfn.XLOOKUP(Orders[[#This Row],[Customer ID]],customers!A:A,customers!B:B)</f>
        <v>Nissie Rudland</v>
      </c>
      <c r="G669" s="2" t="str" cm="1">
        <f t="array" ref="G669">IF(_xlfn.XLOOKUP(C669,customers!A668:$A$1001,customers!C668:$C$1001,,0)=0,"",_xlfn.XLOOKUP(C669,customers!A668:$A$1001,customers!C668:$C$1001,,0))</f>
        <v>nrudlandij@blogs.com</v>
      </c>
      <c r="H669" s="2" t="str" cm="1">
        <f t="array" ref="H669">_xlfn.XLOOKUP(C669,customers!A668:$A$1001,customers!G668:$G$1001,"Ireland",0)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10"/>
        <v>59.699999999999996</v>
      </c>
      <c r="N669" t="str" cm="1">
        <f t="array" ref="N669">_xlfn.IFS(I669="Rob","Robusta",I669="Exc","Excelsa",I669="Ara","Arabica",I669="Lib","Liberica")</f>
        <v>Arabica</v>
      </c>
      <c r="O669" t="str" cm="1">
        <f t="array" ref="O669">_xlfn.IFS(J669="M","Midium",J669="L","Light",J669="D","Dark")</f>
        <v>Dark</v>
      </c>
      <c r="P669" t="str">
        <f>_xlfn.XLOOKUP(Orders[[#This Row],[Customer ID]],customers!A:A,customers!I:I,,0)</f>
        <v>No</v>
      </c>
      <c r="Q669" t="str">
        <f>_xlfn.XLOOKUP(C670,customers!A:A,customers!B:B,"مش موجود")</f>
        <v>Janella Millett</v>
      </c>
    </row>
    <row r="670" spans="1:17" x14ac:dyDescent="0.25">
      <c r="A670" s="2" t="s">
        <v>4262</v>
      </c>
      <c r="B670" s="3">
        <v>44636</v>
      </c>
      <c r="C670" s="2" t="s">
        <v>4263</v>
      </c>
      <c r="D670" t="s">
        <v>6142</v>
      </c>
      <c r="E670" s="2">
        <v>5</v>
      </c>
      <c r="F670" s="2" t="str">
        <f>_xlfn.XLOOKUP(Orders[[#This Row],[Customer ID]],customers!A:A,customers!B:B)</f>
        <v>Janella Millett</v>
      </c>
      <c r="G670" s="2" t="str" cm="1">
        <f t="array" ref="G670">IF(_xlfn.XLOOKUP(C670,customers!A669:$A$1001,customers!C669:$C$1001,,0)=0,"",_xlfn.XLOOKUP(C670,customers!A669:$A$1001,customers!C669:$C$1001,,0))</f>
        <v>jmillettik@addtoany.com</v>
      </c>
      <c r="H670" s="2" t="str" cm="1">
        <f t="array" ref="H670">_xlfn.XLOOKUP(C670,customers!A669:$A$1001,customers!G669:$G$1001,"Ireland",0)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10"/>
        <v>137.42499999999998</v>
      </c>
      <c r="N670" t="str" cm="1">
        <f t="array" ref="N670">_xlfn.IFS(I670="Rob","Robusta",I670="Exc","Excelsa",I670="Ara","Arabica",I670="Lib","Liberica")</f>
        <v>Robusta</v>
      </c>
      <c r="O670" t="str" cm="1">
        <f t="array" ref="O670">_xlfn.IFS(J670="M","Midium",J670="L","Light",J670="D","Dark")</f>
        <v>Light</v>
      </c>
      <c r="P670" t="str">
        <f>_xlfn.XLOOKUP(Orders[[#This Row],[Customer ID]],customers!A:A,customers!I:I,,0)</f>
        <v>Yes</v>
      </c>
      <c r="Q670" t="str">
        <f>_xlfn.XLOOKUP(C671,customers!A:A,customers!B:B,"مش موجود")</f>
        <v>Ferdie Tourry</v>
      </c>
    </row>
    <row r="671" spans="1:17" x14ac:dyDescent="0.25">
      <c r="A671" s="2" t="s">
        <v>4268</v>
      </c>
      <c r="B671" s="3">
        <v>44551</v>
      </c>
      <c r="C671" s="2" t="s">
        <v>4269</v>
      </c>
      <c r="D671" t="s">
        <v>6181</v>
      </c>
      <c r="E671" s="2">
        <v>2</v>
      </c>
      <c r="F671" s="2" t="str">
        <f>_xlfn.XLOOKUP(Orders[[#This Row],[Customer ID]],customers!A:A,customers!B:B)</f>
        <v>Ferdie Tourry</v>
      </c>
      <c r="G671" s="2" t="str" cm="1">
        <f t="array" ref="G671">IF(_xlfn.XLOOKUP(C671,customers!A670:$A$1001,customers!C670:$C$1001,,0)=0,"",_xlfn.XLOOKUP(C671,customers!A670:$A$1001,customers!C670:$C$1001,,0))</f>
        <v>ftourryil@google.de</v>
      </c>
      <c r="H671" s="2" t="str" cm="1">
        <f t="array" ref="H671">_xlfn.XLOOKUP(C671,customers!A670:$A$1001,customers!G670:$G$1001,"Ireland",0)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10"/>
        <v>66.929999999999993</v>
      </c>
      <c r="N671" t="str" cm="1">
        <f t="array" ref="N671">_xlfn.IFS(I671="Rob","Robusta",I671="Exc","Excelsa",I671="Ara","Arabica",I671="Lib","Liberica")</f>
        <v>Liberica</v>
      </c>
      <c r="O671" t="str" cm="1">
        <f t="array" ref="O671">_xlfn.IFS(J671="M","Midium",J671="L","Light",J671="D","Dark")</f>
        <v>Midium</v>
      </c>
      <c r="P671" t="str">
        <f>_xlfn.XLOOKUP(Orders[[#This Row],[Customer ID]],customers!A:A,customers!I:I,,0)</f>
        <v>No</v>
      </c>
      <c r="Q671" t="str">
        <f>_xlfn.XLOOKUP(C672,customers!A:A,customers!B:B,"مش موجود")</f>
        <v>Cecil Weatherall</v>
      </c>
    </row>
    <row r="672" spans="1:17" x14ac:dyDescent="0.25">
      <c r="A672" s="2" t="s">
        <v>4274</v>
      </c>
      <c r="B672" s="3">
        <v>43606</v>
      </c>
      <c r="C672" s="2" t="s">
        <v>4275</v>
      </c>
      <c r="D672" t="s">
        <v>6159</v>
      </c>
      <c r="E672" s="2">
        <v>3</v>
      </c>
      <c r="F672" s="2" t="str">
        <f>_xlfn.XLOOKUP(Orders[[#This Row],[Customer ID]],customers!A:A,customers!B:B)</f>
        <v>Cecil Weatherall</v>
      </c>
      <c r="G672" s="2" t="str" cm="1">
        <f t="array" ref="G672">IF(_xlfn.XLOOKUP(C672,customers!A671:$A$1001,customers!C671:$C$1001,,0)=0,"",_xlfn.XLOOKUP(C672,customers!A671:$A$1001,customers!C671:$C$1001,,0))</f>
        <v>cweatherallim@toplist.cz</v>
      </c>
      <c r="H672" s="2" t="str" cm="1">
        <f t="array" ref="H672">_xlfn.XLOOKUP(C672,customers!A671:$A$1001,customers!G671:$G$1001,"Ireland",0)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10"/>
        <v>13.095000000000001</v>
      </c>
      <c r="N672" t="str" cm="1">
        <f t="array" ref="N672">_xlfn.IFS(I672="Rob","Robusta",I672="Exc","Excelsa",I672="Ara","Arabica",I672="Lib","Liberica")</f>
        <v>Liberica</v>
      </c>
      <c r="O672" t="str" cm="1">
        <f t="array" ref="O672">_xlfn.IFS(J672="M","Midium",J672="L","Light",J672="D","Dark")</f>
        <v>Midium</v>
      </c>
      <c r="P672" t="str">
        <f>_xlfn.XLOOKUP(Orders[[#This Row],[Customer ID]],customers!A:A,customers!I:I,,0)</f>
        <v>Yes</v>
      </c>
      <c r="Q672" t="str">
        <f>_xlfn.XLOOKUP(C673,customers!A:A,customers!B:B,"مش موجود")</f>
        <v>Gale Heindrick</v>
      </c>
    </row>
    <row r="673" spans="1:17" x14ac:dyDescent="0.25">
      <c r="A673" s="2" t="s">
        <v>4280</v>
      </c>
      <c r="B673" s="3">
        <v>44495</v>
      </c>
      <c r="C673" s="2" t="s">
        <v>4281</v>
      </c>
      <c r="D673" t="s">
        <v>6179</v>
      </c>
      <c r="E673" s="2">
        <v>5</v>
      </c>
      <c r="F673" s="2" t="str">
        <f>_xlfn.XLOOKUP(Orders[[#This Row],[Customer ID]],customers!A:A,customers!B:B)</f>
        <v>Gale Heindrick</v>
      </c>
      <c r="G673" s="2" t="str" cm="1">
        <f t="array" ref="G673">IF(_xlfn.XLOOKUP(C673,customers!A672:$A$1001,customers!C672:$C$1001,,0)=0,"",_xlfn.XLOOKUP(C673,customers!A672:$A$1001,customers!C672:$C$1001,,0))</f>
        <v>gheindrickin@usda.gov</v>
      </c>
      <c r="H673" s="2" t="str" cm="1">
        <f t="array" ref="H673">_xlfn.XLOOKUP(C673,customers!A672:$A$1001,customers!G672:$G$1001,"Ireland",0)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10"/>
        <v>59.75</v>
      </c>
      <c r="N673" t="str" cm="1">
        <f t="array" ref="N673">_xlfn.IFS(I673="Rob","Robusta",I673="Exc","Excelsa",I673="Ara","Arabica",I673="Lib","Liberica")</f>
        <v>Robusta</v>
      </c>
      <c r="O673" t="str" cm="1">
        <f t="array" ref="O673">_xlfn.IFS(J673="M","Midium",J673="L","Light",J673="D","Dark")</f>
        <v>Light</v>
      </c>
      <c r="P673" t="str">
        <f>_xlfn.XLOOKUP(Orders[[#This Row],[Customer ID]],customers!A:A,customers!I:I,,0)</f>
        <v>No</v>
      </c>
      <c r="Q673" t="str">
        <f>_xlfn.XLOOKUP(C674,customers!A:A,customers!B:B,"مش موجود")</f>
        <v>Layne Imason</v>
      </c>
    </row>
    <row r="674" spans="1:17" x14ac:dyDescent="0.25">
      <c r="A674" s="2" t="s">
        <v>4286</v>
      </c>
      <c r="B674" s="3">
        <v>43916</v>
      </c>
      <c r="C674" s="2" t="s">
        <v>4287</v>
      </c>
      <c r="D674" t="s">
        <v>6160</v>
      </c>
      <c r="E674" s="2">
        <v>5</v>
      </c>
      <c r="F674" s="2" t="str">
        <f>_xlfn.XLOOKUP(Orders[[#This Row],[Customer ID]],customers!A:A,customers!B:B)</f>
        <v>Layne Imason</v>
      </c>
      <c r="G674" s="2" t="str" cm="1">
        <f t="array" ref="G674">IF(_xlfn.XLOOKUP(C674,customers!A673:$A$1001,customers!C673:$C$1001,,0)=0,"",_xlfn.XLOOKUP(C674,customers!A673:$A$1001,customers!C673:$C$1001,,0))</f>
        <v>limasonio@discuz.net</v>
      </c>
      <c r="H674" s="2" t="str" cm="1">
        <f t="array" ref="H674">_xlfn.XLOOKUP(C674,customers!A673:$A$1001,customers!G673:$G$1001,"Ireland",0)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10"/>
        <v>43.650000000000006</v>
      </c>
      <c r="N674" t="str" cm="1">
        <f t="array" ref="N674">_xlfn.IFS(I674="Rob","Robusta",I674="Exc","Excelsa",I674="Ara","Arabica",I674="Lib","Liberica")</f>
        <v>Liberica</v>
      </c>
      <c r="O674" t="str" cm="1">
        <f t="array" ref="O674">_xlfn.IFS(J674="M","Midium",J674="L","Light",J674="D","Dark")</f>
        <v>Midium</v>
      </c>
      <c r="P674" t="str">
        <f>_xlfn.XLOOKUP(Orders[[#This Row],[Customer ID]],customers!A:A,customers!I:I,,0)</f>
        <v>Yes</v>
      </c>
      <c r="Q674" t="str">
        <f>_xlfn.XLOOKUP(C675,customers!A:A,customers!B:B,"مش موجود")</f>
        <v>Hazel Saill</v>
      </c>
    </row>
    <row r="675" spans="1:17" x14ac:dyDescent="0.25">
      <c r="A675" s="2" t="s">
        <v>4291</v>
      </c>
      <c r="B675" s="3">
        <v>44118</v>
      </c>
      <c r="C675" s="2" t="s">
        <v>4292</v>
      </c>
      <c r="D675" t="s">
        <v>6141</v>
      </c>
      <c r="E675" s="2">
        <v>6</v>
      </c>
      <c r="F675" s="2" t="str">
        <f>_xlfn.XLOOKUP(Orders[[#This Row],[Customer ID]],customers!A:A,customers!B:B)</f>
        <v>Hazel Saill</v>
      </c>
      <c r="G675" s="2" t="str" cm="1">
        <f t="array" ref="G675">IF(_xlfn.XLOOKUP(C675,customers!A674:$A$1001,customers!C674:$C$1001,,0)=0,"",_xlfn.XLOOKUP(C675,customers!A674:$A$1001,customers!C674:$C$1001,,0))</f>
        <v>hsaillip@odnoklassniki.ru</v>
      </c>
      <c r="H675" s="2" t="str" cm="1">
        <f t="array" ref="H675">_xlfn.XLOOKUP(C675,customers!A674:$A$1001,customers!G674:$G$1001,"Ireland",0)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10"/>
        <v>82.5</v>
      </c>
      <c r="N675" t="str" cm="1">
        <f t="array" ref="N675">_xlfn.IFS(I675="Rob","Robusta",I675="Exc","Excelsa",I675="Ara","Arabica",I675="Lib","Liberica")</f>
        <v>Excelsa</v>
      </c>
      <c r="O675" t="str" cm="1">
        <f t="array" ref="O675">_xlfn.IFS(J675="M","Midium",J675="L","Light",J675="D","Dark")</f>
        <v>Midium</v>
      </c>
      <c r="P675" t="str">
        <f>_xlfn.XLOOKUP(Orders[[#This Row],[Customer ID]],customers!A:A,customers!I:I,,0)</f>
        <v>Yes</v>
      </c>
      <c r="Q675" t="str">
        <f>_xlfn.XLOOKUP(C676,customers!A:A,customers!B:B,"مش موجود")</f>
        <v>Hermann Larvor</v>
      </c>
    </row>
    <row r="676" spans="1:17" x14ac:dyDescent="0.25">
      <c r="A676" s="2" t="s">
        <v>4297</v>
      </c>
      <c r="B676" s="3">
        <v>44543</v>
      </c>
      <c r="C676" s="2" t="s">
        <v>4298</v>
      </c>
      <c r="D676" t="s">
        <v>6182</v>
      </c>
      <c r="E676" s="2">
        <v>6</v>
      </c>
      <c r="F676" s="2" t="str">
        <f>_xlfn.XLOOKUP(Orders[[#This Row],[Customer ID]],customers!A:A,customers!B:B)</f>
        <v>Hermann Larvor</v>
      </c>
      <c r="G676" s="2" t="str" cm="1">
        <f t="array" ref="G676">IF(_xlfn.XLOOKUP(C676,customers!A675:$A$1001,customers!C675:$C$1001,,0)=0,"",_xlfn.XLOOKUP(C676,customers!A675:$A$1001,customers!C675:$C$1001,,0))</f>
        <v>hlarvoriq@last.fm</v>
      </c>
      <c r="H676" s="2" t="str" cm="1">
        <f t="array" ref="H676">_xlfn.XLOOKUP(C676,customers!A675:$A$1001,customers!G675:$G$1001,"Ireland",0)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10"/>
        <v>178.70999999999998</v>
      </c>
      <c r="N676" t="str" cm="1">
        <f t="array" ref="N676">_xlfn.IFS(I676="Rob","Robusta",I676="Exc","Excelsa",I676="Ara","Arabica",I676="Lib","Liberica")</f>
        <v>Arabica</v>
      </c>
      <c r="O676" t="str" cm="1">
        <f t="array" ref="O676">_xlfn.IFS(J676="M","Midium",J676="L","Light",J676="D","Dark")</f>
        <v>Light</v>
      </c>
      <c r="P676" t="str">
        <f>_xlfn.XLOOKUP(Orders[[#This Row],[Customer ID]],customers!A:A,customers!I:I,,0)</f>
        <v>Yes</v>
      </c>
      <c r="Q676" t="str">
        <f>_xlfn.XLOOKUP(C677,customers!A:A,customers!B:B,"مش موجود")</f>
        <v>Terri Lyford</v>
      </c>
    </row>
    <row r="677" spans="1:17" x14ac:dyDescent="0.25">
      <c r="A677" s="2" t="s">
        <v>4303</v>
      </c>
      <c r="B677" s="3">
        <v>44263</v>
      </c>
      <c r="C677" s="2" t="s">
        <v>4304</v>
      </c>
      <c r="D677" t="s">
        <v>6165</v>
      </c>
      <c r="E677" s="2">
        <v>4</v>
      </c>
      <c r="F677" s="2" t="str">
        <f>_xlfn.XLOOKUP(Orders[[#This Row],[Customer ID]],customers!A:A,customers!B:B)</f>
        <v>Terri Lyford</v>
      </c>
      <c r="G677" s="2" t="str" cm="1">
        <f t="array" ref="G677">IF(_xlfn.XLOOKUP(C677,customers!A676:$A$1001,customers!C676:$C$1001,,0)=0,"",_xlfn.XLOOKUP(C677,customers!A676:$A$1001,customers!C676:$C$1001,,0))</f>
        <v/>
      </c>
      <c r="H677" s="2" t="str" cm="1">
        <f t="array" ref="H677">_xlfn.XLOOKUP(C677,customers!A676:$A$1001,customers!G676:$G$1001,"Ireland",0)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10"/>
        <v>119.13999999999999</v>
      </c>
      <c r="N677" t="str" cm="1">
        <f t="array" ref="N677">_xlfn.IFS(I677="Rob","Robusta",I677="Exc","Excelsa",I677="Ara","Arabica",I677="Lib","Liberica")</f>
        <v>Liberica</v>
      </c>
      <c r="O677" t="str" cm="1">
        <f t="array" ref="O677">_xlfn.IFS(J677="M","Midium",J677="L","Light",J677="D","Dark")</f>
        <v>Dark</v>
      </c>
      <c r="P677" t="str">
        <f>_xlfn.XLOOKUP(Orders[[#This Row],[Customer ID]],customers!A:A,customers!I:I,,0)</f>
        <v>Yes</v>
      </c>
      <c r="Q677" t="str">
        <f>_xlfn.XLOOKUP(C678,customers!A:A,customers!B:B,"مش موجود")</f>
        <v>Gabey Cogan</v>
      </c>
    </row>
    <row r="678" spans="1:17" x14ac:dyDescent="0.25">
      <c r="A678" s="2" t="s">
        <v>4308</v>
      </c>
      <c r="B678" s="3">
        <v>44217</v>
      </c>
      <c r="C678" s="2" t="s">
        <v>4309</v>
      </c>
      <c r="D678" t="s">
        <v>6161</v>
      </c>
      <c r="E678" s="2">
        <v>5</v>
      </c>
      <c r="F678" s="2" t="str">
        <f>_xlfn.XLOOKUP(Orders[[#This Row],[Customer ID]],customers!A:A,customers!B:B)</f>
        <v>Gabey Cogan</v>
      </c>
      <c r="G678" s="2" t="str" cm="1">
        <f t="array" ref="G678">IF(_xlfn.XLOOKUP(C678,customers!A677:$A$1001,customers!C677:$C$1001,,0)=0,"",_xlfn.XLOOKUP(C678,customers!A677:$A$1001,customers!C677:$C$1001,,0))</f>
        <v/>
      </c>
      <c r="H678" s="2" t="str" cm="1">
        <f t="array" ref="H678">_xlfn.XLOOKUP(C678,customers!A677:$A$1001,customers!G677:$G$1001,"Ireland",0)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10"/>
        <v>47.55</v>
      </c>
      <c r="N678" t="str" cm="1">
        <f t="array" ref="N678">_xlfn.IFS(I678="Rob","Robusta",I678="Exc","Excelsa",I678="Ara","Arabica",I678="Lib","Liberica")</f>
        <v>Liberica</v>
      </c>
      <c r="O678" t="str" cm="1">
        <f t="array" ref="O678">_xlfn.IFS(J678="M","Midium",J678="L","Light",J678="D","Dark")</f>
        <v>Light</v>
      </c>
      <c r="P678" t="str">
        <f>_xlfn.XLOOKUP(Orders[[#This Row],[Customer ID]],customers!A:A,customers!I:I,,0)</f>
        <v>No</v>
      </c>
      <c r="Q678" t="str">
        <f>_xlfn.XLOOKUP(C679,customers!A:A,customers!B:B,"مش موجود")</f>
        <v>Charin Penwarden</v>
      </c>
    </row>
    <row r="679" spans="1:17" x14ac:dyDescent="0.25">
      <c r="A679" s="2" t="s">
        <v>4313</v>
      </c>
      <c r="B679" s="3">
        <v>44206</v>
      </c>
      <c r="C679" s="2" t="s">
        <v>4314</v>
      </c>
      <c r="D679" t="s">
        <v>6160</v>
      </c>
      <c r="E679" s="2">
        <v>5</v>
      </c>
      <c r="F679" s="2" t="str">
        <f>_xlfn.XLOOKUP(Orders[[#This Row],[Customer ID]],customers!A:A,customers!B:B)</f>
        <v>Charin Penwarden</v>
      </c>
      <c r="G679" s="2" t="str" cm="1">
        <f t="array" ref="G679">IF(_xlfn.XLOOKUP(C679,customers!A678:$A$1001,customers!C678:$C$1001,,0)=0,"",_xlfn.XLOOKUP(C679,customers!A678:$A$1001,customers!C678:$C$1001,,0))</f>
        <v>cpenwardenit@mlb.com</v>
      </c>
      <c r="H679" s="2" t="str" cm="1">
        <f t="array" ref="H679">_xlfn.XLOOKUP(C679,customers!A678:$A$1001,customers!G678:$G$1001,"Ireland",0)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10"/>
        <v>43.650000000000006</v>
      </c>
      <c r="N679" t="str" cm="1">
        <f t="array" ref="N679">_xlfn.IFS(I679="Rob","Robusta",I679="Exc","Excelsa",I679="Ara","Arabica",I679="Lib","Liberica")</f>
        <v>Liberica</v>
      </c>
      <c r="O679" t="str" cm="1">
        <f t="array" ref="O679">_xlfn.IFS(J679="M","Midium",J679="L","Light",J679="D","Dark")</f>
        <v>Midium</v>
      </c>
      <c r="P679" t="str">
        <f>_xlfn.XLOOKUP(Orders[[#This Row],[Customer ID]],customers!A:A,customers!I:I,,0)</f>
        <v>No</v>
      </c>
      <c r="Q679" t="str">
        <f>_xlfn.XLOOKUP(C680,customers!A:A,customers!B:B,"مش موجود")</f>
        <v>Milty Middis</v>
      </c>
    </row>
    <row r="680" spans="1:17" x14ac:dyDescent="0.25">
      <c r="A680" s="2" t="s">
        <v>4319</v>
      </c>
      <c r="B680" s="3">
        <v>44281</v>
      </c>
      <c r="C680" s="2" t="s">
        <v>4320</v>
      </c>
      <c r="D680" t="s">
        <v>6182</v>
      </c>
      <c r="E680" s="2">
        <v>6</v>
      </c>
      <c r="F680" s="2" t="str">
        <f>_xlfn.XLOOKUP(Orders[[#This Row],[Customer ID]],customers!A:A,customers!B:B)</f>
        <v>Milty Middis</v>
      </c>
      <c r="G680" s="2" t="str" cm="1">
        <f t="array" ref="G680">IF(_xlfn.XLOOKUP(C680,customers!A679:$A$1001,customers!C679:$C$1001,,0)=0,"",_xlfn.XLOOKUP(C680,customers!A679:$A$1001,customers!C679:$C$1001,,0))</f>
        <v>mmiddisiu@dmoz.org</v>
      </c>
      <c r="H680" s="2" t="str" cm="1">
        <f t="array" ref="H680">_xlfn.XLOOKUP(C680,customers!A679:$A$1001,customers!G679:$G$1001,"Ireland",0)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10"/>
        <v>178.70999999999998</v>
      </c>
      <c r="N680" t="str" cm="1">
        <f t="array" ref="N680">_xlfn.IFS(I680="Rob","Robusta",I680="Exc","Excelsa",I680="Ara","Arabica",I680="Lib","Liberica")</f>
        <v>Arabica</v>
      </c>
      <c r="O680" t="str" cm="1">
        <f t="array" ref="O680">_xlfn.IFS(J680="M","Midium",J680="L","Light",J680="D","Dark")</f>
        <v>Light</v>
      </c>
      <c r="P680" t="str">
        <f>_xlfn.XLOOKUP(Orders[[#This Row],[Customer ID]],customers!A:A,customers!I:I,,0)</f>
        <v>Yes</v>
      </c>
      <c r="Q680" t="str">
        <f>_xlfn.XLOOKUP(C681,customers!A:A,customers!B:B,"مش موجود")</f>
        <v>Adrianne Vairow</v>
      </c>
    </row>
    <row r="681" spans="1:17" x14ac:dyDescent="0.25">
      <c r="A681" s="2" t="s">
        <v>4325</v>
      </c>
      <c r="B681" s="3">
        <v>44645</v>
      </c>
      <c r="C681" s="2" t="s">
        <v>4326</v>
      </c>
      <c r="D681" t="s">
        <v>6142</v>
      </c>
      <c r="E681" s="2">
        <v>1</v>
      </c>
      <c r="F681" s="2" t="str">
        <f>_xlfn.XLOOKUP(Orders[[#This Row],[Customer ID]],customers!A:A,customers!B:B)</f>
        <v>Adrianne Vairow</v>
      </c>
      <c r="G681" s="2" t="str" cm="1">
        <f t="array" ref="G681">IF(_xlfn.XLOOKUP(C681,customers!A680:$A$1001,customers!C680:$C$1001,,0)=0,"",_xlfn.XLOOKUP(C681,customers!A680:$A$1001,customers!C680:$C$1001,,0))</f>
        <v>avairowiv@studiopress.com</v>
      </c>
      <c r="H681" s="2" t="str" cm="1">
        <f t="array" ref="H681">_xlfn.XLOOKUP(C681,customers!A680:$A$1001,customers!G680:$G$1001,"Ireland",0)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10"/>
        <v>27.484999999999996</v>
      </c>
      <c r="N681" t="str" cm="1">
        <f t="array" ref="N681">_xlfn.IFS(I681="Rob","Robusta",I681="Exc","Excelsa",I681="Ara","Arabica",I681="Lib","Liberica")</f>
        <v>Robusta</v>
      </c>
      <c r="O681" t="str" cm="1">
        <f t="array" ref="O681">_xlfn.IFS(J681="M","Midium",J681="L","Light",J681="D","Dark")</f>
        <v>Light</v>
      </c>
      <c r="P681" t="str">
        <f>_xlfn.XLOOKUP(Orders[[#This Row],[Customer ID]],customers!A:A,customers!I:I,,0)</f>
        <v>No</v>
      </c>
      <c r="Q681" t="str">
        <f>_xlfn.XLOOKUP(C682,customers!A:A,customers!B:B,"مش موجود")</f>
        <v>Anjanette Goldie</v>
      </c>
    </row>
    <row r="682" spans="1:17" x14ac:dyDescent="0.25">
      <c r="A682" s="2" t="s">
        <v>4331</v>
      </c>
      <c r="B682" s="3">
        <v>44399</v>
      </c>
      <c r="C682" s="2" t="s">
        <v>4332</v>
      </c>
      <c r="D682" t="s">
        <v>6155</v>
      </c>
      <c r="E682" s="2">
        <v>5</v>
      </c>
      <c r="F682" s="2" t="str">
        <f>_xlfn.XLOOKUP(Orders[[#This Row],[Customer ID]],customers!A:A,customers!B:B)</f>
        <v>Anjanette Goldie</v>
      </c>
      <c r="G682" s="2" t="str" cm="1">
        <f t="array" ref="G682">IF(_xlfn.XLOOKUP(C682,customers!A681:$A$1001,customers!C681:$C$1001,,0)=0,"",_xlfn.XLOOKUP(C682,customers!A681:$A$1001,customers!C681:$C$1001,,0))</f>
        <v>agoldieiw@goo.gl</v>
      </c>
      <c r="H682" s="2" t="str" cm="1">
        <f t="array" ref="H682">_xlfn.XLOOKUP(C682,customers!A681:$A$1001,customers!G681:$G$1001,"Ireland",0)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10"/>
        <v>56.25</v>
      </c>
      <c r="N682" t="str" cm="1">
        <f t="array" ref="N682">_xlfn.IFS(I682="Rob","Robusta",I682="Exc","Excelsa",I682="Ara","Arabica",I682="Lib","Liberica")</f>
        <v>Arabica</v>
      </c>
      <c r="O682" t="str" cm="1">
        <f t="array" ref="O682">_xlfn.IFS(J682="M","Midium",J682="L","Light",J682="D","Dark")</f>
        <v>Midium</v>
      </c>
      <c r="P682" t="str">
        <f>_xlfn.XLOOKUP(Orders[[#This Row],[Customer ID]],customers!A:A,customers!I:I,,0)</f>
        <v>No</v>
      </c>
      <c r="Q682" t="str">
        <f>_xlfn.XLOOKUP(C683,customers!A:A,customers!B:B,"مش موجود")</f>
        <v>Nicky Ayris</v>
      </c>
    </row>
    <row r="683" spans="1:17" x14ac:dyDescent="0.25">
      <c r="A683" s="2" t="s">
        <v>4336</v>
      </c>
      <c r="B683" s="3">
        <v>44080</v>
      </c>
      <c r="C683" s="2" t="s">
        <v>4337</v>
      </c>
      <c r="D683" t="s">
        <v>6145</v>
      </c>
      <c r="E683" s="2">
        <v>2</v>
      </c>
      <c r="F683" s="2" t="str">
        <f>_xlfn.XLOOKUP(Orders[[#This Row],[Customer ID]],customers!A:A,customers!B:B)</f>
        <v>Nicky Ayris</v>
      </c>
      <c r="G683" s="2" t="str" cm="1">
        <f t="array" ref="G683">IF(_xlfn.XLOOKUP(C683,customers!A682:$A$1001,customers!C682:$C$1001,,0)=0,"",_xlfn.XLOOKUP(C683,customers!A682:$A$1001,customers!C682:$C$1001,,0))</f>
        <v>nayrisix@t-online.de</v>
      </c>
      <c r="H683" s="2" t="str" cm="1">
        <f t="array" ref="H683">_xlfn.XLOOKUP(C683,customers!A682:$A$1001,customers!G682:$G$1001,"Ireland",0)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10"/>
        <v>9.51</v>
      </c>
      <c r="N683" t="str" cm="1">
        <f t="array" ref="N683">_xlfn.IFS(I683="Rob","Robusta",I683="Exc","Excelsa",I683="Ara","Arabica",I683="Lib","Liberica")</f>
        <v>Liberica</v>
      </c>
      <c r="O683" t="str" cm="1">
        <f t="array" ref="O683">_xlfn.IFS(J683="M","Midium",J683="L","Light",J683="D","Dark")</f>
        <v>Light</v>
      </c>
      <c r="P683" t="str">
        <f>_xlfn.XLOOKUP(Orders[[#This Row],[Customer ID]],customers!A:A,customers!I:I,,0)</f>
        <v>Yes</v>
      </c>
      <c r="Q683" t="str">
        <f>_xlfn.XLOOKUP(C684,customers!A:A,customers!B:B,"مش موجود")</f>
        <v>Laryssa Benediktovich</v>
      </c>
    </row>
    <row r="684" spans="1:17" x14ac:dyDescent="0.25">
      <c r="A684" s="2" t="s">
        <v>4342</v>
      </c>
      <c r="B684" s="3">
        <v>43827</v>
      </c>
      <c r="C684" s="2" t="s">
        <v>4343</v>
      </c>
      <c r="D684" t="s">
        <v>6156</v>
      </c>
      <c r="E684" s="2">
        <v>2</v>
      </c>
      <c r="F684" s="2" t="str">
        <f>_xlfn.XLOOKUP(Orders[[#This Row],[Customer ID]],customers!A:A,customers!B:B)</f>
        <v>Laryssa Benediktovich</v>
      </c>
      <c r="G684" s="2" t="str" cm="1">
        <f t="array" ref="G684">IF(_xlfn.XLOOKUP(C684,customers!A683:$A$1001,customers!C683:$C$1001,,0)=0,"",_xlfn.XLOOKUP(C684,customers!A683:$A$1001,customers!C683:$C$1001,,0))</f>
        <v>lbenediktovichiy@wunderground.com</v>
      </c>
      <c r="H684" s="2" t="str" cm="1">
        <f t="array" ref="H684">_xlfn.XLOOKUP(C684,customers!A683:$A$1001,customers!G683:$G$1001,"Ireland",0)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10"/>
        <v>8.25</v>
      </c>
      <c r="N684" t="str" cm="1">
        <f t="array" ref="N684">_xlfn.IFS(I684="Rob","Robusta",I684="Exc","Excelsa",I684="Ara","Arabica",I684="Lib","Liberica")</f>
        <v>Excelsa</v>
      </c>
      <c r="O684" t="str" cm="1">
        <f t="array" ref="O684">_xlfn.IFS(J684="M","Midium",J684="L","Light",J684="D","Dark")</f>
        <v>Midium</v>
      </c>
      <c r="P684" t="str">
        <f>_xlfn.XLOOKUP(Orders[[#This Row],[Customer ID]],customers!A:A,customers!I:I,,0)</f>
        <v>Yes</v>
      </c>
      <c r="Q684" t="str">
        <f>_xlfn.XLOOKUP(C685,customers!A:A,customers!B:B,"مش موجود")</f>
        <v>Theo Jacobovitz</v>
      </c>
    </row>
    <row r="685" spans="1:17" x14ac:dyDescent="0.25">
      <c r="A685" s="2" t="s">
        <v>4348</v>
      </c>
      <c r="B685" s="3">
        <v>43941</v>
      </c>
      <c r="C685" s="2" t="s">
        <v>4349</v>
      </c>
      <c r="D685" t="s">
        <v>6169</v>
      </c>
      <c r="E685" s="2">
        <v>6</v>
      </c>
      <c r="F685" s="2" t="str">
        <f>_xlfn.XLOOKUP(Orders[[#This Row],[Customer ID]],customers!A:A,customers!B:B)</f>
        <v>Theo Jacobovitz</v>
      </c>
      <c r="G685" s="2" t="str" cm="1">
        <f t="array" ref="G685">IF(_xlfn.XLOOKUP(C685,customers!A684:$A$1001,customers!C684:$C$1001,,0)=0,"",_xlfn.XLOOKUP(C685,customers!A684:$A$1001,customers!C684:$C$1001,,0))</f>
        <v>tjacobovitziz@cbc.ca</v>
      </c>
      <c r="H685" s="2" t="str" cm="1">
        <f t="array" ref="H685">_xlfn.XLOOKUP(C685,customers!A684:$A$1001,customers!G684:$G$1001,"Ireland",0)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10"/>
        <v>46.62</v>
      </c>
      <c r="N685" t="str" cm="1">
        <f t="array" ref="N685">_xlfn.IFS(I685="Rob","Robusta",I685="Exc","Excelsa",I685="Ara","Arabica",I685="Lib","Liberica")</f>
        <v>Liberica</v>
      </c>
      <c r="O685" t="str" cm="1">
        <f t="array" ref="O685">_xlfn.IFS(J685="M","Midium",J685="L","Light",J685="D","Dark")</f>
        <v>Dark</v>
      </c>
      <c r="P685" t="str">
        <f>_xlfn.XLOOKUP(Orders[[#This Row],[Customer ID]],customers!A:A,customers!I:I,,0)</f>
        <v>No</v>
      </c>
      <c r="Q685" t="str">
        <f>_xlfn.XLOOKUP(C686,customers!A:A,customers!B:B,"مش موجود")</f>
        <v>Becca Ableson</v>
      </c>
    </row>
    <row r="686" spans="1:17" x14ac:dyDescent="0.25">
      <c r="A686" s="2" t="s">
        <v>4354</v>
      </c>
      <c r="B686" s="3">
        <v>43517</v>
      </c>
      <c r="C686" s="2" t="s">
        <v>4355</v>
      </c>
      <c r="D686" t="s">
        <v>6179</v>
      </c>
      <c r="E686" s="2">
        <v>6</v>
      </c>
      <c r="F686" s="2" t="str">
        <f>_xlfn.XLOOKUP(Orders[[#This Row],[Customer ID]],customers!A:A,customers!B:B)</f>
        <v>Becca Ableson</v>
      </c>
      <c r="G686" s="2" t="str" cm="1">
        <f t="array" ref="G686">IF(_xlfn.XLOOKUP(C686,customers!A685:$A$1001,customers!C685:$C$1001,,0)=0,"",_xlfn.XLOOKUP(C686,customers!A685:$A$1001,customers!C685:$C$1001,,0))</f>
        <v/>
      </c>
      <c r="H686" s="2" t="str" cm="1">
        <f t="array" ref="H686">_xlfn.XLOOKUP(C686,customers!A685:$A$1001,customers!G685:$G$1001,"Ireland",0)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10"/>
        <v>71.699999999999989</v>
      </c>
      <c r="N686" t="str" cm="1">
        <f t="array" ref="N686">_xlfn.IFS(I686="Rob","Robusta",I686="Exc","Excelsa",I686="Ara","Arabica",I686="Lib","Liberica")</f>
        <v>Robusta</v>
      </c>
      <c r="O686" t="str" cm="1">
        <f t="array" ref="O686">_xlfn.IFS(J686="M","Midium",J686="L","Light",J686="D","Dark")</f>
        <v>Light</v>
      </c>
      <c r="P686" t="str">
        <f>_xlfn.XLOOKUP(Orders[[#This Row],[Customer ID]],customers!A:A,customers!I:I,,0)</f>
        <v>No</v>
      </c>
      <c r="Q686" t="str">
        <f>_xlfn.XLOOKUP(C687,customers!A:A,customers!B:B,"مش موجود")</f>
        <v>Jeno Druitt</v>
      </c>
    </row>
    <row r="687" spans="1:17" x14ac:dyDescent="0.25">
      <c r="A687" s="2" t="s">
        <v>4359</v>
      </c>
      <c r="B687" s="3">
        <v>44637</v>
      </c>
      <c r="C687" s="2" t="s">
        <v>4360</v>
      </c>
      <c r="D687" t="s">
        <v>6164</v>
      </c>
      <c r="E687" s="2">
        <v>2</v>
      </c>
      <c r="F687" s="2" t="str">
        <f>_xlfn.XLOOKUP(Orders[[#This Row],[Customer ID]],customers!A:A,customers!B:B)</f>
        <v>Jeno Druitt</v>
      </c>
      <c r="G687" s="2" t="str" cm="1">
        <f t="array" ref="G687">IF(_xlfn.XLOOKUP(C687,customers!A686:$A$1001,customers!C686:$C$1001,,0)=0,"",_xlfn.XLOOKUP(C687,customers!A686:$A$1001,customers!C686:$C$1001,,0))</f>
        <v>jdruittj1@feedburner.com</v>
      </c>
      <c r="H687" s="2" t="str" cm="1">
        <f t="array" ref="H687">_xlfn.XLOOKUP(C687,customers!A686:$A$1001,customers!G686:$G$1001,"Ireland",0)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10"/>
        <v>72.91</v>
      </c>
      <c r="N687" t="str" cm="1">
        <f t="array" ref="N687">_xlfn.IFS(I687="Rob","Robusta",I687="Exc","Excelsa",I687="Ara","Arabica",I687="Lib","Liberica")</f>
        <v>Liberica</v>
      </c>
      <c r="O687" t="str" cm="1">
        <f t="array" ref="O687">_xlfn.IFS(J687="M","Midium",J687="L","Light",J687="D","Dark")</f>
        <v>Light</v>
      </c>
      <c r="P687" t="str">
        <f>_xlfn.XLOOKUP(Orders[[#This Row],[Customer ID]],customers!A:A,customers!I:I,,0)</f>
        <v>Yes</v>
      </c>
      <c r="Q687" t="str">
        <f>_xlfn.XLOOKUP(C688,customers!A:A,customers!B:B,"مش موجود")</f>
        <v>Deonne Shortall</v>
      </c>
    </row>
    <row r="688" spans="1:17" x14ac:dyDescent="0.25">
      <c r="A688" s="2" t="s">
        <v>4365</v>
      </c>
      <c r="B688" s="3">
        <v>44330</v>
      </c>
      <c r="C688" s="2" t="s">
        <v>4366</v>
      </c>
      <c r="D688" t="s">
        <v>6163</v>
      </c>
      <c r="E688" s="2">
        <v>3</v>
      </c>
      <c r="F688" s="2" t="str">
        <f>_xlfn.XLOOKUP(Orders[[#This Row],[Customer ID]],customers!A:A,customers!B:B)</f>
        <v>Deonne Shortall</v>
      </c>
      <c r="G688" s="2" t="str" cm="1">
        <f t="array" ref="G688">IF(_xlfn.XLOOKUP(C688,customers!A687:$A$1001,customers!C687:$C$1001,,0)=0,"",_xlfn.XLOOKUP(C688,customers!A687:$A$1001,customers!C687:$C$1001,,0))</f>
        <v>dshortallj2@wikipedia.org</v>
      </c>
      <c r="H688" s="2" t="str" cm="1">
        <f t="array" ref="H688">_xlfn.XLOOKUP(C688,customers!A687:$A$1001,customers!G687:$G$1001,"Ireland",0)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10"/>
        <v>8.0549999999999997</v>
      </c>
      <c r="N688" t="str" cm="1">
        <f t="array" ref="N688">_xlfn.IFS(I688="Rob","Robusta",I688="Exc","Excelsa",I688="Ara","Arabica",I688="Lib","Liberica")</f>
        <v>Robusta</v>
      </c>
      <c r="O688" t="str" cm="1">
        <f t="array" ref="O688">_xlfn.IFS(J688="M","Midium",J688="L","Light",J688="D","Dark")</f>
        <v>Dark</v>
      </c>
      <c r="P688" t="str">
        <f>_xlfn.XLOOKUP(Orders[[#This Row],[Customer ID]],customers!A:A,customers!I:I,,0)</f>
        <v>Yes</v>
      </c>
      <c r="Q688" t="str">
        <f>_xlfn.XLOOKUP(C689,customers!A:A,customers!B:B,"مش موجود")</f>
        <v>Wilton Cottier</v>
      </c>
    </row>
    <row r="689" spans="1:17" x14ac:dyDescent="0.25">
      <c r="A689" s="2" t="s">
        <v>4371</v>
      </c>
      <c r="B689" s="3">
        <v>43471</v>
      </c>
      <c r="C689" s="2" t="s">
        <v>4372</v>
      </c>
      <c r="D689" t="s">
        <v>6139</v>
      </c>
      <c r="E689" s="2">
        <v>2</v>
      </c>
      <c r="F689" s="2" t="str">
        <f>_xlfn.XLOOKUP(Orders[[#This Row],[Customer ID]],customers!A:A,customers!B:B)</f>
        <v>Wilton Cottier</v>
      </c>
      <c r="G689" s="2" t="str" cm="1">
        <f t="array" ref="G689">IF(_xlfn.XLOOKUP(C689,customers!A688:$A$1001,customers!C688:$C$1001,,0)=0,"",_xlfn.XLOOKUP(C689,customers!A688:$A$1001,customers!C688:$C$1001,,0))</f>
        <v>wcottierj3@cafepress.com</v>
      </c>
      <c r="H689" s="2" t="str" cm="1">
        <f t="array" ref="H689">_xlfn.XLOOKUP(C689,customers!A688:$A$1001,customers!G688:$G$1001,"Ireland",0)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10"/>
        <v>16.5</v>
      </c>
      <c r="N689" t="str" cm="1">
        <f t="array" ref="N689">_xlfn.IFS(I689="Rob","Robusta",I689="Exc","Excelsa",I689="Ara","Arabica",I689="Lib","Liberica")</f>
        <v>Excelsa</v>
      </c>
      <c r="O689" t="str" cm="1">
        <f t="array" ref="O689">_xlfn.IFS(J689="M","Midium",J689="L","Light",J689="D","Dark")</f>
        <v>Midium</v>
      </c>
      <c r="P689" t="str">
        <f>_xlfn.XLOOKUP(Orders[[#This Row],[Customer ID]],customers!A:A,customers!I:I,,0)</f>
        <v>No</v>
      </c>
      <c r="Q689" t="str">
        <f>_xlfn.XLOOKUP(C690,customers!A:A,customers!B:B,"مش موجود")</f>
        <v>Kevan Grinsted</v>
      </c>
    </row>
    <row r="690" spans="1:17" x14ac:dyDescent="0.25">
      <c r="A690" s="2" t="s">
        <v>4377</v>
      </c>
      <c r="B690" s="3">
        <v>43579</v>
      </c>
      <c r="C690" s="2" t="s">
        <v>4378</v>
      </c>
      <c r="D690" t="s">
        <v>6140</v>
      </c>
      <c r="E690" s="2">
        <v>5</v>
      </c>
      <c r="F690" s="2" t="str">
        <f>_xlfn.XLOOKUP(Orders[[#This Row],[Customer ID]],customers!A:A,customers!B:B)</f>
        <v>Kevan Grinsted</v>
      </c>
      <c r="G690" s="2" t="str" cm="1">
        <f t="array" ref="G690">IF(_xlfn.XLOOKUP(C690,customers!A689:$A$1001,customers!C689:$C$1001,,0)=0,"",_xlfn.XLOOKUP(C690,customers!A689:$A$1001,customers!C689:$C$1001,,0))</f>
        <v>kgrinstedj4@google.com.br</v>
      </c>
      <c r="H690" s="2" t="str" cm="1">
        <f t="array" ref="H690">_xlfn.XLOOKUP(C690,customers!A689:$A$1001,customers!G689:$G$1001,"Ireland",0)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10"/>
        <v>64.75</v>
      </c>
      <c r="N690" t="str" cm="1">
        <f t="array" ref="N690">_xlfn.IFS(I690="Rob","Robusta",I690="Exc","Excelsa",I690="Ara","Arabica",I690="Lib","Liberica")</f>
        <v>Arabica</v>
      </c>
      <c r="O690" t="str" cm="1">
        <f t="array" ref="O690">_xlfn.IFS(J690="M","Midium",J690="L","Light",J690="D","Dark")</f>
        <v>Light</v>
      </c>
      <c r="P690" t="str">
        <f>_xlfn.XLOOKUP(Orders[[#This Row],[Customer ID]],customers!A:A,customers!I:I,,0)</f>
        <v>No</v>
      </c>
      <c r="Q690" t="str">
        <f>_xlfn.XLOOKUP(C691,customers!A:A,customers!B:B,"مش موجود")</f>
        <v>Dionne Skyner</v>
      </c>
    </row>
    <row r="691" spans="1:17" x14ac:dyDescent="0.25">
      <c r="A691" s="2" t="s">
        <v>4383</v>
      </c>
      <c r="B691" s="3">
        <v>44346</v>
      </c>
      <c r="C691" s="2" t="s">
        <v>4384</v>
      </c>
      <c r="D691" t="s">
        <v>6157</v>
      </c>
      <c r="E691" s="2">
        <v>5</v>
      </c>
      <c r="F691" s="2" t="str">
        <f>_xlfn.XLOOKUP(Orders[[#This Row],[Customer ID]],customers!A:A,customers!B:B)</f>
        <v>Dionne Skyner</v>
      </c>
      <c r="G691" s="2" t="str" cm="1">
        <f t="array" ref="G691">IF(_xlfn.XLOOKUP(C691,customers!A690:$A$1001,customers!C690:$C$1001,,0)=0,"",_xlfn.XLOOKUP(C691,customers!A690:$A$1001,customers!C690:$C$1001,,0))</f>
        <v>dskynerj5@hubpages.com</v>
      </c>
      <c r="H691" s="2" t="str" cm="1">
        <f t="array" ref="H691">_xlfn.XLOOKUP(C691,customers!A690:$A$1001,customers!G690:$G$1001,"Ireland",0)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10"/>
        <v>33.75</v>
      </c>
      <c r="N691" t="str" cm="1">
        <f t="array" ref="N691">_xlfn.IFS(I691="Rob","Robusta",I691="Exc","Excelsa",I691="Ara","Arabica",I691="Lib","Liberica")</f>
        <v>Arabica</v>
      </c>
      <c r="O691" t="str" cm="1">
        <f t="array" ref="O691">_xlfn.IFS(J691="M","Midium",J691="L","Light",J691="D","Dark")</f>
        <v>Midium</v>
      </c>
      <c r="P691" t="str">
        <f>_xlfn.XLOOKUP(Orders[[#This Row],[Customer ID]],customers!A:A,customers!I:I,,0)</f>
        <v>No</v>
      </c>
      <c r="Q691" t="str">
        <f>_xlfn.XLOOKUP(C692,customers!A:A,customers!B:B,"مش موجود")</f>
        <v>Francesco Dressel</v>
      </c>
    </row>
    <row r="692" spans="1:17" x14ac:dyDescent="0.25">
      <c r="A692" s="2" t="s">
        <v>4389</v>
      </c>
      <c r="B692" s="3">
        <v>44754</v>
      </c>
      <c r="C692" s="2" t="s">
        <v>4390</v>
      </c>
      <c r="D692" t="s">
        <v>6165</v>
      </c>
      <c r="E692" s="2">
        <v>6</v>
      </c>
      <c r="F692" s="2" t="str">
        <f>_xlfn.XLOOKUP(Orders[[#This Row],[Customer ID]],customers!A:A,customers!B:B)</f>
        <v>Francesco Dressel</v>
      </c>
      <c r="G692" s="2" t="str" cm="1">
        <f t="array" ref="G692">IF(_xlfn.XLOOKUP(C692,customers!A691:$A$1001,customers!C691:$C$1001,,0)=0,"",_xlfn.XLOOKUP(C692,customers!A691:$A$1001,customers!C691:$C$1001,,0))</f>
        <v/>
      </c>
      <c r="H692" s="2" t="str" cm="1">
        <f t="array" ref="H692">_xlfn.XLOOKUP(C692,customers!A691:$A$1001,customers!G691:$G$1001,"Ireland",0)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10"/>
        <v>178.70999999999998</v>
      </c>
      <c r="N692" t="str" cm="1">
        <f t="array" ref="N692">_xlfn.IFS(I692="Rob","Robusta",I692="Exc","Excelsa",I692="Ara","Arabica",I692="Lib","Liberica")</f>
        <v>Liberica</v>
      </c>
      <c r="O692" t="str" cm="1">
        <f t="array" ref="O692">_xlfn.IFS(J692="M","Midium",J692="L","Light",J692="D","Dark")</f>
        <v>Dark</v>
      </c>
      <c r="P692" t="str">
        <f>_xlfn.XLOOKUP(Orders[[#This Row],[Customer ID]],customers!A:A,customers!I:I,,0)</f>
        <v>No</v>
      </c>
      <c r="Q692" t="str">
        <f>_xlfn.XLOOKUP(C693,customers!A:A,customers!B:B,"مش موجود")</f>
        <v>Jimmy Dymoke</v>
      </c>
    </row>
    <row r="693" spans="1:17" x14ac:dyDescent="0.25">
      <c r="A693" s="2" t="s">
        <v>4393</v>
      </c>
      <c r="B693" s="3">
        <v>44227</v>
      </c>
      <c r="C693" s="2" t="s">
        <v>4434</v>
      </c>
      <c r="D693" t="s">
        <v>6155</v>
      </c>
      <c r="E693" s="2">
        <v>2</v>
      </c>
      <c r="F693" s="2" t="str">
        <f>_xlfn.XLOOKUP(Orders[[#This Row],[Customer ID]],customers!A:A,customers!B:B)</f>
        <v>Jimmy Dymoke</v>
      </c>
      <c r="G693" s="2" t="str" cm="1">
        <f t="array" ref="G693">IF(_xlfn.XLOOKUP(C693,customers!A692:$A$1001,customers!C692:$C$1001,,0)=0,"",_xlfn.XLOOKUP(C693,customers!A692:$A$1001,customers!C692:$C$1001,,0))</f>
        <v>jdymokeje@prnewswire.com</v>
      </c>
      <c r="H693" s="2" t="str" cm="1">
        <f t="array" ref="H693">_xlfn.XLOOKUP(C693,customers!A692:$A$1001,customers!G692:$G$1001,"Ireland",0)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10"/>
        <v>22.5</v>
      </c>
      <c r="N693" t="str" cm="1">
        <f t="array" ref="N693">_xlfn.IFS(I693="Rob","Robusta",I693="Exc","Excelsa",I693="Ara","Arabica",I693="Lib","Liberica")</f>
        <v>Arabica</v>
      </c>
      <c r="O693" t="str" cm="1">
        <f t="array" ref="O693">_xlfn.IFS(J693="M","Midium",J693="L","Light",J693="D","Dark")</f>
        <v>Midium</v>
      </c>
      <c r="P693" t="str">
        <f>_xlfn.XLOOKUP(Orders[[#This Row],[Customer ID]],customers!A:A,customers!I:I,,0)</f>
        <v>No</v>
      </c>
      <c r="Q693" t="str">
        <f>_xlfn.XLOOKUP(C694,customers!A:A,customers!B:B,"مش موجود")</f>
        <v>Ambrosio Weinmann</v>
      </c>
    </row>
    <row r="694" spans="1:17" x14ac:dyDescent="0.25">
      <c r="A694" s="2" t="s">
        <v>4399</v>
      </c>
      <c r="B694" s="3">
        <v>43720</v>
      </c>
      <c r="C694" s="2" t="s">
        <v>4400</v>
      </c>
      <c r="D694" t="s">
        <v>6143</v>
      </c>
      <c r="E694" s="2">
        <v>1</v>
      </c>
      <c r="F694" s="2" t="str">
        <f>_xlfn.XLOOKUP(Orders[[#This Row],[Customer ID]],customers!A:A,customers!B:B)</f>
        <v>Ambrosio Weinmann</v>
      </c>
      <c r="G694" s="2" t="str" cm="1">
        <f t="array" ref="G694">IF(_xlfn.XLOOKUP(C694,customers!A693:$A$1001,customers!C693:$C$1001,,0)=0,"",_xlfn.XLOOKUP(C694,customers!A693:$A$1001,customers!C693:$C$1001,,0))</f>
        <v>aweinmannj8@shinystat.com</v>
      </c>
      <c r="H694" s="2" t="str" cm="1">
        <f t="array" ref="H694">_xlfn.XLOOKUP(C694,customers!A693:$A$1001,customers!G693:$G$1001,"Ireland",0)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10"/>
        <v>12.95</v>
      </c>
      <c r="N694" t="str" cm="1">
        <f t="array" ref="N694">_xlfn.IFS(I694="Rob","Robusta",I694="Exc","Excelsa",I694="Ara","Arabica",I694="Lib","Liberica")</f>
        <v>Liberica</v>
      </c>
      <c r="O694" t="str" cm="1">
        <f t="array" ref="O694">_xlfn.IFS(J694="M","Midium",J694="L","Light",J694="D","Dark")</f>
        <v>Dark</v>
      </c>
      <c r="P694" t="str">
        <f>_xlfn.XLOOKUP(Orders[[#This Row],[Customer ID]],customers!A:A,customers!I:I,,0)</f>
        <v>No</v>
      </c>
      <c r="Q694" t="str">
        <f>_xlfn.XLOOKUP(C695,customers!A:A,customers!B:B,"مش موجود")</f>
        <v>Elden Andriessen</v>
      </c>
    </row>
    <row r="695" spans="1:17" x14ac:dyDescent="0.25">
      <c r="A695" s="2" t="s">
        <v>4405</v>
      </c>
      <c r="B695" s="3">
        <v>44012</v>
      </c>
      <c r="C695" s="2" t="s">
        <v>4406</v>
      </c>
      <c r="D695" t="s">
        <v>6175</v>
      </c>
      <c r="E695" s="2">
        <v>2</v>
      </c>
      <c r="F695" s="2" t="str">
        <f>_xlfn.XLOOKUP(Orders[[#This Row],[Customer ID]],customers!A:A,customers!B:B)</f>
        <v>Elden Andriessen</v>
      </c>
      <c r="G695" s="2" t="str" cm="1">
        <f t="array" ref="G695">IF(_xlfn.XLOOKUP(C695,customers!A694:$A$1001,customers!C694:$C$1001,,0)=0,"",_xlfn.XLOOKUP(C695,customers!A694:$A$1001,customers!C694:$C$1001,,0))</f>
        <v>eandriessenj9@europa.eu</v>
      </c>
      <c r="H695" s="2" t="str" cm="1">
        <f t="array" ref="H695">_xlfn.XLOOKUP(C695,customers!A694:$A$1001,customers!G694:$G$1001,"Ireland",0)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10"/>
        <v>51.749999999999993</v>
      </c>
      <c r="N695" t="str" cm="1">
        <f t="array" ref="N695">_xlfn.IFS(I695="Rob","Robusta",I695="Exc","Excelsa",I695="Ara","Arabica",I695="Lib","Liberica")</f>
        <v>Arabica</v>
      </c>
      <c r="O695" t="str" cm="1">
        <f t="array" ref="O695">_xlfn.IFS(J695="M","Midium",J695="L","Light",J695="D","Dark")</f>
        <v>Midium</v>
      </c>
      <c r="P695" t="str">
        <f>_xlfn.XLOOKUP(Orders[[#This Row],[Customer ID]],customers!A:A,customers!I:I,,0)</f>
        <v>Yes</v>
      </c>
      <c r="Q695" t="str">
        <f>_xlfn.XLOOKUP(C696,customers!A:A,customers!B:B,"مش موجود")</f>
        <v>Roxie Deaconson</v>
      </c>
    </row>
    <row r="696" spans="1:17" x14ac:dyDescent="0.25">
      <c r="A696" s="2" t="s">
        <v>4411</v>
      </c>
      <c r="B696" s="3">
        <v>43915</v>
      </c>
      <c r="C696" s="2" t="s">
        <v>4412</v>
      </c>
      <c r="D696" t="s">
        <v>6144</v>
      </c>
      <c r="E696" s="2">
        <v>5</v>
      </c>
      <c r="F696" s="2" t="str">
        <f>_xlfn.XLOOKUP(Orders[[#This Row],[Customer ID]],customers!A:A,customers!B:B)</f>
        <v>Roxie Deaconson</v>
      </c>
      <c r="G696" s="2" t="str" cm="1">
        <f t="array" ref="G696">IF(_xlfn.XLOOKUP(C696,customers!A695:$A$1001,customers!C695:$C$1001,,0)=0,"",_xlfn.XLOOKUP(C696,customers!A695:$A$1001,customers!C695:$C$1001,,0))</f>
        <v>rdeaconsonja@archive.org</v>
      </c>
      <c r="H696" s="2" t="str" cm="1">
        <f t="array" ref="H696">_xlfn.XLOOKUP(C696,customers!A695:$A$1001,customers!G695:$G$1001,"Ireland",0)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10"/>
        <v>36.450000000000003</v>
      </c>
      <c r="N696" t="str" cm="1">
        <f t="array" ref="N696">_xlfn.IFS(I696="Rob","Robusta",I696="Exc","Excelsa",I696="Ara","Arabica",I696="Lib","Liberica")</f>
        <v>Excelsa</v>
      </c>
      <c r="O696" t="str" cm="1">
        <f t="array" ref="O696">_xlfn.IFS(J696="M","Midium",J696="L","Light",J696="D","Dark")</f>
        <v>Dark</v>
      </c>
      <c r="P696" t="str">
        <f>_xlfn.XLOOKUP(Orders[[#This Row],[Customer ID]],customers!A:A,customers!I:I,,0)</f>
        <v>No</v>
      </c>
      <c r="Q696" t="str">
        <f>_xlfn.XLOOKUP(C697,customers!A:A,customers!B:B,"مش موجود")</f>
        <v>Davida Caro</v>
      </c>
    </row>
    <row r="697" spans="1:17" x14ac:dyDescent="0.25">
      <c r="A697" s="2" t="s">
        <v>4417</v>
      </c>
      <c r="B697" s="3">
        <v>44300</v>
      </c>
      <c r="C697" s="2" t="s">
        <v>4418</v>
      </c>
      <c r="D697" t="s">
        <v>6164</v>
      </c>
      <c r="E697" s="2">
        <v>5</v>
      </c>
      <c r="F697" s="2" t="str">
        <f>_xlfn.XLOOKUP(Orders[[#This Row],[Customer ID]],customers!A:A,customers!B:B)</f>
        <v>Davida Caro</v>
      </c>
      <c r="G697" s="2" t="str" cm="1">
        <f t="array" ref="G697">IF(_xlfn.XLOOKUP(C697,customers!A696:$A$1001,customers!C696:$C$1001,,0)=0,"",_xlfn.XLOOKUP(C697,customers!A696:$A$1001,customers!C696:$C$1001,,0))</f>
        <v>dcarojb@twitter.com</v>
      </c>
      <c r="H697" s="2" t="str" cm="1">
        <f t="array" ref="H697">_xlfn.XLOOKUP(C697,customers!A696:$A$1001,customers!G696:$G$1001,"Ireland",0)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10"/>
        <v>182.27499999999998</v>
      </c>
      <c r="N697" t="str" cm="1">
        <f t="array" ref="N697">_xlfn.IFS(I697="Rob","Robusta",I697="Exc","Excelsa",I697="Ara","Arabica",I697="Lib","Liberica")</f>
        <v>Liberica</v>
      </c>
      <c r="O697" t="str" cm="1">
        <f t="array" ref="O697">_xlfn.IFS(J697="M","Midium",J697="L","Light",J697="D","Dark")</f>
        <v>Light</v>
      </c>
      <c r="P697" t="str">
        <f>_xlfn.XLOOKUP(Orders[[#This Row],[Customer ID]],customers!A:A,customers!I:I,,0)</f>
        <v>Yes</v>
      </c>
      <c r="Q697" t="str">
        <f>_xlfn.XLOOKUP(C698,customers!A:A,customers!B:B,"مش موجود")</f>
        <v>Johna Bluck</v>
      </c>
    </row>
    <row r="698" spans="1:17" x14ac:dyDescent="0.25">
      <c r="A698" s="2" t="s">
        <v>4423</v>
      </c>
      <c r="B698" s="3">
        <v>43693</v>
      </c>
      <c r="C698" s="2" t="s">
        <v>4424</v>
      </c>
      <c r="D698" t="s">
        <v>6169</v>
      </c>
      <c r="E698" s="2">
        <v>4</v>
      </c>
      <c r="F698" s="2" t="str">
        <f>_xlfn.XLOOKUP(Orders[[#This Row],[Customer ID]],customers!A:A,customers!B:B)</f>
        <v>Johna Bluck</v>
      </c>
      <c r="G698" s="2" t="str" cm="1">
        <f t="array" ref="G698">IF(_xlfn.XLOOKUP(C698,customers!A697:$A$1001,customers!C697:$C$1001,,0)=0,"",_xlfn.XLOOKUP(C698,customers!A697:$A$1001,customers!C697:$C$1001,,0))</f>
        <v>jbluckjc@imageshack.us</v>
      </c>
      <c r="H698" s="2" t="str" cm="1">
        <f t="array" ref="H698">_xlfn.XLOOKUP(C698,customers!A697:$A$1001,customers!G697:$G$1001,"Ireland",0)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10"/>
        <v>31.08</v>
      </c>
      <c r="N698" t="str" cm="1">
        <f t="array" ref="N698">_xlfn.IFS(I698="Rob","Robusta",I698="Exc","Excelsa",I698="Ara","Arabica",I698="Lib","Liberica")</f>
        <v>Liberica</v>
      </c>
      <c r="O698" t="str" cm="1">
        <f t="array" ref="O698">_xlfn.IFS(J698="M","Midium",J698="L","Light",J698="D","Dark")</f>
        <v>Dark</v>
      </c>
      <c r="P698" t="str">
        <f>_xlfn.XLOOKUP(Orders[[#This Row],[Customer ID]],customers!A:A,customers!I:I,,0)</f>
        <v>No</v>
      </c>
      <c r="Q698" t="str">
        <f>_xlfn.XLOOKUP(C699,customers!A:A,customers!B:B,"مش موجود")</f>
        <v>Myrle Dearden</v>
      </c>
    </row>
    <row r="699" spans="1:17" x14ac:dyDescent="0.25">
      <c r="A699" s="2" t="s">
        <v>4429</v>
      </c>
      <c r="B699" s="3">
        <v>44547</v>
      </c>
      <c r="C699" s="2" t="s">
        <v>4430</v>
      </c>
      <c r="D699" t="s">
        <v>6157</v>
      </c>
      <c r="E699" s="2">
        <v>3</v>
      </c>
      <c r="F699" s="2" t="str">
        <f>_xlfn.XLOOKUP(Orders[[#This Row],[Customer ID]],customers!A:A,customers!B:B)</f>
        <v>Myrle Dearden</v>
      </c>
      <c r="G699" s="2" t="str" cm="1">
        <f t="array" ref="G699">IF(_xlfn.XLOOKUP(C699,customers!A698:$A$1001,customers!C698:$C$1001,,0)=0,"",_xlfn.XLOOKUP(C699,customers!A698:$A$1001,customers!C698:$C$1001,,0))</f>
        <v/>
      </c>
      <c r="H699" s="2" t="str" cm="1">
        <f t="array" ref="H699">_xlfn.XLOOKUP(C699,customers!A698:$A$1001,customers!G698:$G$1001,"Ireland",0)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10"/>
        <v>20.25</v>
      </c>
      <c r="N699" t="str" cm="1">
        <f t="array" ref="N699">_xlfn.IFS(I699="Rob","Robusta",I699="Exc","Excelsa",I699="Ara","Arabica",I699="Lib","Liberica")</f>
        <v>Arabica</v>
      </c>
      <c r="O699" t="str" cm="1">
        <f t="array" ref="O699">_xlfn.IFS(J699="M","Midium",J699="L","Light",J699="D","Dark")</f>
        <v>Midium</v>
      </c>
      <c r="P699" t="str">
        <f>_xlfn.XLOOKUP(Orders[[#This Row],[Customer ID]],customers!A:A,customers!I:I,,0)</f>
        <v>No</v>
      </c>
      <c r="Q699" t="str">
        <f>_xlfn.XLOOKUP(C700,customers!A:A,customers!B:B,"مش موجود")</f>
        <v>Jimmy Dymoke</v>
      </c>
    </row>
    <row r="700" spans="1:17" x14ac:dyDescent="0.25">
      <c r="A700" s="2" t="s">
        <v>4433</v>
      </c>
      <c r="B700" s="3">
        <v>43830</v>
      </c>
      <c r="C700" s="2" t="s">
        <v>4434</v>
      </c>
      <c r="D700" t="s">
        <v>6143</v>
      </c>
      <c r="E700" s="2">
        <v>2</v>
      </c>
      <c r="F700" s="2" t="str">
        <f>_xlfn.XLOOKUP(Orders[[#This Row],[Customer ID]],customers!A:A,customers!B:B)</f>
        <v>Jimmy Dymoke</v>
      </c>
      <c r="G700" s="2" t="str" cm="1">
        <f t="array" ref="G700">IF(_xlfn.XLOOKUP(C700,customers!A699:$A$1001,customers!C699:$C$1001,,0)=0,"",_xlfn.XLOOKUP(C700,customers!A699:$A$1001,customers!C699:$C$1001,,0))</f>
        <v>jdymokeje@prnewswire.com</v>
      </c>
      <c r="H700" s="2" t="str" cm="1">
        <f t="array" ref="H700">_xlfn.XLOOKUP(C700,customers!A699:$A$1001,customers!G699:$G$1001,"Ireland",0)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10"/>
        <v>25.9</v>
      </c>
      <c r="N700" t="str" cm="1">
        <f t="array" ref="N700">_xlfn.IFS(I700="Rob","Robusta",I700="Exc","Excelsa",I700="Ara","Arabica",I700="Lib","Liberica")</f>
        <v>Liberica</v>
      </c>
      <c r="O700" t="str" cm="1">
        <f t="array" ref="O700">_xlfn.IFS(J700="M","Midium",J700="L","Light",J700="D","Dark")</f>
        <v>Dark</v>
      </c>
      <c r="P700" t="str">
        <f>_xlfn.XLOOKUP(Orders[[#This Row],[Customer ID]],customers!A:A,customers!I:I,,0)</f>
        <v>No</v>
      </c>
      <c r="Q700" t="str">
        <f>_xlfn.XLOOKUP(C701,customers!A:A,customers!B:B,"مش موجود")</f>
        <v>Orland Tadman</v>
      </c>
    </row>
    <row r="701" spans="1:17" x14ac:dyDescent="0.25">
      <c r="A701" s="2" t="s">
        <v>4439</v>
      </c>
      <c r="B701" s="3">
        <v>44298</v>
      </c>
      <c r="C701" s="2" t="s">
        <v>4440</v>
      </c>
      <c r="D701" t="s">
        <v>6158</v>
      </c>
      <c r="E701" s="2">
        <v>4</v>
      </c>
      <c r="F701" s="2" t="str">
        <f>_xlfn.XLOOKUP(Orders[[#This Row],[Customer ID]],customers!A:A,customers!B:B)</f>
        <v>Orland Tadman</v>
      </c>
      <c r="G701" s="2" t="str" cm="1">
        <f t="array" ref="G701">IF(_xlfn.XLOOKUP(C701,customers!A700:$A$1001,customers!C700:$C$1001,,0)=0,"",_xlfn.XLOOKUP(C701,customers!A700:$A$1001,customers!C700:$C$1001,,0))</f>
        <v>otadmanjf@ft.com</v>
      </c>
      <c r="H701" s="2" t="str" cm="1">
        <f t="array" ref="H701">_xlfn.XLOOKUP(C701,customers!A700:$A$1001,customers!G700:$G$1001,"Ireland",0)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10"/>
        <v>23.88</v>
      </c>
      <c r="N701" t="str" cm="1">
        <f t="array" ref="N701">_xlfn.IFS(I701="Rob","Robusta",I701="Exc","Excelsa",I701="Ara","Arabica",I701="Lib","Liberica")</f>
        <v>Arabica</v>
      </c>
      <c r="O701" t="str" cm="1">
        <f t="array" ref="O701">_xlfn.IFS(J701="M","Midium",J701="L","Light",J701="D","Dark")</f>
        <v>Dark</v>
      </c>
      <c r="P701" t="str">
        <f>_xlfn.XLOOKUP(Orders[[#This Row],[Customer ID]],customers!A:A,customers!I:I,,0)</f>
        <v>Yes</v>
      </c>
      <c r="Q701" t="str">
        <f>_xlfn.XLOOKUP(C702,customers!A:A,customers!B:B,"مش موجود")</f>
        <v>Barrett Gudde</v>
      </c>
    </row>
    <row r="702" spans="1:17" x14ac:dyDescent="0.25">
      <c r="A702" s="2" t="s">
        <v>4445</v>
      </c>
      <c r="B702" s="3">
        <v>43736</v>
      </c>
      <c r="C702" s="2" t="s">
        <v>4446</v>
      </c>
      <c r="D702" t="s">
        <v>6161</v>
      </c>
      <c r="E702" s="2">
        <v>2</v>
      </c>
      <c r="F702" s="2" t="str">
        <f>_xlfn.XLOOKUP(Orders[[#This Row],[Customer ID]],customers!A:A,customers!B:B)</f>
        <v>Barrett Gudde</v>
      </c>
      <c r="G702" s="2" t="str" cm="1">
        <f t="array" ref="G702">IF(_xlfn.XLOOKUP(C702,customers!A701:$A$1001,customers!C701:$C$1001,,0)=0,"",_xlfn.XLOOKUP(C702,customers!A701:$A$1001,customers!C701:$C$1001,,0))</f>
        <v>bguddejg@dailymotion.com</v>
      </c>
      <c r="H702" s="2" t="str" cm="1">
        <f t="array" ref="H702">_xlfn.XLOOKUP(C702,customers!A701:$A$1001,customers!G701:$G$1001,"Ireland",0)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10"/>
        <v>19.02</v>
      </c>
      <c r="N702" t="str" cm="1">
        <f t="array" ref="N702">_xlfn.IFS(I702="Rob","Robusta",I702="Exc","Excelsa",I702="Ara","Arabica",I702="Lib","Liberica")</f>
        <v>Liberica</v>
      </c>
      <c r="O702" t="str" cm="1">
        <f t="array" ref="O702">_xlfn.IFS(J702="M","Midium",J702="L","Light",J702="D","Dark")</f>
        <v>Light</v>
      </c>
      <c r="P702" t="str">
        <f>_xlfn.XLOOKUP(Orders[[#This Row],[Customer ID]],customers!A:A,customers!I:I,,0)</f>
        <v>No</v>
      </c>
      <c r="Q702" t="str">
        <f>_xlfn.XLOOKUP(C703,customers!A:A,customers!B:B,"مش موجود")</f>
        <v>Nathan Sictornes</v>
      </c>
    </row>
    <row r="703" spans="1:17" x14ac:dyDescent="0.25">
      <c r="A703" s="2" t="s">
        <v>4450</v>
      </c>
      <c r="B703" s="3">
        <v>44727</v>
      </c>
      <c r="C703" s="2" t="s">
        <v>4451</v>
      </c>
      <c r="D703" t="s">
        <v>6158</v>
      </c>
      <c r="E703" s="2">
        <v>5</v>
      </c>
      <c r="F703" s="2" t="str">
        <f>_xlfn.XLOOKUP(Orders[[#This Row],[Customer ID]],customers!A:A,customers!B:B)</f>
        <v>Nathan Sictornes</v>
      </c>
      <c r="G703" s="2" t="str" cm="1">
        <f t="array" ref="G703">IF(_xlfn.XLOOKUP(C703,customers!A702:$A$1001,customers!C702:$C$1001,,0)=0,"",_xlfn.XLOOKUP(C703,customers!A702:$A$1001,customers!C702:$C$1001,,0))</f>
        <v>nsictornesjh@buzzfeed.com</v>
      </c>
      <c r="H703" s="2" t="str" cm="1">
        <f t="array" ref="H703">_xlfn.XLOOKUP(C703,customers!A702:$A$1001,customers!G702:$G$1001,"Ireland",0)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10"/>
        <v>29.849999999999998</v>
      </c>
      <c r="N703" t="str" cm="1">
        <f t="array" ref="N703">_xlfn.IFS(I703="Rob","Robusta",I703="Exc","Excelsa",I703="Ara","Arabica",I703="Lib","Liberica")</f>
        <v>Arabica</v>
      </c>
      <c r="O703" t="str" cm="1">
        <f t="array" ref="O703">_xlfn.IFS(J703="M","Midium",J703="L","Light",J703="D","Dark")</f>
        <v>Dark</v>
      </c>
      <c r="P703" t="str">
        <f>_xlfn.XLOOKUP(Orders[[#This Row],[Customer ID]],customers!A:A,customers!I:I,,0)</f>
        <v>Yes</v>
      </c>
      <c r="Q703" t="str">
        <f>_xlfn.XLOOKUP(C704,customers!A:A,customers!B:B,"مش موجود")</f>
        <v>Vivyan Dunning</v>
      </c>
    </row>
    <row r="704" spans="1:17" x14ac:dyDescent="0.25">
      <c r="A704" s="2" t="s">
        <v>4456</v>
      </c>
      <c r="B704" s="3">
        <v>43661</v>
      </c>
      <c r="C704" s="2" t="s">
        <v>4457</v>
      </c>
      <c r="D704" t="s">
        <v>6180</v>
      </c>
      <c r="E704" s="2">
        <v>1</v>
      </c>
      <c r="F704" s="2" t="str">
        <f>_xlfn.XLOOKUP(Orders[[#This Row],[Customer ID]],customers!A:A,customers!B:B)</f>
        <v>Vivyan Dunning</v>
      </c>
      <c r="G704" s="2" t="str" cm="1">
        <f t="array" ref="G704">IF(_xlfn.XLOOKUP(C704,customers!A703:$A$1001,customers!C703:$C$1001,,0)=0,"",_xlfn.XLOOKUP(C704,customers!A703:$A$1001,customers!C703:$C$1001,,0))</f>
        <v>vdunningji@independent.co.uk</v>
      </c>
      <c r="H704" s="2" t="str" cm="1">
        <f t="array" ref="H704">_xlfn.XLOOKUP(C704,customers!A703:$A$1001,customers!G703:$G$1001,"Ireland",0)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10"/>
        <v>7.77</v>
      </c>
      <c r="N704" t="str" cm="1">
        <f t="array" ref="N704">_xlfn.IFS(I704="Rob","Robusta",I704="Exc","Excelsa",I704="Ara","Arabica",I704="Lib","Liberica")</f>
        <v>Arabica</v>
      </c>
      <c r="O704" t="str" cm="1">
        <f t="array" ref="O704">_xlfn.IFS(J704="M","Midium",J704="L","Light",J704="D","Dark")</f>
        <v>Light</v>
      </c>
      <c r="P704" t="str">
        <f>_xlfn.XLOOKUP(Orders[[#This Row],[Customer ID]],customers!A:A,customers!I:I,,0)</f>
        <v>Yes</v>
      </c>
      <c r="Q704" t="str">
        <f>_xlfn.XLOOKUP(C705,customers!A:A,customers!B:B,"مش موجود")</f>
        <v>Doralin Baison</v>
      </c>
    </row>
    <row r="705" spans="1:17" x14ac:dyDescent="0.25">
      <c r="A705" s="2" t="s">
        <v>4461</v>
      </c>
      <c r="B705" s="3">
        <v>43506</v>
      </c>
      <c r="C705" s="2" t="s">
        <v>4462</v>
      </c>
      <c r="D705" t="s">
        <v>6165</v>
      </c>
      <c r="E705" s="2">
        <v>4</v>
      </c>
      <c r="F705" s="2" t="str">
        <f>_xlfn.XLOOKUP(Orders[[#This Row],[Customer ID]],customers!A:A,customers!B:B)</f>
        <v>Doralin Baison</v>
      </c>
      <c r="G705" s="2" t="str" cm="1">
        <f t="array" ref="G705">IF(_xlfn.XLOOKUP(C705,customers!A704:$A$1001,customers!C704:$C$1001,,0)=0,"",_xlfn.XLOOKUP(C705,customers!A704:$A$1001,customers!C704:$C$1001,,0))</f>
        <v/>
      </c>
      <c r="H705" s="2" t="str" cm="1">
        <f t="array" ref="H705">_xlfn.XLOOKUP(C705,customers!A704:$A$1001,customers!G704:$G$1001,"Ireland",0)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10"/>
        <v>119.13999999999999</v>
      </c>
      <c r="N705" t="str" cm="1">
        <f t="array" ref="N705">_xlfn.IFS(I705="Rob","Robusta",I705="Exc","Excelsa",I705="Ara","Arabica",I705="Lib","Liberica")</f>
        <v>Liberica</v>
      </c>
      <c r="O705" t="str" cm="1">
        <f t="array" ref="O705">_xlfn.IFS(J705="M","Midium",J705="L","Light",J705="D","Dark")</f>
        <v>Dark</v>
      </c>
      <c r="P705" t="str">
        <f>_xlfn.XLOOKUP(Orders[[#This Row],[Customer ID]],customers!A:A,customers!I:I,,0)</f>
        <v>Yes</v>
      </c>
      <c r="Q705" t="str">
        <f>_xlfn.XLOOKUP(C706,customers!A:A,customers!B:B,"مش موجود")</f>
        <v>Josefina Ferens</v>
      </c>
    </row>
    <row r="706" spans="1:17" x14ac:dyDescent="0.25">
      <c r="A706" s="2" t="s">
        <v>4466</v>
      </c>
      <c r="B706" s="3">
        <v>44716</v>
      </c>
      <c r="C706" s="2" t="s">
        <v>4467</v>
      </c>
      <c r="D706" t="s">
        <v>6153</v>
      </c>
      <c r="E706" s="2">
        <v>6</v>
      </c>
      <c r="F706" s="2" t="str">
        <f>_xlfn.XLOOKUP(Orders[[#This Row],[Customer ID]],customers!A:A,customers!B:B)</f>
        <v>Josefina Ferens</v>
      </c>
      <c r="G706" s="2" t="str" cm="1">
        <f t="array" ref="G706">IF(_xlfn.XLOOKUP(C706,customers!A705:$A$1001,customers!C705:$C$1001,,0)=0,"",_xlfn.XLOOKUP(C706,customers!A705:$A$1001,customers!C705:$C$1001,,0))</f>
        <v/>
      </c>
      <c r="H706" s="2" t="str" cm="1">
        <f t="array" ref="H706">_xlfn.XLOOKUP(C706,customers!A705:$A$1001,customers!G705:$G$1001,"Ireland",0)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10"/>
        <v>21.87</v>
      </c>
      <c r="N706" t="str" cm="1">
        <f t="array" ref="N706">_xlfn.IFS(I706="Rob","Robusta",I706="Exc","Excelsa",I706="Ara","Arabica",I706="Lib","Liberica")</f>
        <v>Excelsa</v>
      </c>
      <c r="O706" t="str" cm="1">
        <f t="array" ref="O706">_xlfn.IFS(J706="M","Midium",J706="L","Light",J706="D","Dark")</f>
        <v>Dark</v>
      </c>
      <c r="P706" t="str">
        <f>_xlfn.XLOOKUP(Orders[[#This Row],[Customer ID]],customers!A:A,customers!I:I,,0)</f>
        <v>Yes</v>
      </c>
      <c r="Q706" t="str">
        <f>_xlfn.XLOOKUP(C707,customers!A:A,customers!B:B,"مش موجود")</f>
        <v>Shelley Gehring</v>
      </c>
    </row>
    <row r="707" spans="1:17" x14ac:dyDescent="0.25">
      <c r="A707" s="2" t="s">
        <v>4471</v>
      </c>
      <c r="B707" s="3">
        <v>44114</v>
      </c>
      <c r="C707" s="2" t="s">
        <v>4472</v>
      </c>
      <c r="D707" t="s">
        <v>6176</v>
      </c>
      <c r="E707" s="2">
        <v>2</v>
      </c>
      <c r="F707" s="2" t="str">
        <f>_xlfn.XLOOKUP(Orders[[#This Row],[Customer ID]],customers!A:A,customers!B:B)</f>
        <v>Shelley Gehring</v>
      </c>
      <c r="G707" s="2" t="str" cm="1">
        <f t="array" ref="G707">IF(_xlfn.XLOOKUP(C707,customers!A706:$A$1001,customers!C706:$C$1001,,0)=0,"",_xlfn.XLOOKUP(C707,customers!A706:$A$1001,customers!C706:$C$1001,,0))</f>
        <v>sgehringjl@gnu.org</v>
      </c>
      <c r="H707" s="2" t="str" cm="1">
        <f t="array" ref="H707">_xlfn.XLOOKUP(C707,customers!A706:$A$1001,customers!G706:$G$1001,"Ireland",0)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11">L707*E707</f>
        <v>17.82</v>
      </c>
      <c r="N707" t="str" cm="1">
        <f t="array" ref="N707">_xlfn.IFS(I707="Rob","Robusta",I707="Exc","Excelsa",I707="Ara","Arabica",I707="Lib","Liberica")</f>
        <v>Excelsa</v>
      </c>
      <c r="O707" t="str" cm="1">
        <f t="array" ref="O707">_xlfn.IFS(J707="M","Midium",J707="L","Light",J707="D","Dark")</f>
        <v>Light</v>
      </c>
      <c r="P707" t="str">
        <f>_xlfn.XLOOKUP(Orders[[#This Row],[Customer ID]],customers!A:A,customers!I:I,,0)</f>
        <v>No</v>
      </c>
      <c r="Q707" t="str">
        <f>_xlfn.XLOOKUP(C708,customers!A:A,customers!B:B,"مش موجود")</f>
        <v>Barrie Fallowes</v>
      </c>
    </row>
    <row r="708" spans="1:17" x14ac:dyDescent="0.25">
      <c r="A708" s="2" t="s">
        <v>4477</v>
      </c>
      <c r="B708" s="3">
        <v>44353</v>
      </c>
      <c r="C708" s="2" t="s">
        <v>4478</v>
      </c>
      <c r="D708" t="s">
        <v>6156</v>
      </c>
      <c r="E708" s="2">
        <v>3</v>
      </c>
      <c r="F708" s="2" t="str">
        <f>_xlfn.XLOOKUP(Orders[[#This Row],[Customer ID]],customers!A:A,customers!B:B)</f>
        <v>Barrie Fallowes</v>
      </c>
      <c r="G708" s="2" t="str" cm="1">
        <f t="array" ref="G708">IF(_xlfn.XLOOKUP(C708,customers!A707:$A$1001,customers!C707:$C$1001,,0)=0,"",_xlfn.XLOOKUP(C708,customers!A707:$A$1001,customers!C707:$C$1001,,0))</f>
        <v>bfallowesjm@purevolume.com</v>
      </c>
      <c r="H708" s="2" t="str" cm="1">
        <f t="array" ref="H708">_xlfn.XLOOKUP(C708,customers!A707:$A$1001,customers!G707:$G$1001,"Ireland",0)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11"/>
        <v>12.375</v>
      </c>
      <c r="N708" t="str" cm="1">
        <f t="array" ref="N708">_xlfn.IFS(I708="Rob","Robusta",I708="Exc","Excelsa",I708="Ara","Arabica",I708="Lib","Liberica")</f>
        <v>Excelsa</v>
      </c>
      <c r="O708" t="str" cm="1">
        <f t="array" ref="O708">_xlfn.IFS(J708="M","Midium",J708="L","Light",J708="D","Dark")</f>
        <v>Midium</v>
      </c>
      <c r="P708" t="str">
        <f>_xlfn.XLOOKUP(Orders[[#This Row],[Customer ID]],customers!A:A,customers!I:I,,0)</f>
        <v>No</v>
      </c>
      <c r="Q708" t="str">
        <f>_xlfn.XLOOKUP(C709,customers!A:A,customers!B:B,"مش موجود")</f>
        <v>Nicolas Aiton</v>
      </c>
    </row>
    <row r="709" spans="1:17" x14ac:dyDescent="0.25">
      <c r="A709" s="2" t="s">
        <v>4483</v>
      </c>
      <c r="B709" s="3">
        <v>43540</v>
      </c>
      <c r="C709" s="2" t="s">
        <v>4484</v>
      </c>
      <c r="D709" t="s">
        <v>6143</v>
      </c>
      <c r="E709" s="2">
        <v>2</v>
      </c>
      <c r="F709" s="2" t="str">
        <f>_xlfn.XLOOKUP(Orders[[#This Row],[Customer ID]],customers!A:A,customers!B:B)</f>
        <v>Nicolas Aiton</v>
      </c>
      <c r="G709" s="2" t="str" cm="1">
        <f t="array" ref="G709">IF(_xlfn.XLOOKUP(C709,customers!A708:$A$1001,customers!C708:$C$1001,,0)=0,"",_xlfn.XLOOKUP(C709,customers!A708:$A$1001,customers!C708:$C$1001,,0))</f>
        <v/>
      </c>
      <c r="H709" s="2" t="str" cm="1">
        <f t="array" ref="H709">_xlfn.XLOOKUP(C709,customers!A708:$A$1001,customers!G708:$G$1001,"Ireland",0)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11"/>
        <v>25.9</v>
      </c>
      <c r="N709" t="str" cm="1">
        <f t="array" ref="N709">_xlfn.IFS(I709="Rob","Robusta",I709="Exc","Excelsa",I709="Ara","Arabica",I709="Lib","Liberica")</f>
        <v>Liberica</v>
      </c>
      <c r="O709" t="str" cm="1">
        <f t="array" ref="O709">_xlfn.IFS(J709="M","Midium",J709="L","Light",J709="D","Dark")</f>
        <v>Dark</v>
      </c>
      <c r="P709" t="str">
        <f>_xlfn.XLOOKUP(Orders[[#This Row],[Customer ID]],customers!A:A,customers!I:I,,0)</f>
        <v>No</v>
      </c>
      <c r="Q709" t="str">
        <f>_xlfn.XLOOKUP(C710,customers!A:A,customers!B:B,"مش موجود")</f>
        <v>Shelli De Banke</v>
      </c>
    </row>
    <row r="710" spans="1:17" x14ac:dyDescent="0.25">
      <c r="A710" s="2" t="s">
        <v>4488</v>
      </c>
      <c r="B710" s="3">
        <v>43804</v>
      </c>
      <c r="C710" s="2" t="s">
        <v>4489</v>
      </c>
      <c r="D710" t="s">
        <v>6157</v>
      </c>
      <c r="E710" s="2">
        <v>2</v>
      </c>
      <c r="F710" s="2" t="str">
        <f>_xlfn.XLOOKUP(Orders[[#This Row],[Customer ID]],customers!A:A,customers!B:B)</f>
        <v>Shelli De Banke</v>
      </c>
      <c r="G710" s="2" t="str" cm="1">
        <f t="array" ref="G710">IF(_xlfn.XLOOKUP(C710,customers!A709:$A$1001,customers!C709:$C$1001,,0)=0,"",_xlfn.XLOOKUP(C710,customers!A709:$A$1001,customers!C709:$C$1001,,0))</f>
        <v>sdejo@newsvine.com</v>
      </c>
      <c r="H710" s="2" t="str" cm="1">
        <f t="array" ref="H710">_xlfn.XLOOKUP(C710,customers!A709:$A$1001,customers!G709:$G$1001,"Ireland",0)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11"/>
        <v>13.5</v>
      </c>
      <c r="N710" t="str" cm="1">
        <f t="array" ref="N710">_xlfn.IFS(I710="Rob","Robusta",I710="Exc","Excelsa",I710="Ara","Arabica",I710="Lib","Liberica")</f>
        <v>Arabica</v>
      </c>
      <c r="O710" t="str" cm="1">
        <f t="array" ref="O710">_xlfn.IFS(J710="M","Midium",J710="L","Light",J710="D","Dark")</f>
        <v>Midium</v>
      </c>
      <c r="P710" t="str">
        <f>_xlfn.XLOOKUP(Orders[[#This Row],[Customer ID]],customers!A:A,customers!I:I,,0)</f>
        <v>Yes</v>
      </c>
      <c r="Q710" t="str">
        <f>_xlfn.XLOOKUP(C711,customers!A:A,customers!B:B,"مش موجود")</f>
        <v>Lyell Murch</v>
      </c>
    </row>
    <row r="711" spans="1:17" x14ac:dyDescent="0.25">
      <c r="A711" s="2" t="s">
        <v>4494</v>
      </c>
      <c r="B711" s="3">
        <v>43485</v>
      </c>
      <c r="C711" s="2" t="s">
        <v>4495</v>
      </c>
      <c r="D711" t="s">
        <v>6176</v>
      </c>
      <c r="E711" s="2">
        <v>2</v>
      </c>
      <c r="F711" s="2" t="str">
        <f>_xlfn.XLOOKUP(Orders[[#This Row],[Customer ID]],customers!A:A,customers!B:B)</f>
        <v>Lyell Murch</v>
      </c>
      <c r="G711" s="2" t="str" cm="1">
        <f t="array" ref="G711">IF(_xlfn.XLOOKUP(C711,customers!A710:$A$1001,customers!C710:$C$1001,,0)=0,"",_xlfn.XLOOKUP(C711,customers!A710:$A$1001,customers!C710:$C$1001,,0))</f>
        <v/>
      </c>
      <c r="H711" s="2" t="str" cm="1">
        <f t="array" ref="H711">_xlfn.XLOOKUP(C711,customers!A710:$A$1001,customers!G710:$G$1001,"Ireland",0)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11"/>
        <v>17.82</v>
      </c>
      <c r="N711" t="str" cm="1">
        <f t="array" ref="N711">_xlfn.IFS(I711="Rob","Robusta",I711="Exc","Excelsa",I711="Ara","Arabica",I711="Lib","Liberica")</f>
        <v>Excelsa</v>
      </c>
      <c r="O711" t="str" cm="1">
        <f t="array" ref="O711">_xlfn.IFS(J711="M","Midium",J711="L","Light",J711="D","Dark")</f>
        <v>Light</v>
      </c>
      <c r="P711" t="str">
        <f>_xlfn.XLOOKUP(Orders[[#This Row],[Customer ID]],customers!A:A,customers!I:I,,0)</f>
        <v>Yes</v>
      </c>
      <c r="Q711" t="str">
        <f>_xlfn.XLOOKUP(C712,customers!A:A,customers!B:B,"مش موجود")</f>
        <v>Stearne Count</v>
      </c>
    </row>
    <row r="712" spans="1:17" x14ac:dyDescent="0.25">
      <c r="A712" s="2" t="s">
        <v>4499</v>
      </c>
      <c r="B712" s="3">
        <v>44655</v>
      </c>
      <c r="C712" s="2" t="s">
        <v>4500</v>
      </c>
      <c r="D712" t="s">
        <v>6139</v>
      </c>
      <c r="E712" s="2">
        <v>3</v>
      </c>
      <c r="F712" s="2" t="str">
        <f>_xlfn.XLOOKUP(Orders[[#This Row],[Customer ID]],customers!A:A,customers!B:B)</f>
        <v>Stearne Count</v>
      </c>
      <c r="G712" s="2" t="str" cm="1">
        <f t="array" ref="G712">IF(_xlfn.XLOOKUP(C712,customers!A711:$A$1001,customers!C711:$C$1001,,0)=0,"",_xlfn.XLOOKUP(C712,customers!A711:$A$1001,customers!C711:$C$1001,,0))</f>
        <v>scountjq@nba.com</v>
      </c>
      <c r="H712" s="2" t="str" cm="1">
        <f t="array" ref="H712">_xlfn.XLOOKUP(C712,customers!A711:$A$1001,customers!G711:$G$1001,"Ireland",0)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11"/>
        <v>24.75</v>
      </c>
      <c r="N712" t="str" cm="1">
        <f t="array" ref="N712">_xlfn.IFS(I712="Rob","Robusta",I712="Exc","Excelsa",I712="Ara","Arabica",I712="Lib","Liberica")</f>
        <v>Excelsa</v>
      </c>
      <c r="O712" t="str" cm="1">
        <f t="array" ref="O712">_xlfn.IFS(J712="M","Midium",J712="L","Light",J712="D","Dark")</f>
        <v>Midium</v>
      </c>
      <c r="P712" t="str">
        <f>_xlfn.XLOOKUP(Orders[[#This Row],[Customer ID]],customers!A:A,customers!I:I,,0)</f>
        <v>No</v>
      </c>
      <c r="Q712" t="str">
        <f>_xlfn.XLOOKUP(C713,customers!A:A,customers!B:B,"مش موجود")</f>
        <v>Selia Ragles</v>
      </c>
    </row>
    <row r="713" spans="1:17" x14ac:dyDescent="0.25">
      <c r="A713" s="2" t="s">
        <v>4505</v>
      </c>
      <c r="B713" s="3">
        <v>44600</v>
      </c>
      <c r="C713" s="2" t="s">
        <v>4506</v>
      </c>
      <c r="D713" t="s">
        <v>6174</v>
      </c>
      <c r="E713" s="2">
        <v>6</v>
      </c>
      <c r="F713" s="2" t="str">
        <f>_xlfn.XLOOKUP(Orders[[#This Row],[Customer ID]],customers!A:A,customers!B:B)</f>
        <v>Selia Ragles</v>
      </c>
      <c r="G713" s="2" t="str" cm="1">
        <f t="array" ref="G713">IF(_xlfn.XLOOKUP(C713,customers!A712:$A$1001,customers!C712:$C$1001,,0)=0,"",_xlfn.XLOOKUP(C713,customers!A712:$A$1001,customers!C712:$C$1001,,0))</f>
        <v>sraglesjr@blogtalkradio.com</v>
      </c>
      <c r="H713" s="2" t="str" cm="1">
        <f t="array" ref="H713">_xlfn.XLOOKUP(C713,customers!A712:$A$1001,customers!G712:$G$1001,"Ireland",0)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11"/>
        <v>17.91</v>
      </c>
      <c r="N713" t="str" cm="1">
        <f t="array" ref="N713">_xlfn.IFS(I713="Rob","Robusta",I713="Exc","Excelsa",I713="Ara","Arabica",I713="Lib","Liberica")</f>
        <v>Robusta</v>
      </c>
      <c r="O713" t="str" cm="1">
        <f t="array" ref="O713">_xlfn.IFS(J713="M","Midium",J713="L","Light",J713="D","Dark")</f>
        <v>Midium</v>
      </c>
      <c r="P713" t="str">
        <f>_xlfn.XLOOKUP(Orders[[#This Row],[Customer ID]],customers!A:A,customers!I:I,,0)</f>
        <v>No</v>
      </c>
      <c r="Q713" t="str">
        <f>_xlfn.XLOOKUP(C714,customers!A:A,customers!B:B,"مش موجود")</f>
        <v>Silas Deehan</v>
      </c>
    </row>
    <row r="714" spans="1:17" x14ac:dyDescent="0.25">
      <c r="A714" s="2" t="s">
        <v>4512</v>
      </c>
      <c r="B714" s="3">
        <v>43646</v>
      </c>
      <c r="C714" s="2" t="s">
        <v>4513</v>
      </c>
      <c r="D714" t="s">
        <v>6139</v>
      </c>
      <c r="E714" s="2">
        <v>2</v>
      </c>
      <c r="F714" s="2" t="str">
        <f>_xlfn.XLOOKUP(Orders[[#This Row],[Customer ID]],customers!A:A,customers!B:B)</f>
        <v>Silas Deehan</v>
      </c>
      <c r="G714" s="2" t="str" cm="1">
        <f t="array" ref="G714">IF(_xlfn.XLOOKUP(C714,customers!A713:$A$1001,customers!C713:$C$1001,,0)=0,"",_xlfn.XLOOKUP(C714,customers!A713:$A$1001,customers!C713:$C$1001,,0))</f>
        <v/>
      </c>
      <c r="H714" s="2" t="str" cm="1">
        <f t="array" ref="H714">_xlfn.XLOOKUP(C714,customers!A713:$A$1001,customers!G713:$G$1001,"Ireland",0)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11"/>
        <v>16.5</v>
      </c>
      <c r="N714" t="str" cm="1">
        <f t="array" ref="N714">_xlfn.IFS(I714="Rob","Robusta",I714="Exc","Excelsa",I714="Ara","Arabica",I714="Lib","Liberica")</f>
        <v>Excelsa</v>
      </c>
      <c r="O714" t="str" cm="1">
        <f t="array" ref="O714">_xlfn.IFS(J714="M","Midium",J714="L","Light",J714="D","Dark")</f>
        <v>Midium</v>
      </c>
      <c r="P714" t="str">
        <f>_xlfn.XLOOKUP(Orders[[#This Row],[Customer ID]],customers!A:A,customers!I:I,,0)</f>
        <v>No</v>
      </c>
      <c r="Q714" t="str">
        <f>_xlfn.XLOOKUP(C715,customers!A:A,customers!B:B,"مش موجود")</f>
        <v>Sacha Bruun</v>
      </c>
    </row>
    <row r="715" spans="1:17" x14ac:dyDescent="0.25">
      <c r="A715" s="2" t="s">
        <v>4516</v>
      </c>
      <c r="B715" s="3">
        <v>43960</v>
      </c>
      <c r="C715" s="2" t="s">
        <v>4517</v>
      </c>
      <c r="D715" t="s">
        <v>6174</v>
      </c>
      <c r="E715" s="2">
        <v>1</v>
      </c>
      <c r="F715" s="2" t="str">
        <f>_xlfn.XLOOKUP(Orders[[#This Row],[Customer ID]],customers!A:A,customers!B:B)</f>
        <v>Sacha Bruun</v>
      </c>
      <c r="G715" s="2" t="str" cm="1">
        <f t="array" ref="G715">IF(_xlfn.XLOOKUP(C715,customers!A714:$A$1001,customers!C714:$C$1001,,0)=0,"",_xlfn.XLOOKUP(C715,customers!A714:$A$1001,customers!C714:$C$1001,,0))</f>
        <v>sbruunjt@blogtalkradio.com</v>
      </c>
      <c r="H715" s="2" t="str" cm="1">
        <f t="array" ref="H715">_xlfn.XLOOKUP(C715,customers!A714:$A$1001,customers!G714:$G$1001,"Ireland",0)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11"/>
        <v>2.9849999999999999</v>
      </c>
      <c r="N715" t="str" cm="1">
        <f t="array" ref="N715">_xlfn.IFS(I715="Rob","Robusta",I715="Exc","Excelsa",I715="Ara","Arabica",I715="Lib","Liberica")</f>
        <v>Robusta</v>
      </c>
      <c r="O715" t="str" cm="1">
        <f t="array" ref="O715">_xlfn.IFS(J715="M","Midium",J715="L","Light",J715="D","Dark")</f>
        <v>Midium</v>
      </c>
      <c r="P715" t="str">
        <f>_xlfn.XLOOKUP(Orders[[#This Row],[Customer ID]],customers!A:A,customers!I:I,,0)</f>
        <v>No</v>
      </c>
      <c r="Q715" t="str">
        <f>_xlfn.XLOOKUP(C716,customers!A:A,customers!B:B,"مش موجود")</f>
        <v>Alon Pllu</v>
      </c>
    </row>
    <row r="716" spans="1:17" x14ac:dyDescent="0.25">
      <c r="A716" s="2" t="s">
        <v>4522</v>
      </c>
      <c r="B716" s="3">
        <v>44358</v>
      </c>
      <c r="C716" s="2" t="s">
        <v>4523</v>
      </c>
      <c r="D716" t="s">
        <v>6153</v>
      </c>
      <c r="E716" s="2">
        <v>4</v>
      </c>
      <c r="F716" s="2" t="str">
        <f>_xlfn.XLOOKUP(Orders[[#This Row],[Customer ID]],customers!A:A,customers!B:B)</f>
        <v>Alon Pllu</v>
      </c>
      <c r="G716" s="2" t="str" cm="1">
        <f t="array" ref="G716">IF(_xlfn.XLOOKUP(C716,customers!A715:$A$1001,customers!C715:$C$1001,,0)=0,"",_xlfn.XLOOKUP(C716,customers!A715:$A$1001,customers!C715:$C$1001,,0))</f>
        <v>aplluju@dagondesign.com</v>
      </c>
      <c r="H716" s="2" t="str" cm="1">
        <f t="array" ref="H716">_xlfn.XLOOKUP(C716,customers!A715:$A$1001,customers!G715:$G$1001,"Ireland",0)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11"/>
        <v>14.58</v>
      </c>
      <c r="N716" t="str" cm="1">
        <f t="array" ref="N716">_xlfn.IFS(I716="Rob","Robusta",I716="Exc","Excelsa",I716="Ara","Arabica",I716="Lib","Liberica")</f>
        <v>Excelsa</v>
      </c>
      <c r="O716" t="str" cm="1">
        <f t="array" ref="O716">_xlfn.IFS(J716="M","Midium",J716="L","Light",J716="D","Dark")</f>
        <v>Dark</v>
      </c>
      <c r="P716" t="str">
        <f>_xlfn.XLOOKUP(Orders[[#This Row],[Customer ID]],customers!A:A,customers!I:I,,0)</f>
        <v>Yes</v>
      </c>
      <c r="Q716" t="str">
        <f>_xlfn.XLOOKUP(C717,customers!A:A,customers!B:B,"مش موجود")</f>
        <v>Gilberto Cornier</v>
      </c>
    </row>
    <row r="717" spans="1:17" x14ac:dyDescent="0.25">
      <c r="A717" s="2" t="s">
        <v>4528</v>
      </c>
      <c r="B717" s="3">
        <v>44504</v>
      </c>
      <c r="C717" s="2" t="s">
        <v>4529</v>
      </c>
      <c r="D717" t="s">
        <v>6171</v>
      </c>
      <c r="E717" s="2">
        <v>6</v>
      </c>
      <c r="F717" s="2" t="str">
        <f>_xlfn.XLOOKUP(Orders[[#This Row],[Customer ID]],customers!A:A,customers!B:B)</f>
        <v>Gilberto Cornier</v>
      </c>
      <c r="G717" s="2" t="str" cm="1">
        <f t="array" ref="G717">IF(_xlfn.XLOOKUP(C717,customers!A716:$A$1001,customers!C716:$C$1001,,0)=0,"",_xlfn.XLOOKUP(C717,customers!A716:$A$1001,customers!C716:$C$1001,,0))</f>
        <v>gcornierjv@techcrunch.com</v>
      </c>
      <c r="H717" s="2" t="str" cm="1">
        <f t="array" ref="H717">_xlfn.XLOOKUP(C717,customers!A716:$A$1001,customers!G716:$G$1001,"Ireland",0)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11"/>
        <v>89.1</v>
      </c>
      <c r="N717" t="str" cm="1">
        <f t="array" ref="N717">_xlfn.IFS(I717="Rob","Robusta",I717="Exc","Excelsa",I717="Ara","Arabica",I717="Lib","Liberica")</f>
        <v>Excelsa</v>
      </c>
      <c r="O717" t="str" cm="1">
        <f t="array" ref="O717">_xlfn.IFS(J717="M","Midium",J717="L","Light",J717="D","Dark")</f>
        <v>Light</v>
      </c>
      <c r="P717" t="str">
        <f>_xlfn.XLOOKUP(Orders[[#This Row],[Customer ID]],customers!A:A,customers!I:I,,0)</f>
        <v>No</v>
      </c>
      <c r="Q717" t="str">
        <f>_xlfn.XLOOKUP(C718,customers!A:A,customers!B:B,"مش موجود")</f>
        <v>Jimmy Dymoke</v>
      </c>
    </row>
    <row r="718" spans="1:17" x14ac:dyDescent="0.25">
      <c r="A718" s="2" t="s">
        <v>4533</v>
      </c>
      <c r="B718" s="3">
        <v>44612</v>
      </c>
      <c r="C718" s="2" t="s">
        <v>4434</v>
      </c>
      <c r="D718" t="s">
        <v>6179</v>
      </c>
      <c r="E718" s="2">
        <v>3</v>
      </c>
      <c r="F718" s="2" t="str">
        <f>_xlfn.XLOOKUP(Orders[[#This Row],[Customer ID]],customers!A:A,customers!B:B)</f>
        <v>Jimmy Dymoke</v>
      </c>
      <c r="G718" s="2" t="e" cm="1">
        <f t="array" ref="G718">IF(_xlfn.XLOOKUP(C718,customers!A717:$A$1001,customers!C717:$C$1001,,0)=0,"",_xlfn.XLOOKUP(C718,customers!A717:$A$1001,customers!C717:$C$1001,,0))</f>
        <v>#N/A</v>
      </c>
      <c r="H718" s="2" t="str" cm="1">
        <f t="array" ref="H718">_xlfn.XLOOKUP(C718,customers!A717:$A$1001,customers!G717:$G$1001,"Ireland",0)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11"/>
        <v>35.849999999999994</v>
      </c>
      <c r="N718" t="str" cm="1">
        <f t="array" ref="N718">_xlfn.IFS(I718="Rob","Robusta",I718="Exc","Excelsa",I718="Ara","Arabica",I718="Lib","Liberica")</f>
        <v>Robusta</v>
      </c>
      <c r="O718" t="str" cm="1">
        <f t="array" ref="O718">_xlfn.IFS(J718="M","Midium",J718="L","Light",J718="D","Dark")</f>
        <v>Light</v>
      </c>
      <c r="P718" t="str">
        <f>_xlfn.XLOOKUP(Orders[[#This Row],[Customer ID]],customers!A:A,customers!I:I,,0)</f>
        <v>No</v>
      </c>
      <c r="Q718" t="str">
        <f>_xlfn.XLOOKUP(C719,customers!A:A,customers!B:B,"مش موجود")</f>
        <v>Willabella Harvison</v>
      </c>
    </row>
    <row r="719" spans="1:17" x14ac:dyDescent="0.25">
      <c r="A719" s="2" t="s">
        <v>4539</v>
      </c>
      <c r="B719" s="3">
        <v>43649</v>
      </c>
      <c r="C719" s="2" t="s">
        <v>4540</v>
      </c>
      <c r="D719" t="s">
        <v>6168</v>
      </c>
      <c r="E719" s="2">
        <v>3</v>
      </c>
      <c r="F719" s="2" t="str">
        <f>_xlfn.XLOOKUP(Orders[[#This Row],[Customer ID]],customers!A:A,customers!B:B)</f>
        <v>Willabella Harvison</v>
      </c>
      <c r="G719" s="2" t="str" cm="1">
        <f t="array" ref="G719">IF(_xlfn.XLOOKUP(C719,customers!A718:$A$1001,customers!C718:$C$1001,,0)=0,"",_xlfn.XLOOKUP(C719,customers!A718:$A$1001,customers!C718:$C$1001,,0))</f>
        <v>wharvisonjx@gizmodo.com</v>
      </c>
      <c r="H719" s="2" t="str" cm="1">
        <f t="array" ref="H719">_xlfn.XLOOKUP(C719,customers!A718:$A$1001,customers!G718:$G$1001,"Ireland",0)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11"/>
        <v>68.655000000000001</v>
      </c>
      <c r="N719" t="str" cm="1">
        <f t="array" ref="N719">_xlfn.IFS(I719="Rob","Robusta",I719="Exc","Excelsa",I719="Ara","Arabica",I719="Lib","Liberica")</f>
        <v>Arabica</v>
      </c>
      <c r="O719" t="str" cm="1">
        <f t="array" ref="O719">_xlfn.IFS(J719="M","Midium",J719="L","Light",J719="D","Dark")</f>
        <v>Dark</v>
      </c>
      <c r="P719" t="str">
        <f>_xlfn.XLOOKUP(Orders[[#This Row],[Customer ID]],customers!A:A,customers!I:I,,0)</f>
        <v>No</v>
      </c>
      <c r="Q719" t="str">
        <f>_xlfn.XLOOKUP(C720,customers!A:A,customers!B:B,"مش موجود")</f>
        <v>Darice Heaford</v>
      </c>
    </row>
    <row r="720" spans="1:17" x14ac:dyDescent="0.25">
      <c r="A720" s="2" t="s">
        <v>4545</v>
      </c>
      <c r="B720" s="3">
        <v>44348</v>
      </c>
      <c r="C720" s="2" t="s">
        <v>4546</v>
      </c>
      <c r="D720" t="s">
        <v>6143</v>
      </c>
      <c r="E720" s="2">
        <v>3</v>
      </c>
      <c r="F720" s="2" t="str">
        <f>_xlfn.XLOOKUP(Orders[[#This Row],[Customer ID]],customers!A:A,customers!B:B)</f>
        <v>Darice Heaford</v>
      </c>
      <c r="G720" s="2" t="str" cm="1">
        <f t="array" ref="G720">IF(_xlfn.XLOOKUP(C720,customers!A719:$A$1001,customers!C719:$C$1001,,0)=0,"",_xlfn.XLOOKUP(C720,customers!A719:$A$1001,customers!C719:$C$1001,,0))</f>
        <v>dheafordjy@twitpic.com</v>
      </c>
      <c r="H720" s="2" t="str" cm="1">
        <f t="array" ref="H720">_xlfn.XLOOKUP(C720,customers!A719:$A$1001,customers!G719:$G$1001,"Ireland",0)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11"/>
        <v>38.849999999999994</v>
      </c>
      <c r="N720" t="str" cm="1">
        <f t="array" ref="N720">_xlfn.IFS(I720="Rob","Robusta",I720="Exc","Excelsa",I720="Ara","Arabica",I720="Lib","Liberica")</f>
        <v>Liberica</v>
      </c>
      <c r="O720" t="str" cm="1">
        <f t="array" ref="O720">_xlfn.IFS(J720="M","Midium",J720="L","Light",J720="D","Dark")</f>
        <v>Dark</v>
      </c>
      <c r="P720" t="str">
        <f>_xlfn.XLOOKUP(Orders[[#This Row],[Customer ID]],customers!A:A,customers!I:I,,0)</f>
        <v>No</v>
      </c>
      <c r="Q720" t="str">
        <f>_xlfn.XLOOKUP(C721,customers!A:A,customers!B:B,"مش موجود")</f>
        <v>Granger Fantham</v>
      </c>
    </row>
    <row r="721" spans="1:17" x14ac:dyDescent="0.25">
      <c r="A721" s="2" t="s">
        <v>4551</v>
      </c>
      <c r="B721" s="3">
        <v>44150</v>
      </c>
      <c r="C721" s="2" t="s">
        <v>4552</v>
      </c>
      <c r="D721" t="s">
        <v>6170</v>
      </c>
      <c r="E721" s="2">
        <v>5</v>
      </c>
      <c r="F721" s="2" t="str">
        <f>_xlfn.XLOOKUP(Orders[[#This Row],[Customer ID]],customers!A:A,customers!B:B)</f>
        <v>Granger Fantham</v>
      </c>
      <c r="G721" s="2" t="str" cm="1">
        <f t="array" ref="G721">IF(_xlfn.XLOOKUP(C721,customers!A720:$A$1001,customers!C720:$C$1001,,0)=0,"",_xlfn.XLOOKUP(C721,customers!A720:$A$1001,customers!C720:$C$1001,,0))</f>
        <v>gfanthamjz@hexun.com</v>
      </c>
      <c r="H721" s="2" t="str" cm="1">
        <f t="array" ref="H721">_xlfn.XLOOKUP(C721,customers!A720:$A$1001,customers!G720:$G$1001,"Ireland",0)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11"/>
        <v>79.25</v>
      </c>
      <c r="N721" t="str" cm="1">
        <f t="array" ref="N721">_xlfn.IFS(I721="Rob","Robusta",I721="Exc","Excelsa",I721="Ara","Arabica",I721="Lib","Liberica")</f>
        <v>Liberica</v>
      </c>
      <c r="O721" t="str" cm="1">
        <f t="array" ref="O721">_xlfn.IFS(J721="M","Midium",J721="L","Light",J721="D","Dark")</f>
        <v>Light</v>
      </c>
      <c r="P721" t="str">
        <f>_xlfn.XLOOKUP(Orders[[#This Row],[Customer ID]],customers!A:A,customers!I:I,,0)</f>
        <v>Yes</v>
      </c>
      <c r="Q721" t="str">
        <f>_xlfn.XLOOKUP(C722,customers!A:A,customers!B:B,"مش موجود")</f>
        <v>Reynolds Crookshanks</v>
      </c>
    </row>
    <row r="722" spans="1:17" x14ac:dyDescent="0.25">
      <c r="A722" s="2" t="s">
        <v>4557</v>
      </c>
      <c r="B722" s="3">
        <v>44215</v>
      </c>
      <c r="C722" s="2" t="s">
        <v>4558</v>
      </c>
      <c r="D722" t="s">
        <v>6144</v>
      </c>
      <c r="E722" s="2">
        <v>5</v>
      </c>
      <c r="F722" s="2" t="str">
        <f>_xlfn.XLOOKUP(Orders[[#This Row],[Customer ID]],customers!A:A,customers!B:B)</f>
        <v>Reynolds Crookshanks</v>
      </c>
      <c r="G722" s="2" t="str" cm="1">
        <f t="array" ref="G722">IF(_xlfn.XLOOKUP(C722,customers!A721:$A$1001,customers!C721:$C$1001,,0)=0,"",_xlfn.XLOOKUP(C722,customers!A721:$A$1001,customers!C721:$C$1001,,0))</f>
        <v>rcrookshanksk0@unc.edu</v>
      </c>
      <c r="H722" s="2" t="str" cm="1">
        <f t="array" ref="H722">_xlfn.XLOOKUP(C722,customers!A721:$A$1001,customers!G721:$G$1001,"Ireland",0)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11"/>
        <v>36.450000000000003</v>
      </c>
      <c r="N722" t="str" cm="1">
        <f t="array" ref="N722">_xlfn.IFS(I722="Rob","Robusta",I722="Exc","Excelsa",I722="Ara","Arabica",I722="Lib","Liberica")</f>
        <v>Excelsa</v>
      </c>
      <c r="O722" t="str" cm="1">
        <f t="array" ref="O722">_xlfn.IFS(J722="M","Midium",J722="L","Light",J722="D","Dark")</f>
        <v>Dark</v>
      </c>
      <c r="P722" t="str">
        <f>_xlfn.XLOOKUP(Orders[[#This Row],[Customer ID]],customers!A:A,customers!I:I,,0)</f>
        <v>Yes</v>
      </c>
      <c r="Q722" t="str">
        <f>_xlfn.XLOOKUP(C723,customers!A:A,customers!B:B,"مش موجود")</f>
        <v>Niels Leake</v>
      </c>
    </row>
    <row r="723" spans="1:17" x14ac:dyDescent="0.25">
      <c r="A723" s="2" t="s">
        <v>4563</v>
      </c>
      <c r="B723" s="3">
        <v>44479</v>
      </c>
      <c r="C723" s="2" t="s">
        <v>4564</v>
      </c>
      <c r="D723" t="s">
        <v>6174</v>
      </c>
      <c r="E723" s="2">
        <v>3</v>
      </c>
      <c r="F723" s="2" t="str">
        <f>_xlfn.XLOOKUP(Orders[[#This Row],[Customer ID]],customers!A:A,customers!B:B)</f>
        <v>Niels Leake</v>
      </c>
      <c r="G723" s="2" t="str" cm="1">
        <f t="array" ref="G723">IF(_xlfn.XLOOKUP(C723,customers!A722:$A$1001,customers!C722:$C$1001,,0)=0,"",_xlfn.XLOOKUP(C723,customers!A722:$A$1001,customers!C722:$C$1001,,0))</f>
        <v>nleakek1@cmu.edu</v>
      </c>
      <c r="H723" s="2" t="str" cm="1">
        <f t="array" ref="H723">_xlfn.XLOOKUP(C723,customers!A722:$A$1001,customers!G722:$G$1001,"Ireland",0)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11"/>
        <v>8.9550000000000001</v>
      </c>
      <c r="N723" t="str" cm="1">
        <f t="array" ref="N723">_xlfn.IFS(I723="Rob","Robusta",I723="Exc","Excelsa",I723="Ara","Arabica",I723="Lib","Liberica")</f>
        <v>Robusta</v>
      </c>
      <c r="O723" t="str" cm="1">
        <f t="array" ref="O723">_xlfn.IFS(J723="M","Midium",J723="L","Light",J723="D","Dark")</f>
        <v>Midium</v>
      </c>
      <c r="P723" t="str">
        <f>_xlfn.XLOOKUP(Orders[[#This Row],[Customer ID]],customers!A:A,customers!I:I,,0)</f>
        <v>Yes</v>
      </c>
      <c r="Q723" t="str">
        <f>_xlfn.XLOOKUP(C724,customers!A:A,customers!B:B,"مش موجود")</f>
        <v>Hetti Measures</v>
      </c>
    </row>
    <row r="724" spans="1:17" x14ac:dyDescent="0.25">
      <c r="A724" s="2" t="s">
        <v>4569</v>
      </c>
      <c r="B724" s="3">
        <v>44620</v>
      </c>
      <c r="C724" s="2" t="s">
        <v>4570</v>
      </c>
      <c r="D724" t="s">
        <v>6183</v>
      </c>
      <c r="E724" s="2">
        <v>2</v>
      </c>
      <c r="F724" s="2" t="str">
        <f>_xlfn.XLOOKUP(Orders[[#This Row],[Customer ID]],customers!A:A,customers!B:B)</f>
        <v>Hetti Measures</v>
      </c>
      <c r="G724" s="2" t="str" cm="1">
        <f t="array" ref="G724">IF(_xlfn.XLOOKUP(C724,customers!A723:$A$1001,customers!C723:$C$1001,,0)=0,"",_xlfn.XLOOKUP(C724,customers!A723:$A$1001,customers!C723:$C$1001,,0))</f>
        <v/>
      </c>
      <c r="H724" s="2" t="str" cm="1">
        <f t="array" ref="H724">_xlfn.XLOOKUP(C724,customers!A723:$A$1001,customers!G723:$G$1001,"Ireland",0)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11"/>
        <v>24.3</v>
      </c>
      <c r="N724" t="str" cm="1">
        <f t="array" ref="N724">_xlfn.IFS(I724="Rob","Robusta",I724="Exc","Excelsa",I724="Ara","Arabica",I724="Lib","Liberica")</f>
        <v>Excelsa</v>
      </c>
      <c r="O724" t="str" cm="1">
        <f t="array" ref="O724">_xlfn.IFS(J724="M","Midium",J724="L","Light",J724="D","Dark")</f>
        <v>Dark</v>
      </c>
      <c r="P724" t="str">
        <f>_xlfn.XLOOKUP(Orders[[#This Row],[Customer ID]],customers!A:A,customers!I:I,,0)</f>
        <v>No</v>
      </c>
      <c r="Q724" t="str">
        <f>_xlfn.XLOOKUP(C725,customers!A:A,customers!B:B,"مش موجود")</f>
        <v>Gay Eilhersen</v>
      </c>
    </row>
    <row r="725" spans="1:17" x14ac:dyDescent="0.25">
      <c r="A725" s="2" t="s">
        <v>4574</v>
      </c>
      <c r="B725" s="3">
        <v>44470</v>
      </c>
      <c r="C725" s="2" t="s">
        <v>4575</v>
      </c>
      <c r="D725" t="s">
        <v>6166</v>
      </c>
      <c r="E725" s="2">
        <v>2</v>
      </c>
      <c r="F725" s="2" t="str">
        <f>_xlfn.XLOOKUP(Orders[[#This Row],[Customer ID]],customers!A:A,customers!B:B)</f>
        <v>Gay Eilhersen</v>
      </c>
      <c r="G725" s="2" t="str" cm="1">
        <f t="array" ref="G725">IF(_xlfn.XLOOKUP(C725,customers!A724:$A$1001,customers!C724:$C$1001,,0)=0,"",_xlfn.XLOOKUP(C725,customers!A724:$A$1001,customers!C724:$C$1001,,0))</f>
        <v>geilhersenk3@networksolutions.com</v>
      </c>
      <c r="H725" s="2" t="str" cm="1">
        <f t="array" ref="H725">_xlfn.XLOOKUP(C725,customers!A724:$A$1001,customers!G724:$G$1001,"Ireland",0)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11"/>
        <v>63.249999999999993</v>
      </c>
      <c r="N725" t="str" cm="1">
        <f t="array" ref="N725">_xlfn.IFS(I725="Rob","Robusta",I725="Exc","Excelsa",I725="Ara","Arabica",I725="Lib","Liberica")</f>
        <v>Excelsa</v>
      </c>
      <c r="O725" t="str" cm="1">
        <f t="array" ref="O725">_xlfn.IFS(J725="M","Midium",J725="L","Light",J725="D","Dark")</f>
        <v>Midium</v>
      </c>
      <c r="P725" t="str">
        <f>_xlfn.XLOOKUP(Orders[[#This Row],[Customer ID]],customers!A:A,customers!I:I,,0)</f>
        <v>No</v>
      </c>
      <c r="Q725" t="str">
        <f>_xlfn.XLOOKUP(C726,customers!A:A,customers!B:B,"مش موجود")</f>
        <v>Nico Hubert</v>
      </c>
    </row>
    <row r="726" spans="1:17" x14ac:dyDescent="0.25">
      <c r="A726" s="2" t="s">
        <v>4580</v>
      </c>
      <c r="B726" s="3">
        <v>44076</v>
      </c>
      <c r="C726" s="2" t="s">
        <v>4581</v>
      </c>
      <c r="D726" t="s">
        <v>6152</v>
      </c>
      <c r="E726" s="2">
        <v>2</v>
      </c>
      <c r="F726" s="2" t="str">
        <f>_xlfn.XLOOKUP(Orders[[#This Row],[Customer ID]],customers!A:A,customers!B:B)</f>
        <v>Nico Hubert</v>
      </c>
      <c r="G726" s="2" t="str" cm="1">
        <f t="array" ref="G726">IF(_xlfn.XLOOKUP(C726,customers!A725:$A$1001,customers!C725:$C$1001,,0)=0,"",_xlfn.XLOOKUP(C726,customers!A725:$A$1001,customers!C725:$C$1001,,0))</f>
        <v/>
      </c>
      <c r="H726" s="2" t="str" cm="1">
        <f t="array" ref="H726">_xlfn.XLOOKUP(C726,customers!A725:$A$1001,customers!G725:$G$1001,"Ireland",0)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11"/>
        <v>6.75</v>
      </c>
      <c r="N726" t="str" cm="1">
        <f t="array" ref="N726">_xlfn.IFS(I726="Rob","Robusta",I726="Exc","Excelsa",I726="Ara","Arabica",I726="Lib","Liberica")</f>
        <v>Arabica</v>
      </c>
      <c r="O726" t="str" cm="1">
        <f t="array" ref="O726">_xlfn.IFS(J726="M","Midium",J726="L","Light",J726="D","Dark")</f>
        <v>Midium</v>
      </c>
      <c r="P726" t="str">
        <f>_xlfn.XLOOKUP(Orders[[#This Row],[Customer ID]],customers!A:A,customers!I:I,,0)</f>
        <v>Yes</v>
      </c>
      <c r="Q726" t="str">
        <f>_xlfn.XLOOKUP(C727,customers!A:A,customers!B:B,"مش موجود")</f>
        <v>Cristina Aleixo</v>
      </c>
    </row>
    <row r="727" spans="1:17" x14ac:dyDescent="0.25">
      <c r="A727" s="2" t="s">
        <v>4585</v>
      </c>
      <c r="B727" s="3">
        <v>44043</v>
      </c>
      <c r="C727" s="2" t="s">
        <v>4586</v>
      </c>
      <c r="D727" t="s">
        <v>6167</v>
      </c>
      <c r="E727" s="2">
        <v>6</v>
      </c>
      <c r="F727" s="2" t="str">
        <f>_xlfn.XLOOKUP(Orders[[#This Row],[Customer ID]],customers!A:A,customers!B:B)</f>
        <v>Cristina Aleixo</v>
      </c>
      <c r="G727" s="2" t="str" cm="1">
        <f t="array" ref="G727">IF(_xlfn.XLOOKUP(C727,customers!A726:$A$1001,customers!C726:$C$1001,,0)=0,"",_xlfn.XLOOKUP(C727,customers!A726:$A$1001,customers!C726:$C$1001,,0))</f>
        <v>caleixok5@globo.com</v>
      </c>
      <c r="H727" s="2" t="str" cm="1">
        <f t="array" ref="H727">_xlfn.XLOOKUP(C727,customers!A726:$A$1001,customers!G726:$G$1001,"Ireland",0)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11"/>
        <v>23.31</v>
      </c>
      <c r="N727" t="str" cm="1">
        <f t="array" ref="N727">_xlfn.IFS(I727="Rob","Robusta",I727="Exc","Excelsa",I727="Ara","Arabica",I727="Lib","Liberica")</f>
        <v>Arabica</v>
      </c>
      <c r="O727" t="str" cm="1">
        <f t="array" ref="O727">_xlfn.IFS(J727="M","Midium",J727="L","Light",J727="D","Dark")</f>
        <v>Light</v>
      </c>
      <c r="P727" t="str">
        <f>_xlfn.XLOOKUP(Orders[[#This Row],[Customer ID]],customers!A:A,customers!I:I,,0)</f>
        <v>No</v>
      </c>
      <c r="Q727" t="str">
        <f>_xlfn.XLOOKUP(C728,customers!A:A,customers!B:B,"مش موجود")</f>
        <v>Derrek Allpress</v>
      </c>
    </row>
    <row r="728" spans="1:17" x14ac:dyDescent="0.25">
      <c r="A728" s="2" t="s">
        <v>4591</v>
      </c>
      <c r="B728" s="3">
        <v>44571</v>
      </c>
      <c r="C728" s="2" t="s">
        <v>4592</v>
      </c>
      <c r="D728" t="s">
        <v>6164</v>
      </c>
      <c r="E728" s="2">
        <v>4</v>
      </c>
      <c r="F728" s="2" t="str">
        <f>_xlfn.XLOOKUP(Orders[[#This Row],[Customer ID]],customers!A:A,customers!B:B)</f>
        <v>Derrek Allpress</v>
      </c>
      <c r="G728" s="2" t="str" cm="1">
        <f t="array" ref="G728">IF(_xlfn.XLOOKUP(C728,customers!A727:$A$1001,customers!C727:$C$1001,,0)=0,"",_xlfn.XLOOKUP(C728,customers!A727:$A$1001,customers!C727:$C$1001,,0))</f>
        <v/>
      </c>
      <c r="H728" s="2" t="str" cm="1">
        <f t="array" ref="H728">_xlfn.XLOOKUP(C728,customers!A727:$A$1001,customers!G727:$G$1001,"Ireland",0)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11"/>
        <v>145.82</v>
      </c>
      <c r="N728" t="str" cm="1">
        <f t="array" ref="N728">_xlfn.IFS(I728="Rob","Robusta",I728="Exc","Excelsa",I728="Ara","Arabica",I728="Lib","Liberica")</f>
        <v>Liberica</v>
      </c>
      <c r="O728" t="str" cm="1">
        <f t="array" ref="O728">_xlfn.IFS(J728="M","Midium",J728="L","Light",J728="D","Dark")</f>
        <v>Light</v>
      </c>
      <c r="P728" t="str">
        <f>_xlfn.XLOOKUP(Orders[[#This Row],[Customer ID]],customers!A:A,customers!I:I,,0)</f>
        <v>No</v>
      </c>
      <c r="Q728" t="str">
        <f>_xlfn.XLOOKUP(C729,customers!A:A,customers!B:B,"مش موجود")</f>
        <v>Rikki Tomkowicz</v>
      </c>
    </row>
    <row r="729" spans="1:17" x14ac:dyDescent="0.25">
      <c r="A729" s="2" t="s">
        <v>4596</v>
      </c>
      <c r="B729" s="3">
        <v>44264</v>
      </c>
      <c r="C729" s="2" t="s">
        <v>4597</v>
      </c>
      <c r="D729" t="s">
        <v>6146</v>
      </c>
      <c r="E729" s="2">
        <v>5</v>
      </c>
      <c r="F729" s="2" t="str">
        <f>_xlfn.XLOOKUP(Orders[[#This Row],[Customer ID]],customers!A:A,customers!B:B)</f>
        <v>Rikki Tomkowicz</v>
      </c>
      <c r="G729" s="2" t="str" cm="1">
        <f t="array" ref="G729">IF(_xlfn.XLOOKUP(C729,customers!A728:$A$1001,customers!C728:$C$1001,,0)=0,"",_xlfn.XLOOKUP(C729,customers!A728:$A$1001,customers!C728:$C$1001,,0))</f>
        <v>rtomkowiczk7@bravesites.com</v>
      </c>
      <c r="H729" s="2" t="str" cm="1">
        <f t="array" ref="H729">_xlfn.XLOOKUP(C729,customers!A728:$A$1001,customers!G728:$G$1001,"Ireland",0)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11"/>
        <v>29.849999999999998</v>
      </c>
      <c r="N729" t="str" cm="1">
        <f t="array" ref="N729">_xlfn.IFS(I729="Rob","Robusta",I729="Exc","Excelsa",I729="Ara","Arabica",I729="Lib","Liberica")</f>
        <v>Robusta</v>
      </c>
      <c r="O729" t="str" cm="1">
        <f t="array" ref="O729">_xlfn.IFS(J729="M","Midium",J729="L","Light",J729="D","Dark")</f>
        <v>Midium</v>
      </c>
      <c r="P729" t="str">
        <f>_xlfn.XLOOKUP(Orders[[#This Row],[Customer ID]],customers!A:A,customers!I:I,,0)</f>
        <v>Yes</v>
      </c>
      <c r="Q729" t="str">
        <f>_xlfn.XLOOKUP(C730,customers!A:A,customers!B:B,"مش موجود")</f>
        <v>Rochette Huscroft</v>
      </c>
    </row>
    <row r="730" spans="1:17" x14ac:dyDescent="0.25">
      <c r="A730" s="2" t="s">
        <v>4602</v>
      </c>
      <c r="B730" s="3">
        <v>44155</v>
      </c>
      <c r="C730" s="2" t="s">
        <v>4603</v>
      </c>
      <c r="D730" t="s">
        <v>6144</v>
      </c>
      <c r="E730" s="2">
        <v>3</v>
      </c>
      <c r="F730" s="2" t="str">
        <f>_xlfn.XLOOKUP(Orders[[#This Row],[Customer ID]],customers!A:A,customers!B:B)</f>
        <v>Rochette Huscroft</v>
      </c>
      <c r="G730" s="2" t="str" cm="1">
        <f t="array" ref="G730">IF(_xlfn.XLOOKUP(C730,customers!A729:$A$1001,customers!C729:$C$1001,,0)=0,"",_xlfn.XLOOKUP(C730,customers!A729:$A$1001,customers!C729:$C$1001,,0))</f>
        <v>rhuscroftk8@jimdo.com</v>
      </c>
      <c r="H730" s="2" t="str" cm="1">
        <f t="array" ref="H730">_xlfn.XLOOKUP(C730,customers!A729:$A$1001,customers!G729:$G$1001,"Ireland",0)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11"/>
        <v>21.87</v>
      </c>
      <c r="N730" t="str" cm="1">
        <f t="array" ref="N730">_xlfn.IFS(I730="Rob","Robusta",I730="Exc","Excelsa",I730="Ara","Arabica",I730="Lib","Liberica")</f>
        <v>Excelsa</v>
      </c>
      <c r="O730" t="str" cm="1">
        <f t="array" ref="O730">_xlfn.IFS(J730="M","Midium",J730="L","Light",J730="D","Dark")</f>
        <v>Dark</v>
      </c>
      <c r="P730" t="str">
        <f>_xlfn.XLOOKUP(Orders[[#This Row],[Customer ID]],customers!A:A,customers!I:I,,0)</f>
        <v>Yes</v>
      </c>
      <c r="Q730" t="str">
        <f>_xlfn.XLOOKUP(C731,customers!A:A,customers!B:B,"مش موجود")</f>
        <v>Selle Scurrer</v>
      </c>
    </row>
    <row r="731" spans="1:17" x14ac:dyDescent="0.25">
      <c r="A731" s="2" t="s">
        <v>4608</v>
      </c>
      <c r="B731" s="3">
        <v>44634</v>
      </c>
      <c r="C731" s="2" t="s">
        <v>4609</v>
      </c>
      <c r="D731" t="s">
        <v>6159</v>
      </c>
      <c r="E731" s="2">
        <v>1</v>
      </c>
      <c r="F731" s="2" t="str">
        <f>_xlfn.XLOOKUP(Orders[[#This Row],[Customer ID]],customers!A:A,customers!B:B)</f>
        <v>Selle Scurrer</v>
      </c>
      <c r="G731" s="2" t="str" cm="1">
        <f t="array" ref="G731">IF(_xlfn.XLOOKUP(C731,customers!A730:$A$1001,customers!C730:$C$1001,,0)=0,"",_xlfn.XLOOKUP(C731,customers!A730:$A$1001,customers!C730:$C$1001,,0))</f>
        <v>sscurrerk9@flavors.me</v>
      </c>
      <c r="H731" s="2" t="str" cm="1">
        <f t="array" ref="H731">_xlfn.XLOOKUP(C731,customers!A730:$A$1001,customers!G730:$G$1001,"Ireland",0)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11"/>
        <v>4.3650000000000002</v>
      </c>
      <c r="N731" t="str" cm="1">
        <f t="array" ref="N731">_xlfn.IFS(I731="Rob","Robusta",I731="Exc","Excelsa",I731="Ara","Arabica",I731="Lib","Liberica")</f>
        <v>Liberica</v>
      </c>
      <c r="O731" t="str" cm="1">
        <f t="array" ref="O731">_xlfn.IFS(J731="M","Midium",J731="L","Light",J731="D","Dark")</f>
        <v>Midium</v>
      </c>
      <c r="P731" t="str">
        <f>_xlfn.XLOOKUP(Orders[[#This Row],[Customer ID]],customers!A:A,customers!I:I,,0)</f>
        <v>No</v>
      </c>
      <c r="Q731" t="str">
        <f>_xlfn.XLOOKUP(C732,customers!A:A,customers!B:B,"مش موجود")</f>
        <v>Andie Rudram</v>
      </c>
    </row>
    <row r="732" spans="1:17" x14ac:dyDescent="0.25">
      <c r="A732" s="2" t="s">
        <v>4614</v>
      </c>
      <c r="B732" s="3">
        <v>43475</v>
      </c>
      <c r="C732" s="2" t="s">
        <v>4615</v>
      </c>
      <c r="D732" t="s">
        <v>6164</v>
      </c>
      <c r="E732" s="2">
        <v>1</v>
      </c>
      <c r="F732" s="2" t="str">
        <f>_xlfn.XLOOKUP(Orders[[#This Row],[Customer ID]],customers!A:A,customers!B:B)</f>
        <v>Andie Rudram</v>
      </c>
      <c r="G732" s="2" t="str" cm="1">
        <f t="array" ref="G732">IF(_xlfn.XLOOKUP(C732,customers!A731:$A$1001,customers!C731:$C$1001,,0)=0,"",_xlfn.XLOOKUP(C732,customers!A731:$A$1001,customers!C731:$C$1001,,0))</f>
        <v>arudramka@prnewswire.com</v>
      </c>
      <c r="H732" s="2" t="str" cm="1">
        <f t="array" ref="H732">_xlfn.XLOOKUP(C732,customers!A731:$A$1001,customers!G731:$G$1001,"Ireland",0)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11"/>
        <v>36.454999999999998</v>
      </c>
      <c r="N732" t="str" cm="1">
        <f t="array" ref="N732">_xlfn.IFS(I732="Rob","Robusta",I732="Exc","Excelsa",I732="Ara","Arabica",I732="Lib","Liberica")</f>
        <v>Liberica</v>
      </c>
      <c r="O732" t="str" cm="1">
        <f t="array" ref="O732">_xlfn.IFS(J732="M","Midium",J732="L","Light",J732="D","Dark")</f>
        <v>Light</v>
      </c>
      <c r="P732" t="str">
        <f>_xlfn.XLOOKUP(Orders[[#This Row],[Customer ID]],customers!A:A,customers!I:I,,0)</f>
        <v>No</v>
      </c>
      <c r="Q732" t="str">
        <f>_xlfn.XLOOKUP(C733,customers!A:A,customers!B:B,"مش موجود")</f>
        <v>Leta Clarricoates</v>
      </c>
    </row>
    <row r="733" spans="1:17" x14ac:dyDescent="0.25">
      <c r="A733" s="2" t="s">
        <v>4620</v>
      </c>
      <c r="B733" s="3">
        <v>44222</v>
      </c>
      <c r="C733" s="2" t="s">
        <v>4621</v>
      </c>
      <c r="D733" t="s">
        <v>6150</v>
      </c>
      <c r="E733" s="2">
        <v>4</v>
      </c>
      <c r="F733" s="2" t="str">
        <f>_xlfn.XLOOKUP(Orders[[#This Row],[Customer ID]],customers!A:A,customers!B:B)</f>
        <v>Leta Clarricoates</v>
      </c>
      <c r="G733" s="2" t="str" cm="1">
        <f t="array" ref="G733">IF(_xlfn.XLOOKUP(C733,customers!A732:$A$1001,customers!C732:$C$1001,,0)=0,"",_xlfn.XLOOKUP(C733,customers!A732:$A$1001,customers!C732:$C$1001,,0))</f>
        <v/>
      </c>
      <c r="H733" s="2" t="str" cm="1">
        <f t="array" ref="H733">_xlfn.XLOOKUP(C733,customers!A732:$A$1001,customers!G732:$G$1001,"Ireland",0)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11"/>
        <v>15.54</v>
      </c>
      <c r="N733" t="str" cm="1">
        <f t="array" ref="N733">_xlfn.IFS(I733="Rob","Robusta",I733="Exc","Excelsa",I733="Ara","Arabica",I733="Lib","Liberica")</f>
        <v>Liberica</v>
      </c>
      <c r="O733" t="str" cm="1">
        <f t="array" ref="O733">_xlfn.IFS(J733="M","Midium",J733="L","Light",J733="D","Dark")</f>
        <v>Dark</v>
      </c>
      <c r="P733" t="str">
        <f>_xlfn.XLOOKUP(Orders[[#This Row],[Customer ID]],customers!A:A,customers!I:I,,0)</f>
        <v>Yes</v>
      </c>
      <c r="Q733" t="str">
        <f>_xlfn.XLOOKUP(C734,customers!A:A,customers!B:B,"مش موجود")</f>
        <v>Jacquelyn Maha</v>
      </c>
    </row>
    <row r="734" spans="1:17" x14ac:dyDescent="0.25">
      <c r="A734" s="2" t="s">
        <v>4625</v>
      </c>
      <c r="B734" s="3">
        <v>44312</v>
      </c>
      <c r="C734" s="2" t="s">
        <v>4626</v>
      </c>
      <c r="D734" t="s">
        <v>6184</v>
      </c>
      <c r="E734" s="2">
        <v>2</v>
      </c>
      <c r="F734" s="2" t="str">
        <f>_xlfn.XLOOKUP(Orders[[#This Row],[Customer ID]],customers!A:A,customers!B:B)</f>
        <v>Jacquelyn Maha</v>
      </c>
      <c r="G734" s="2" t="str" cm="1">
        <f t="array" ref="G734">IF(_xlfn.XLOOKUP(C734,customers!A733:$A$1001,customers!C733:$C$1001,,0)=0,"",_xlfn.XLOOKUP(C734,customers!A733:$A$1001,customers!C733:$C$1001,,0))</f>
        <v>jmahakc@cyberchimps.com</v>
      </c>
      <c r="H734" s="2" t="str" cm="1">
        <f t="array" ref="H734">_xlfn.XLOOKUP(C734,customers!A733:$A$1001,customers!G733:$G$1001,"Ireland",0)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11"/>
        <v>8.91</v>
      </c>
      <c r="N734" t="str" cm="1">
        <f t="array" ref="N734">_xlfn.IFS(I734="Rob","Robusta",I734="Exc","Excelsa",I734="Ara","Arabica",I734="Lib","Liberica")</f>
        <v>Excelsa</v>
      </c>
      <c r="O734" t="str" cm="1">
        <f t="array" ref="O734">_xlfn.IFS(J734="M","Midium",J734="L","Light",J734="D","Dark")</f>
        <v>Light</v>
      </c>
      <c r="P734" t="str">
        <f>_xlfn.XLOOKUP(Orders[[#This Row],[Customer ID]],customers!A:A,customers!I:I,,0)</f>
        <v>No</v>
      </c>
      <c r="Q734" t="str">
        <f>_xlfn.XLOOKUP(C735,customers!A:A,customers!B:B,"مش موجود")</f>
        <v>Glory Clemon</v>
      </c>
    </row>
    <row r="735" spans="1:17" x14ac:dyDescent="0.25">
      <c r="A735" s="2" t="s">
        <v>4631</v>
      </c>
      <c r="B735" s="3">
        <v>44565</v>
      </c>
      <c r="C735" s="2" t="s">
        <v>4632</v>
      </c>
      <c r="D735" t="s">
        <v>6181</v>
      </c>
      <c r="E735" s="2">
        <v>3</v>
      </c>
      <c r="F735" s="2" t="str">
        <f>_xlfn.XLOOKUP(Orders[[#This Row],[Customer ID]],customers!A:A,customers!B:B)</f>
        <v>Glory Clemon</v>
      </c>
      <c r="G735" s="2" t="str" cm="1">
        <f t="array" ref="G735">IF(_xlfn.XLOOKUP(C735,customers!A734:$A$1001,customers!C734:$C$1001,,0)=0,"",_xlfn.XLOOKUP(C735,customers!A734:$A$1001,customers!C734:$C$1001,,0))</f>
        <v>gclemonkd@networksolutions.com</v>
      </c>
      <c r="H735" s="2" t="str" cm="1">
        <f t="array" ref="H735">_xlfn.XLOOKUP(C735,customers!A734:$A$1001,customers!G734:$G$1001,"Ireland",0)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11"/>
        <v>100.39499999999998</v>
      </c>
      <c r="N735" t="str" cm="1">
        <f t="array" ref="N735">_xlfn.IFS(I735="Rob","Robusta",I735="Exc","Excelsa",I735="Ara","Arabica",I735="Lib","Liberica")</f>
        <v>Liberica</v>
      </c>
      <c r="O735" t="str" cm="1">
        <f t="array" ref="O735">_xlfn.IFS(J735="M","Midium",J735="L","Light",J735="D","Dark")</f>
        <v>Midium</v>
      </c>
      <c r="P735" t="str">
        <f>_xlfn.XLOOKUP(Orders[[#This Row],[Customer ID]],customers!A:A,customers!I:I,,0)</f>
        <v>Yes</v>
      </c>
      <c r="Q735" t="str">
        <f>_xlfn.XLOOKUP(C736,customers!A:A,customers!B:B,"مش موجود")</f>
        <v>Alica Kift</v>
      </c>
    </row>
    <row r="736" spans="1:17" x14ac:dyDescent="0.25">
      <c r="A736" s="2" t="s">
        <v>4637</v>
      </c>
      <c r="B736" s="3">
        <v>43697</v>
      </c>
      <c r="C736" s="2" t="s">
        <v>4638</v>
      </c>
      <c r="D736" t="s">
        <v>6163</v>
      </c>
      <c r="E736" s="2">
        <v>5</v>
      </c>
      <c r="F736" s="2" t="str">
        <f>_xlfn.XLOOKUP(Orders[[#This Row],[Customer ID]],customers!A:A,customers!B:B)</f>
        <v>Alica Kift</v>
      </c>
      <c r="G736" s="2" t="str" cm="1">
        <f t="array" ref="G736">IF(_xlfn.XLOOKUP(C736,customers!A735:$A$1001,customers!C735:$C$1001,,0)=0,"",_xlfn.XLOOKUP(C736,customers!A735:$A$1001,customers!C735:$C$1001,,0))</f>
        <v/>
      </c>
      <c r="H736" s="2" t="str" cm="1">
        <f t="array" ref="H736">_xlfn.XLOOKUP(C736,customers!A735:$A$1001,customers!G735:$G$1001,"Ireland",0)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11"/>
        <v>13.424999999999997</v>
      </c>
      <c r="N736" t="str" cm="1">
        <f t="array" ref="N736">_xlfn.IFS(I736="Rob","Robusta",I736="Exc","Excelsa",I736="Ara","Arabica",I736="Lib","Liberica")</f>
        <v>Robusta</v>
      </c>
      <c r="O736" t="str" cm="1">
        <f t="array" ref="O736">_xlfn.IFS(J736="M","Midium",J736="L","Light",J736="D","Dark")</f>
        <v>Dark</v>
      </c>
      <c r="P736" t="str">
        <f>_xlfn.XLOOKUP(Orders[[#This Row],[Customer ID]],customers!A:A,customers!I:I,,0)</f>
        <v>No</v>
      </c>
      <c r="Q736" t="str">
        <f>_xlfn.XLOOKUP(C737,customers!A:A,customers!B:B,"مش موجود")</f>
        <v>Babb Pollins</v>
      </c>
    </row>
    <row r="737" spans="1:17" x14ac:dyDescent="0.25">
      <c r="A737" s="2" t="s">
        <v>4642</v>
      </c>
      <c r="B737" s="3">
        <v>44757</v>
      </c>
      <c r="C737" s="2" t="s">
        <v>4643</v>
      </c>
      <c r="D737" t="s">
        <v>6153</v>
      </c>
      <c r="E737" s="2">
        <v>6</v>
      </c>
      <c r="F737" s="2" t="str">
        <f>_xlfn.XLOOKUP(Orders[[#This Row],[Customer ID]],customers!A:A,customers!B:B)</f>
        <v>Babb Pollins</v>
      </c>
      <c r="G737" s="2" t="str" cm="1">
        <f t="array" ref="G737">IF(_xlfn.XLOOKUP(C737,customers!A736:$A$1001,customers!C736:$C$1001,,0)=0,"",_xlfn.XLOOKUP(C737,customers!A736:$A$1001,customers!C736:$C$1001,,0))</f>
        <v>bpollinskf@shinystat.com</v>
      </c>
      <c r="H737" s="2" t="str" cm="1">
        <f t="array" ref="H737">_xlfn.XLOOKUP(C737,customers!A736:$A$1001,customers!G736:$G$1001,"Ireland",0)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11"/>
        <v>21.87</v>
      </c>
      <c r="N737" t="str" cm="1">
        <f t="array" ref="N737">_xlfn.IFS(I737="Rob","Robusta",I737="Exc","Excelsa",I737="Ara","Arabica",I737="Lib","Liberica")</f>
        <v>Excelsa</v>
      </c>
      <c r="O737" t="str" cm="1">
        <f t="array" ref="O737">_xlfn.IFS(J737="M","Midium",J737="L","Light",J737="D","Dark")</f>
        <v>Dark</v>
      </c>
      <c r="P737" t="str">
        <f>_xlfn.XLOOKUP(Orders[[#This Row],[Customer ID]],customers!A:A,customers!I:I,,0)</f>
        <v>No</v>
      </c>
      <c r="Q737" t="str">
        <f>_xlfn.XLOOKUP(C738,customers!A:A,customers!B:B,"مش موجود")</f>
        <v>Jarret Toye</v>
      </c>
    </row>
    <row r="738" spans="1:17" x14ac:dyDescent="0.25">
      <c r="A738" s="2" t="s">
        <v>4647</v>
      </c>
      <c r="B738" s="3">
        <v>43508</v>
      </c>
      <c r="C738" s="2" t="s">
        <v>4648</v>
      </c>
      <c r="D738" t="s">
        <v>6143</v>
      </c>
      <c r="E738" s="2">
        <v>2</v>
      </c>
      <c r="F738" s="2" t="str">
        <f>_xlfn.XLOOKUP(Orders[[#This Row],[Customer ID]],customers!A:A,customers!B:B)</f>
        <v>Jarret Toye</v>
      </c>
      <c r="G738" s="2" t="str" cm="1">
        <f t="array" ref="G738">IF(_xlfn.XLOOKUP(C738,customers!A737:$A$1001,customers!C737:$C$1001,,0)=0,"",_xlfn.XLOOKUP(C738,customers!A737:$A$1001,customers!C737:$C$1001,,0))</f>
        <v>jtoyekg@pinterest.com</v>
      </c>
      <c r="H738" s="2" t="str" cm="1">
        <f t="array" ref="H738">_xlfn.XLOOKUP(C738,customers!A737:$A$1001,customers!G737:$G$1001,"Ireland",0)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11"/>
        <v>25.9</v>
      </c>
      <c r="N738" t="str" cm="1">
        <f t="array" ref="N738">_xlfn.IFS(I738="Rob","Robusta",I738="Exc","Excelsa",I738="Ara","Arabica",I738="Lib","Liberica")</f>
        <v>Liberica</v>
      </c>
      <c r="O738" t="str" cm="1">
        <f t="array" ref="O738">_xlfn.IFS(J738="M","Midium",J738="L","Light",J738="D","Dark")</f>
        <v>Dark</v>
      </c>
      <c r="P738" t="str">
        <f>_xlfn.XLOOKUP(Orders[[#This Row],[Customer ID]],customers!A:A,customers!I:I,,0)</f>
        <v>Yes</v>
      </c>
      <c r="Q738" t="str">
        <f>_xlfn.XLOOKUP(C739,customers!A:A,customers!B:B,"مش موجود")</f>
        <v>Carlie Linskill</v>
      </c>
    </row>
    <row r="739" spans="1:17" x14ac:dyDescent="0.25">
      <c r="A739" s="2" t="s">
        <v>4653</v>
      </c>
      <c r="B739" s="3">
        <v>44447</v>
      </c>
      <c r="C739" s="2" t="s">
        <v>4654</v>
      </c>
      <c r="D739" t="s">
        <v>6155</v>
      </c>
      <c r="E739" s="2">
        <v>5</v>
      </c>
      <c r="F739" s="2" t="str">
        <f>_xlfn.XLOOKUP(Orders[[#This Row],[Customer ID]],customers!A:A,customers!B:B)</f>
        <v>Carlie Linskill</v>
      </c>
      <c r="G739" s="2" t="str" cm="1">
        <f t="array" ref="G739">IF(_xlfn.XLOOKUP(C739,customers!A738:$A$1001,customers!C738:$C$1001,,0)=0,"",_xlfn.XLOOKUP(C739,customers!A738:$A$1001,customers!C738:$C$1001,,0))</f>
        <v>clinskillkh@sphinn.com</v>
      </c>
      <c r="H739" s="2" t="str" cm="1">
        <f t="array" ref="H739">_xlfn.XLOOKUP(C739,customers!A738:$A$1001,customers!G738:$G$1001,"Ireland",0)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11"/>
        <v>56.25</v>
      </c>
      <c r="N739" t="str" cm="1">
        <f t="array" ref="N739">_xlfn.IFS(I739="Rob","Robusta",I739="Exc","Excelsa",I739="Ara","Arabica",I739="Lib","Liberica")</f>
        <v>Arabica</v>
      </c>
      <c r="O739" t="str" cm="1">
        <f t="array" ref="O739">_xlfn.IFS(J739="M","Midium",J739="L","Light",J739="D","Dark")</f>
        <v>Midium</v>
      </c>
      <c r="P739" t="str">
        <f>_xlfn.XLOOKUP(Orders[[#This Row],[Customer ID]],customers!A:A,customers!I:I,,0)</f>
        <v>No</v>
      </c>
      <c r="Q739" t="str">
        <f>_xlfn.XLOOKUP(C740,customers!A:A,customers!B:B,"مش موجود")</f>
        <v>Natal Vigrass</v>
      </c>
    </row>
    <row r="740" spans="1:17" x14ac:dyDescent="0.25">
      <c r="A740" s="2" t="s">
        <v>4659</v>
      </c>
      <c r="B740" s="3">
        <v>43812</v>
      </c>
      <c r="C740" s="2" t="s">
        <v>4660</v>
      </c>
      <c r="D740" t="s">
        <v>6178</v>
      </c>
      <c r="E740" s="2">
        <v>3</v>
      </c>
      <c r="F740" s="2" t="str">
        <f>_xlfn.XLOOKUP(Orders[[#This Row],[Customer ID]],customers!A:A,customers!B:B)</f>
        <v>Natal Vigrass</v>
      </c>
      <c r="G740" s="2" t="str" cm="1">
        <f t="array" ref="G740">IF(_xlfn.XLOOKUP(C740,customers!A739:$A$1001,customers!C739:$C$1001,,0)=0,"",_xlfn.XLOOKUP(C740,customers!A739:$A$1001,customers!C739:$C$1001,,0))</f>
        <v>nvigrasski@ezinearticles.com</v>
      </c>
      <c r="H740" s="2" t="str" cm="1">
        <f t="array" ref="H740">_xlfn.XLOOKUP(C740,customers!A739:$A$1001,customers!G739:$G$1001,"Ireland",0)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11"/>
        <v>10.754999999999999</v>
      </c>
      <c r="N740" t="str" cm="1">
        <f t="array" ref="N740">_xlfn.IFS(I740="Rob","Robusta",I740="Exc","Excelsa",I740="Ara","Arabica",I740="Lib","Liberica")</f>
        <v>Robusta</v>
      </c>
      <c r="O740" t="str" cm="1">
        <f t="array" ref="O740">_xlfn.IFS(J740="M","Midium",J740="L","Light",J740="D","Dark")</f>
        <v>Light</v>
      </c>
      <c r="P740" t="str">
        <f>_xlfn.XLOOKUP(Orders[[#This Row],[Customer ID]],customers!A:A,customers!I:I,,0)</f>
        <v>No</v>
      </c>
      <c r="Q740" t="str">
        <f>_xlfn.XLOOKUP(C741,customers!A:A,customers!B:B,"مش موجود")</f>
        <v>Jimmy Dymoke</v>
      </c>
    </row>
    <row r="741" spans="1:17" x14ac:dyDescent="0.25">
      <c r="A741" s="2" t="s">
        <v>4665</v>
      </c>
      <c r="B741" s="3">
        <v>44433</v>
      </c>
      <c r="C741" s="2" t="s">
        <v>4434</v>
      </c>
      <c r="D741" t="s">
        <v>6153</v>
      </c>
      <c r="E741" s="2">
        <v>5</v>
      </c>
      <c r="F741" s="2" t="str">
        <f>_xlfn.XLOOKUP(Orders[[#This Row],[Customer ID]],customers!A:A,customers!B:B)</f>
        <v>Jimmy Dymoke</v>
      </c>
      <c r="G741" s="2" t="e" cm="1">
        <f t="array" ref="G741">IF(_xlfn.XLOOKUP(C741,customers!A740:$A$1001,customers!C740:$C$1001,,0)=0,"",_xlfn.XLOOKUP(C741,customers!A740:$A$1001,customers!C740:$C$1001,,0))</f>
        <v>#N/A</v>
      </c>
      <c r="H741" s="2" t="str" cm="1">
        <f t="array" ref="H741">_xlfn.XLOOKUP(C741,customers!A740:$A$1001,customers!G740:$G$1001,"Ireland",0)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11"/>
        <v>18.225000000000001</v>
      </c>
      <c r="N741" t="str" cm="1">
        <f t="array" ref="N741">_xlfn.IFS(I741="Rob","Robusta",I741="Exc","Excelsa",I741="Ara","Arabica",I741="Lib","Liberica")</f>
        <v>Excelsa</v>
      </c>
      <c r="O741" t="str" cm="1">
        <f t="array" ref="O741">_xlfn.IFS(J741="M","Midium",J741="L","Light",J741="D","Dark")</f>
        <v>Dark</v>
      </c>
      <c r="P741" t="str">
        <f>_xlfn.XLOOKUP(Orders[[#This Row],[Customer ID]],customers!A:A,customers!I:I,,0)</f>
        <v>No</v>
      </c>
      <c r="Q741" t="str">
        <f>_xlfn.XLOOKUP(C742,customers!A:A,customers!B:B,"مش موجود")</f>
        <v>Kandace Cragell</v>
      </c>
    </row>
    <row r="742" spans="1:17" x14ac:dyDescent="0.25">
      <c r="A742" s="2" t="s">
        <v>4670</v>
      </c>
      <c r="B742" s="3">
        <v>44643</v>
      </c>
      <c r="C742" s="2" t="s">
        <v>4671</v>
      </c>
      <c r="D742" t="s">
        <v>6173</v>
      </c>
      <c r="E742" s="2">
        <v>4</v>
      </c>
      <c r="F742" s="2" t="str">
        <f>_xlfn.XLOOKUP(Orders[[#This Row],[Customer ID]],customers!A:A,customers!B:B)</f>
        <v>Kandace Cragell</v>
      </c>
      <c r="G742" s="2" t="str" cm="1">
        <f t="array" ref="G742">IF(_xlfn.XLOOKUP(C742,customers!A741:$A$1001,customers!C741:$C$1001,,0)=0,"",_xlfn.XLOOKUP(C742,customers!A741:$A$1001,customers!C741:$C$1001,,0))</f>
        <v>kcragellkk@google.com</v>
      </c>
      <c r="H742" s="2" t="str" cm="1">
        <f t="array" ref="H742">_xlfn.XLOOKUP(C742,customers!A741:$A$1001,customers!G741:$G$1001,"Ireland",0)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11"/>
        <v>28.679999999999996</v>
      </c>
      <c r="N742" t="str" cm="1">
        <f t="array" ref="N742">_xlfn.IFS(I742="Rob","Robusta",I742="Exc","Excelsa",I742="Ara","Arabica",I742="Lib","Liberica")</f>
        <v>Robusta</v>
      </c>
      <c r="O742" t="str" cm="1">
        <f t="array" ref="O742">_xlfn.IFS(J742="M","Midium",J742="L","Light",J742="D","Dark")</f>
        <v>Light</v>
      </c>
      <c r="P742" t="str">
        <f>_xlfn.XLOOKUP(Orders[[#This Row],[Customer ID]],customers!A:A,customers!I:I,,0)</f>
        <v>No</v>
      </c>
      <c r="Q742" t="str">
        <f>_xlfn.XLOOKUP(C743,customers!A:A,customers!B:B,"مش موجود")</f>
        <v>Lyon Ibert</v>
      </c>
    </row>
    <row r="743" spans="1:17" x14ac:dyDescent="0.25">
      <c r="A743" s="2" t="s">
        <v>4676</v>
      </c>
      <c r="B743" s="3">
        <v>43566</v>
      </c>
      <c r="C743" s="2" t="s">
        <v>4677</v>
      </c>
      <c r="D743" t="s">
        <v>6159</v>
      </c>
      <c r="E743" s="2">
        <v>2</v>
      </c>
      <c r="F743" s="2" t="str">
        <f>_xlfn.XLOOKUP(Orders[[#This Row],[Customer ID]],customers!A:A,customers!B:B)</f>
        <v>Lyon Ibert</v>
      </c>
      <c r="G743" s="2" t="str" cm="1">
        <f t="array" ref="G743">IF(_xlfn.XLOOKUP(C743,customers!A742:$A$1001,customers!C742:$C$1001,,0)=0,"",_xlfn.XLOOKUP(C743,customers!A742:$A$1001,customers!C742:$C$1001,,0))</f>
        <v>libertkl@huffingtonpost.com</v>
      </c>
      <c r="H743" s="2" t="str" cm="1">
        <f t="array" ref="H743">_xlfn.XLOOKUP(C743,customers!A742:$A$1001,customers!G742:$G$1001,"Ireland",0)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11"/>
        <v>8.73</v>
      </c>
      <c r="N743" t="str" cm="1">
        <f t="array" ref="N743">_xlfn.IFS(I743="Rob","Robusta",I743="Exc","Excelsa",I743="Ara","Arabica",I743="Lib","Liberica")</f>
        <v>Liberica</v>
      </c>
      <c r="O743" t="str" cm="1">
        <f t="array" ref="O743">_xlfn.IFS(J743="M","Midium",J743="L","Light",J743="D","Dark")</f>
        <v>Midium</v>
      </c>
      <c r="P743" t="str">
        <f>_xlfn.XLOOKUP(Orders[[#This Row],[Customer ID]],customers!A:A,customers!I:I,,0)</f>
        <v>No</v>
      </c>
      <c r="Q743" t="str">
        <f>_xlfn.XLOOKUP(C744,customers!A:A,customers!B:B,"مش موجود")</f>
        <v>Reese Lidgey</v>
      </c>
    </row>
    <row r="744" spans="1:17" x14ac:dyDescent="0.25">
      <c r="A744" s="2" t="s">
        <v>4682</v>
      </c>
      <c r="B744" s="3">
        <v>44133</v>
      </c>
      <c r="C744" s="2" t="s">
        <v>4683</v>
      </c>
      <c r="D744" t="s">
        <v>6162</v>
      </c>
      <c r="E744" s="2">
        <v>4</v>
      </c>
      <c r="F744" s="2" t="str">
        <f>_xlfn.XLOOKUP(Orders[[#This Row],[Customer ID]],customers!A:A,customers!B:B)</f>
        <v>Reese Lidgey</v>
      </c>
      <c r="G744" s="2" t="str" cm="1">
        <f t="array" ref="G744">IF(_xlfn.XLOOKUP(C744,customers!A743:$A$1001,customers!C743:$C$1001,,0)=0,"",_xlfn.XLOOKUP(C744,customers!A743:$A$1001,customers!C743:$C$1001,,0))</f>
        <v>rlidgeykm@vimeo.com</v>
      </c>
      <c r="H744" s="2" t="str" cm="1">
        <f t="array" ref="H744">_xlfn.XLOOKUP(C744,customers!A743:$A$1001,customers!G743:$G$1001,"Ireland",0)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11"/>
        <v>58.2</v>
      </c>
      <c r="N744" t="str" cm="1">
        <f t="array" ref="N744">_xlfn.IFS(I744="Rob","Robusta",I744="Exc","Excelsa",I744="Ara","Arabica",I744="Lib","Liberica")</f>
        <v>Liberica</v>
      </c>
      <c r="O744" t="str" cm="1">
        <f t="array" ref="O744">_xlfn.IFS(J744="M","Midium",J744="L","Light",J744="D","Dark")</f>
        <v>Midium</v>
      </c>
      <c r="P744" t="str">
        <f>_xlfn.XLOOKUP(Orders[[#This Row],[Customer ID]],customers!A:A,customers!I:I,,0)</f>
        <v>No</v>
      </c>
      <c r="Q744" t="str">
        <f>_xlfn.XLOOKUP(C745,customers!A:A,customers!B:B,"مش موجود")</f>
        <v>Tersina Castagne</v>
      </c>
    </row>
    <row r="745" spans="1:17" x14ac:dyDescent="0.25">
      <c r="A745" s="2" t="s">
        <v>4688</v>
      </c>
      <c r="B745" s="3">
        <v>44042</v>
      </c>
      <c r="C745" s="2" t="s">
        <v>4689</v>
      </c>
      <c r="D745" t="s">
        <v>6158</v>
      </c>
      <c r="E745" s="2">
        <v>3</v>
      </c>
      <c r="F745" s="2" t="str">
        <f>_xlfn.XLOOKUP(Orders[[#This Row],[Customer ID]],customers!A:A,customers!B:B)</f>
        <v>Tersina Castagne</v>
      </c>
      <c r="G745" s="2" t="str" cm="1">
        <f t="array" ref="G745">IF(_xlfn.XLOOKUP(C745,customers!A744:$A$1001,customers!C744:$C$1001,,0)=0,"",_xlfn.XLOOKUP(C745,customers!A744:$A$1001,customers!C744:$C$1001,,0))</f>
        <v>tcastagnekn@wikia.com</v>
      </c>
      <c r="H745" s="2" t="str" cm="1">
        <f t="array" ref="H745">_xlfn.XLOOKUP(C745,customers!A744:$A$1001,customers!G744:$G$1001,"Ireland",0)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11"/>
        <v>17.91</v>
      </c>
      <c r="N745" t="str" cm="1">
        <f t="array" ref="N745">_xlfn.IFS(I745="Rob","Robusta",I745="Exc","Excelsa",I745="Ara","Arabica",I745="Lib","Liberica")</f>
        <v>Arabica</v>
      </c>
      <c r="O745" t="str" cm="1">
        <f t="array" ref="O745">_xlfn.IFS(J745="M","Midium",J745="L","Light",J745="D","Dark")</f>
        <v>Dark</v>
      </c>
      <c r="P745" t="str">
        <f>_xlfn.XLOOKUP(Orders[[#This Row],[Customer ID]],customers!A:A,customers!I:I,,0)</f>
        <v>No</v>
      </c>
      <c r="Q745" t="str">
        <f>_xlfn.XLOOKUP(C746,customers!A:A,customers!B:B,"مش موجود")</f>
        <v>Samuele Klaaassen</v>
      </c>
    </row>
    <row r="746" spans="1:17" x14ac:dyDescent="0.25">
      <c r="A746" s="2" t="s">
        <v>4694</v>
      </c>
      <c r="B746" s="3">
        <v>43539</v>
      </c>
      <c r="C746" s="2" t="s">
        <v>4695</v>
      </c>
      <c r="D746" t="s">
        <v>6174</v>
      </c>
      <c r="E746" s="2">
        <v>6</v>
      </c>
      <c r="F746" s="2" t="str">
        <f>_xlfn.XLOOKUP(Orders[[#This Row],[Customer ID]],customers!A:A,customers!B:B)</f>
        <v>Samuele Klaaassen</v>
      </c>
      <c r="G746" s="2" t="str" cm="1">
        <f t="array" ref="G746">IF(_xlfn.XLOOKUP(C746,customers!A745:$A$1001,customers!C745:$C$1001,,0)=0,"",_xlfn.XLOOKUP(C746,customers!A745:$A$1001,customers!C745:$C$1001,,0))</f>
        <v/>
      </c>
      <c r="H746" s="2" t="str" cm="1">
        <f t="array" ref="H746">_xlfn.XLOOKUP(C746,customers!A745:$A$1001,customers!G745:$G$1001,"Ireland",0)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11"/>
        <v>17.91</v>
      </c>
      <c r="N746" t="str" cm="1">
        <f t="array" ref="N746">_xlfn.IFS(I746="Rob","Robusta",I746="Exc","Excelsa",I746="Ara","Arabica",I746="Lib","Liberica")</f>
        <v>Robusta</v>
      </c>
      <c r="O746" t="str" cm="1">
        <f t="array" ref="O746">_xlfn.IFS(J746="M","Midium",J746="L","Light",J746="D","Dark")</f>
        <v>Midium</v>
      </c>
      <c r="P746" t="str">
        <f>_xlfn.XLOOKUP(Orders[[#This Row],[Customer ID]],customers!A:A,customers!I:I,,0)</f>
        <v>Yes</v>
      </c>
      <c r="Q746" t="str">
        <f>_xlfn.XLOOKUP(C747,customers!A:A,customers!B:B,"مش موجود")</f>
        <v>Jordana Halden</v>
      </c>
    </row>
    <row r="747" spans="1:17" x14ac:dyDescent="0.25">
      <c r="A747" s="2" t="s">
        <v>4699</v>
      </c>
      <c r="B747" s="3">
        <v>44557</v>
      </c>
      <c r="C747" s="2" t="s">
        <v>4700</v>
      </c>
      <c r="D747" t="s">
        <v>6144</v>
      </c>
      <c r="E747" s="2">
        <v>2</v>
      </c>
      <c r="F747" s="2" t="str">
        <f>_xlfn.XLOOKUP(Orders[[#This Row],[Customer ID]],customers!A:A,customers!B:B)</f>
        <v>Jordana Halden</v>
      </c>
      <c r="G747" s="2" t="str" cm="1">
        <f t="array" ref="G747">IF(_xlfn.XLOOKUP(C747,customers!A746:$A$1001,customers!C746:$C$1001,,0)=0,"",_xlfn.XLOOKUP(C747,customers!A746:$A$1001,customers!C746:$C$1001,,0))</f>
        <v>jhaldenkp@comcast.net</v>
      </c>
      <c r="H747" s="2" t="str" cm="1">
        <f t="array" ref="H747">_xlfn.XLOOKUP(C747,customers!A746:$A$1001,customers!G746:$G$1001,"Ireland",0)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11"/>
        <v>14.58</v>
      </c>
      <c r="N747" t="str" cm="1">
        <f t="array" ref="N747">_xlfn.IFS(I747="Rob","Robusta",I747="Exc","Excelsa",I747="Ara","Arabica",I747="Lib","Liberica")</f>
        <v>Excelsa</v>
      </c>
      <c r="O747" t="str" cm="1">
        <f t="array" ref="O747">_xlfn.IFS(J747="M","Midium",J747="L","Light",J747="D","Dark")</f>
        <v>Dark</v>
      </c>
      <c r="P747" t="str">
        <f>_xlfn.XLOOKUP(Orders[[#This Row],[Customer ID]],customers!A:A,customers!I:I,,0)</f>
        <v>No</v>
      </c>
      <c r="Q747" t="str">
        <f>_xlfn.XLOOKUP(C748,customers!A:A,customers!B:B,"مش موجود")</f>
        <v>Hussein Olliff</v>
      </c>
    </row>
    <row r="748" spans="1:17" x14ac:dyDescent="0.25">
      <c r="A748" s="2" t="s">
        <v>4705</v>
      </c>
      <c r="B748" s="3">
        <v>43741</v>
      </c>
      <c r="C748" s="2" t="s">
        <v>4706</v>
      </c>
      <c r="D748" t="s">
        <v>6155</v>
      </c>
      <c r="E748" s="2">
        <v>3</v>
      </c>
      <c r="F748" s="2" t="str">
        <f>_xlfn.XLOOKUP(Orders[[#This Row],[Customer ID]],customers!A:A,customers!B:B)</f>
        <v>Hussein Olliff</v>
      </c>
      <c r="G748" s="2" t="str" cm="1">
        <f t="array" ref="G748">IF(_xlfn.XLOOKUP(C748,customers!A747:$A$1001,customers!C747:$C$1001,,0)=0,"",_xlfn.XLOOKUP(C748,customers!A747:$A$1001,customers!C747:$C$1001,,0))</f>
        <v>holliffkq@sciencedirect.com</v>
      </c>
      <c r="H748" s="2" t="str" cm="1">
        <f t="array" ref="H748">_xlfn.XLOOKUP(C748,customers!A747:$A$1001,customers!G747:$G$1001,"Ireland",0)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11"/>
        <v>33.75</v>
      </c>
      <c r="N748" t="str" cm="1">
        <f t="array" ref="N748">_xlfn.IFS(I748="Rob","Robusta",I748="Exc","Excelsa",I748="Ara","Arabica",I748="Lib","Liberica")</f>
        <v>Arabica</v>
      </c>
      <c r="O748" t="str" cm="1">
        <f t="array" ref="O748">_xlfn.IFS(J748="M","Midium",J748="L","Light",J748="D","Dark")</f>
        <v>Midium</v>
      </c>
      <c r="P748" t="str">
        <f>_xlfn.XLOOKUP(Orders[[#This Row],[Customer ID]],customers!A:A,customers!I:I,,0)</f>
        <v>No</v>
      </c>
      <c r="Q748" t="str">
        <f>_xlfn.XLOOKUP(C749,customers!A:A,customers!B:B,"مش موجود")</f>
        <v>Teddi Quadri</v>
      </c>
    </row>
    <row r="749" spans="1:17" x14ac:dyDescent="0.25">
      <c r="A749" s="2" t="s">
        <v>4711</v>
      </c>
      <c r="B749" s="3">
        <v>43501</v>
      </c>
      <c r="C749" s="2" t="s">
        <v>4712</v>
      </c>
      <c r="D749" t="s">
        <v>6160</v>
      </c>
      <c r="E749" s="2">
        <v>4</v>
      </c>
      <c r="F749" s="2" t="str">
        <f>_xlfn.XLOOKUP(Orders[[#This Row],[Customer ID]],customers!A:A,customers!B:B)</f>
        <v>Teddi Quadri</v>
      </c>
      <c r="G749" s="2" t="str" cm="1">
        <f t="array" ref="G749">IF(_xlfn.XLOOKUP(C749,customers!A748:$A$1001,customers!C748:$C$1001,,0)=0,"",_xlfn.XLOOKUP(C749,customers!A748:$A$1001,customers!C748:$C$1001,,0))</f>
        <v>tquadrikr@opensource.org</v>
      </c>
      <c r="H749" s="2" t="str" cm="1">
        <f t="array" ref="H749">_xlfn.XLOOKUP(C749,customers!A748:$A$1001,customers!G748:$G$1001,"Ireland",0)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11"/>
        <v>34.92</v>
      </c>
      <c r="N749" t="str" cm="1">
        <f t="array" ref="N749">_xlfn.IFS(I749="Rob","Robusta",I749="Exc","Excelsa",I749="Ara","Arabica",I749="Lib","Liberica")</f>
        <v>Liberica</v>
      </c>
      <c r="O749" t="str" cm="1">
        <f t="array" ref="O749">_xlfn.IFS(J749="M","Midium",J749="L","Light",J749="D","Dark")</f>
        <v>Midium</v>
      </c>
      <c r="P749" t="str">
        <f>_xlfn.XLOOKUP(Orders[[#This Row],[Customer ID]],customers!A:A,customers!I:I,,0)</f>
        <v>Yes</v>
      </c>
      <c r="Q749" t="str">
        <f>_xlfn.XLOOKUP(C750,customers!A:A,customers!B:B,"مش موجود")</f>
        <v>Felita Eshmade</v>
      </c>
    </row>
    <row r="750" spans="1:17" x14ac:dyDescent="0.25">
      <c r="A750" s="2" t="s">
        <v>4717</v>
      </c>
      <c r="B750" s="3">
        <v>44074</v>
      </c>
      <c r="C750" s="2" t="s">
        <v>4718</v>
      </c>
      <c r="D750" t="s">
        <v>6144</v>
      </c>
      <c r="E750" s="2">
        <v>2</v>
      </c>
      <c r="F750" s="2" t="str">
        <f>_xlfn.XLOOKUP(Orders[[#This Row],[Customer ID]],customers!A:A,customers!B:B)</f>
        <v>Felita Eshmade</v>
      </c>
      <c r="G750" s="2" t="str" cm="1">
        <f t="array" ref="G750">IF(_xlfn.XLOOKUP(C750,customers!A749:$A$1001,customers!C749:$C$1001,,0)=0,"",_xlfn.XLOOKUP(C750,customers!A749:$A$1001,customers!C749:$C$1001,,0))</f>
        <v>feshmadeks@umn.edu</v>
      </c>
      <c r="H750" s="2" t="str" cm="1">
        <f t="array" ref="H750">_xlfn.XLOOKUP(C750,customers!A749:$A$1001,customers!G749:$G$1001,"Ireland",0)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11"/>
        <v>14.58</v>
      </c>
      <c r="N750" t="str" cm="1">
        <f t="array" ref="N750">_xlfn.IFS(I750="Rob","Robusta",I750="Exc","Excelsa",I750="Ara","Arabica",I750="Lib","Liberica")</f>
        <v>Excelsa</v>
      </c>
      <c r="O750" t="str" cm="1">
        <f t="array" ref="O750">_xlfn.IFS(J750="M","Midium",J750="L","Light",J750="D","Dark")</f>
        <v>Dark</v>
      </c>
      <c r="P750" t="str">
        <f>_xlfn.XLOOKUP(Orders[[#This Row],[Customer ID]],customers!A:A,customers!I:I,,0)</f>
        <v>No</v>
      </c>
      <c r="Q750" t="str">
        <f>_xlfn.XLOOKUP(C751,customers!A:A,customers!B:B,"مش موجود")</f>
        <v>Melodie OIlier</v>
      </c>
    </row>
    <row r="751" spans="1:17" x14ac:dyDescent="0.25">
      <c r="A751" s="2" t="s">
        <v>4723</v>
      </c>
      <c r="B751" s="3">
        <v>44209</v>
      </c>
      <c r="C751" s="2" t="s">
        <v>4724</v>
      </c>
      <c r="D751" t="s">
        <v>6163</v>
      </c>
      <c r="E751" s="2">
        <v>2</v>
      </c>
      <c r="F751" s="2" t="str">
        <f>_xlfn.XLOOKUP(Orders[[#This Row],[Customer ID]],customers!A:A,customers!B:B)</f>
        <v>Melodie OIlier</v>
      </c>
      <c r="G751" s="2" t="str" cm="1">
        <f t="array" ref="G751">IF(_xlfn.XLOOKUP(C751,customers!A750:$A$1001,customers!C750:$C$1001,,0)=0,"",_xlfn.XLOOKUP(C751,customers!A750:$A$1001,customers!C750:$C$1001,,0))</f>
        <v>moilierkt@paginegialle.it</v>
      </c>
      <c r="H751" s="2" t="str" cm="1">
        <f t="array" ref="H751">_xlfn.XLOOKUP(C751,customers!A750:$A$1001,customers!G750:$G$1001,"Ireland",0)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11"/>
        <v>5.3699999999999992</v>
      </c>
      <c r="N751" t="str" cm="1">
        <f t="array" ref="N751">_xlfn.IFS(I751="Rob","Robusta",I751="Exc","Excelsa",I751="Ara","Arabica",I751="Lib","Liberica")</f>
        <v>Robusta</v>
      </c>
      <c r="O751" t="str" cm="1">
        <f t="array" ref="O751">_xlfn.IFS(J751="M","Midium",J751="L","Light",J751="D","Dark")</f>
        <v>Dark</v>
      </c>
      <c r="P751" t="str">
        <f>_xlfn.XLOOKUP(Orders[[#This Row],[Customer ID]],customers!A:A,customers!I:I,,0)</f>
        <v>Yes</v>
      </c>
      <c r="Q751" t="str">
        <f>_xlfn.XLOOKUP(C752,customers!A:A,customers!B:B,"مش موجود")</f>
        <v>Hazel Iacopini</v>
      </c>
    </row>
    <row r="752" spans="1:17" x14ac:dyDescent="0.25">
      <c r="A752" s="2" t="s">
        <v>4730</v>
      </c>
      <c r="B752" s="3">
        <v>44277</v>
      </c>
      <c r="C752" s="2" t="s">
        <v>4731</v>
      </c>
      <c r="D752" t="s">
        <v>6146</v>
      </c>
      <c r="E752" s="2">
        <v>1</v>
      </c>
      <c r="F752" s="2" t="str">
        <f>_xlfn.XLOOKUP(Orders[[#This Row],[Customer ID]],customers!A:A,customers!B:B)</f>
        <v>Hazel Iacopini</v>
      </c>
      <c r="G752" s="2" t="str" cm="1">
        <f t="array" ref="G752">IF(_xlfn.XLOOKUP(C752,customers!A751:$A$1001,customers!C751:$C$1001,,0)=0,"",_xlfn.XLOOKUP(C752,customers!A751:$A$1001,customers!C751:$C$1001,,0))</f>
        <v/>
      </c>
      <c r="H752" s="2" t="str" cm="1">
        <f t="array" ref="H752">_xlfn.XLOOKUP(C752,customers!A751:$A$1001,customers!G751:$G$1001,"Ireland",0)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11"/>
        <v>5.97</v>
      </c>
      <c r="N752" t="str" cm="1">
        <f t="array" ref="N752">_xlfn.IFS(I752="Rob","Robusta",I752="Exc","Excelsa",I752="Ara","Arabica",I752="Lib","Liberica")</f>
        <v>Robusta</v>
      </c>
      <c r="O752" t="str" cm="1">
        <f t="array" ref="O752">_xlfn.IFS(J752="M","Midium",J752="L","Light",J752="D","Dark")</f>
        <v>Midium</v>
      </c>
      <c r="P752" t="str">
        <f>_xlfn.XLOOKUP(Orders[[#This Row],[Customer ID]],customers!A:A,customers!I:I,,0)</f>
        <v>Yes</v>
      </c>
      <c r="Q752" t="str">
        <f>_xlfn.XLOOKUP(C753,customers!A:A,customers!B:B,"مش موجود")</f>
        <v>Vinny Shoebotham</v>
      </c>
    </row>
    <row r="753" spans="1:17" x14ac:dyDescent="0.25">
      <c r="A753" s="2" t="s">
        <v>4735</v>
      </c>
      <c r="B753" s="3">
        <v>43847</v>
      </c>
      <c r="C753" s="2" t="s">
        <v>4736</v>
      </c>
      <c r="D753" t="s">
        <v>6161</v>
      </c>
      <c r="E753" s="2">
        <v>2</v>
      </c>
      <c r="F753" s="2" t="str">
        <f>_xlfn.XLOOKUP(Orders[[#This Row],[Customer ID]],customers!A:A,customers!B:B)</f>
        <v>Vinny Shoebotham</v>
      </c>
      <c r="G753" s="2" t="str" cm="1">
        <f t="array" ref="G753">IF(_xlfn.XLOOKUP(C753,customers!A752:$A$1001,customers!C752:$C$1001,,0)=0,"",_xlfn.XLOOKUP(C753,customers!A752:$A$1001,customers!C752:$C$1001,,0))</f>
        <v>vshoebothamkv@redcross.org</v>
      </c>
      <c r="H753" s="2" t="str" cm="1">
        <f t="array" ref="H753">_xlfn.XLOOKUP(C753,customers!A752:$A$1001,customers!G752:$G$1001,"Ireland",0)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11"/>
        <v>19.02</v>
      </c>
      <c r="N753" t="str" cm="1">
        <f t="array" ref="N753">_xlfn.IFS(I753="Rob","Robusta",I753="Exc","Excelsa",I753="Ara","Arabica",I753="Lib","Liberica")</f>
        <v>Liberica</v>
      </c>
      <c r="O753" t="str" cm="1">
        <f t="array" ref="O753">_xlfn.IFS(J753="M","Midium",J753="L","Light",J753="D","Dark")</f>
        <v>Light</v>
      </c>
      <c r="P753" t="str">
        <f>_xlfn.XLOOKUP(Orders[[#This Row],[Customer ID]],customers!A:A,customers!I:I,,0)</f>
        <v>No</v>
      </c>
      <c r="Q753" t="str">
        <f>_xlfn.XLOOKUP(C754,customers!A:A,customers!B:B,"مش موجود")</f>
        <v>Bran Sterke</v>
      </c>
    </row>
    <row r="754" spans="1:17" x14ac:dyDescent="0.25">
      <c r="A754" s="2" t="s">
        <v>4741</v>
      </c>
      <c r="B754" s="3">
        <v>43648</v>
      </c>
      <c r="C754" s="2" t="s">
        <v>4742</v>
      </c>
      <c r="D754" t="s">
        <v>6141</v>
      </c>
      <c r="E754" s="2">
        <v>2</v>
      </c>
      <c r="F754" s="2" t="str">
        <f>_xlfn.XLOOKUP(Orders[[#This Row],[Customer ID]],customers!A:A,customers!B:B)</f>
        <v>Bran Sterke</v>
      </c>
      <c r="G754" s="2" t="str" cm="1">
        <f t="array" ref="G754">IF(_xlfn.XLOOKUP(C754,customers!A753:$A$1001,customers!C753:$C$1001,,0)=0,"",_xlfn.XLOOKUP(C754,customers!A753:$A$1001,customers!C753:$C$1001,,0))</f>
        <v>bsterkekw@biblegateway.com</v>
      </c>
      <c r="H754" s="2" t="str" cm="1">
        <f t="array" ref="H754">_xlfn.XLOOKUP(C754,customers!A753:$A$1001,customers!G753:$G$1001,"Ireland",0)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11"/>
        <v>27.5</v>
      </c>
      <c r="N754" t="str" cm="1">
        <f t="array" ref="N754">_xlfn.IFS(I754="Rob","Robusta",I754="Exc","Excelsa",I754="Ara","Arabica",I754="Lib","Liberica")</f>
        <v>Excelsa</v>
      </c>
      <c r="O754" t="str" cm="1">
        <f t="array" ref="O754">_xlfn.IFS(J754="M","Midium",J754="L","Light",J754="D","Dark")</f>
        <v>Midium</v>
      </c>
      <c r="P754" t="str">
        <f>_xlfn.XLOOKUP(Orders[[#This Row],[Customer ID]],customers!A:A,customers!I:I,,0)</f>
        <v>Yes</v>
      </c>
      <c r="Q754" t="str">
        <f>_xlfn.XLOOKUP(C755,customers!A:A,customers!B:B,"مش موجود")</f>
        <v>Simone Capon</v>
      </c>
    </row>
    <row r="755" spans="1:17" x14ac:dyDescent="0.25">
      <c r="A755" s="2" t="s">
        <v>4747</v>
      </c>
      <c r="B755" s="3">
        <v>44704</v>
      </c>
      <c r="C755" s="2" t="s">
        <v>4748</v>
      </c>
      <c r="D755" t="s">
        <v>6158</v>
      </c>
      <c r="E755" s="2">
        <v>5</v>
      </c>
      <c r="F755" s="2" t="str">
        <f>_xlfn.XLOOKUP(Orders[[#This Row],[Customer ID]],customers!A:A,customers!B:B)</f>
        <v>Simone Capon</v>
      </c>
      <c r="G755" s="2" t="str" cm="1">
        <f t="array" ref="G755">IF(_xlfn.XLOOKUP(C755,customers!A754:$A$1001,customers!C754:$C$1001,,0)=0,"",_xlfn.XLOOKUP(C755,customers!A754:$A$1001,customers!C754:$C$1001,,0))</f>
        <v>scaponkx@craigslist.org</v>
      </c>
      <c r="H755" s="2" t="str" cm="1">
        <f t="array" ref="H755">_xlfn.XLOOKUP(C755,customers!A754:$A$1001,customers!G754:$G$1001,"Ireland",0)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11"/>
        <v>29.849999999999998</v>
      </c>
      <c r="N755" t="str" cm="1">
        <f t="array" ref="N755">_xlfn.IFS(I755="Rob","Robusta",I755="Exc","Excelsa",I755="Ara","Arabica",I755="Lib","Liberica")</f>
        <v>Arabica</v>
      </c>
      <c r="O755" t="str" cm="1">
        <f t="array" ref="O755">_xlfn.IFS(J755="M","Midium",J755="L","Light",J755="D","Dark")</f>
        <v>Dark</v>
      </c>
      <c r="P755" t="str">
        <f>_xlfn.XLOOKUP(Orders[[#This Row],[Customer ID]],customers!A:A,customers!I:I,,0)</f>
        <v>No</v>
      </c>
      <c r="Q755" t="str">
        <f>_xlfn.XLOOKUP(C756,customers!A:A,customers!B:B,"مش موجود")</f>
        <v>Jimmy Dymoke</v>
      </c>
    </row>
    <row r="756" spans="1:17" x14ac:dyDescent="0.25">
      <c r="A756" s="2" t="s">
        <v>4753</v>
      </c>
      <c r="B756" s="3">
        <v>44726</v>
      </c>
      <c r="C756" s="2" t="s">
        <v>4434</v>
      </c>
      <c r="D756" t="s">
        <v>6154</v>
      </c>
      <c r="E756" s="2">
        <v>6</v>
      </c>
      <c r="F756" s="2" t="str">
        <f>_xlfn.XLOOKUP(Orders[[#This Row],[Customer ID]],customers!A:A,customers!B:B)</f>
        <v>Jimmy Dymoke</v>
      </c>
      <c r="G756" s="2" t="e" cm="1">
        <f t="array" ref="G756">IF(_xlfn.XLOOKUP(C756,customers!A755:$A$1001,customers!C755:$C$1001,,0)=0,"",_xlfn.XLOOKUP(C756,customers!A755:$A$1001,customers!C755:$C$1001,,0))</f>
        <v>#N/A</v>
      </c>
      <c r="H756" s="2" t="str" cm="1">
        <f t="array" ref="H756">_xlfn.XLOOKUP(C756,customers!A755:$A$1001,customers!G755:$G$1001,"Ireland",0)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11"/>
        <v>17.91</v>
      </c>
      <c r="N756" t="str" cm="1">
        <f t="array" ref="N756">_xlfn.IFS(I756="Rob","Robusta",I756="Exc","Excelsa",I756="Ara","Arabica",I756="Lib","Liberica")</f>
        <v>Arabica</v>
      </c>
      <c r="O756" t="str" cm="1">
        <f t="array" ref="O756">_xlfn.IFS(J756="M","Midium",J756="L","Light",J756="D","Dark")</f>
        <v>Dark</v>
      </c>
      <c r="P756" t="str">
        <f>_xlfn.XLOOKUP(Orders[[#This Row],[Customer ID]],customers!A:A,customers!I:I,,0)</f>
        <v>No</v>
      </c>
      <c r="Q756" t="str">
        <f>_xlfn.XLOOKUP(C757,customers!A:A,customers!B:B,"مش موجود")</f>
        <v>Foster Constance</v>
      </c>
    </row>
    <row r="757" spans="1:17" x14ac:dyDescent="0.25">
      <c r="A757" s="2" t="s">
        <v>4758</v>
      </c>
      <c r="B757" s="3">
        <v>44397</v>
      </c>
      <c r="C757" s="2" t="s">
        <v>4759</v>
      </c>
      <c r="D757" t="s">
        <v>6145</v>
      </c>
      <c r="E757" s="2">
        <v>6</v>
      </c>
      <c r="F757" s="2" t="str">
        <f>_xlfn.XLOOKUP(Orders[[#This Row],[Customer ID]],customers!A:A,customers!B:B)</f>
        <v>Foster Constance</v>
      </c>
      <c r="G757" s="2" t="str" cm="1">
        <f t="array" ref="G757">IF(_xlfn.XLOOKUP(C757,customers!A756:$A$1001,customers!C756:$C$1001,,0)=0,"",_xlfn.XLOOKUP(C757,customers!A756:$A$1001,customers!C756:$C$1001,,0))</f>
        <v>fconstancekz@ifeng.com</v>
      </c>
      <c r="H757" s="2" t="str" cm="1">
        <f t="array" ref="H757">_xlfn.XLOOKUP(C757,customers!A756:$A$1001,customers!G756:$G$1001,"Ireland",0)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11"/>
        <v>28.53</v>
      </c>
      <c r="N757" t="str" cm="1">
        <f t="array" ref="N757">_xlfn.IFS(I757="Rob","Robusta",I757="Exc","Excelsa",I757="Ara","Arabica",I757="Lib","Liberica")</f>
        <v>Liberica</v>
      </c>
      <c r="O757" t="str" cm="1">
        <f t="array" ref="O757">_xlfn.IFS(J757="M","Midium",J757="L","Light",J757="D","Dark")</f>
        <v>Light</v>
      </c>
      <c r="P757" t="str">
        <f>_xlfn.XLOOKUP(Orders[[#This Row],[Customer ID]],customers!A:A,customers!I:I,,0)</f>
        <v>No</v>
      </c>
      <c r="Q757" t="str">
        <f>_xlfn.XLOOKUP(C758,customers!A:A,customers!B:B,"مش موجود")</f>
        <v>Fernando Sulman</v>
      </c>
    </row>
    <row r="758" spans="1:17" x14ac:dyDescent="0.25">
      <c r="A758" s="2" t="s">
        <v>4764</v>
      </c>
      <c r="B758" s="3">
        <v>44715</v>
      </c>
      <c r="C758" s="2" t="s">
        <v>4765</v>
      </c>
      <c r="D758" t="s">
        <v>6177</v>
      </c>
      <c r="E758" s="2">
        <v>4</v>
      </c>
      <c r="F758" s="2" t="str">
        <f>_xlfn.XLOOKUP(Orders[[#This Row],[Customer ID]],customers!A:A,customers!B:B)</f>
        <v>Fernando Sulman</v>
      </c>
      <c r="G758" s="2" t="str" cm="1">
        <f t="array" ref="G758">IF(_xlfn.XLOOKUP(C758,customers!A757:$A$1001,customers!C757:$C$1001,,0)=0,"",_xlfn.XLOOKUP(C758,customers!A757:$A$1001,customers!C757:$C$1001,,0))</f>
        <v>fsulmanl0@washington.edu</v>
      </c>
      <c r="H758" s="2" t="str" cm="1">
        <f t="array" ref="H758">_xlfn.XLOOKUP(C758,customers!A757:$A$1001,customers!G757:$G$1001,"Ireland",0)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11"/>
        <v>35.799999999999997</v>
      </c>
      <c r="N758" t="str" cm="1">
        <f t="array" ref="N758">_xlfn.IFS(I758="Rob","Robusta",I758="Exc","Excelsa",I758="Ara","Arabica",I758="Lib","Liberica")</f>
        <v>Robusta</v>
      </c>
      <c r="O758" t="str" cm="1">
        <f t="array" ref="O758">_xlfn.IFS(J758="M","Midium",J758="L","Light",J758="D","Dark")</f>
        <v>Dark</v>
      </c>
      <c r="P758" t="str">
        <f>_xlfn.XLOOKUP(Orders[[#This Row],[Customer ID]],customers!A:A,customers!I:I,,0)</f>
        <v>Yes</v>
      </c>
      <c r="Q758" t="str">
        <f>_xlfn.XLOOKUP(C759,customers!A:A,customers!B:B,"مش موجود")</f>
        <v>Dorotea Hollyman</v>
      </c>
    </row>
    <row r="759" spans="1:17" x14ac:dyDescent="0.25">
      <c r="A759" s="2" t="s">
        <v>4770</v>
      </c>
      <c r="B759" s="3">
        <v>43977</v>
      </c>
      <c r="C759" s="2" t="s">
        <v>4771</v>
      </c>
      <c r="D759" t="s">
        <v>6158</v>
      </c>
      <c r="E759" s="2">
        <v>3</v>
      </c>
      <c r="F759" s="2" t="str">
        <f>_xlfn.XLOOKUP(Orders[[#This Row],[Customer ID]],customers!A:A,customers!B:B)</f>
        <v>Dorotea Hollyman</v>
      </c>
      <c r="G759" s="2" t="str" cm="1">
        <f t="array" ref="G759">IF(_xlfn.XLOOKUP(C759,customers!A758:$A$1001,customers!C758:$C$1001,,0)=0,"",_xlfn.XLOOKUP(C759,customers!A758:$A$1001,customers!C758:$C$1001,,0))</f>
        <v>dhollymanl1@ibm.com</v>
      </c>
      <c r="H759" s="2" t="str" cm="1">
        <f t="array" ref="H759">_xlfn.XLOOKUP(C759,customers!A758:$A$1001,customers!G758:$G$1001,"Ireland",0)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11"/>
        <v>17.91</v>
      </c>
      <c r="N759" t="str" cm="1">
        <f t="array" ref="N759">_xlfn.IFS(I759="Rob","Robusta",I759="Exc","Excelsa",I759="Ara","Arabica",I759="Lib","Liberica")</f>
        <v>Arabica</v>
      </c>
      <c r="O759" t="str" cm="1">
        <f t="array" ref="O759">_xlfn.IFS(J759="M","Midium",J759="L","Light",J759="D","Dark")</f>
        <v>Dark</v>
      </c>
      <c r="P759" t="str">
        <f>_xlfn.XLOOKUP(Orders[[#This Row],[Customer ID]],customers!A:A,customers!I:I,,0)</f>
        <v>Yes</v>
      </c>
      <c r="Q759" t="str">
        <f>_xlfn.XLOOKUP(C760,customers!A:A,customers!B:B,"مش موجود")</f>
        <v>Lorelei Nardoni</v>
      </c>
    </row>
    <row r="760" spans="1:17" x14ac:dyDescent="0.25">
      <c r="A760" s="2" t="s">
        <v>4776</v>
      </c>
      <c r="B760" s="3">
        <v>43672</v>
      </c>
      <c r="C760" s="2" t="s">
        <v>4777</v>
      </c>
      <c r="D760" t="s">
        <v>6177</v>
      </c>
      <c r="E760" s="2">
        <v>1</v>
      </c>
      <c r="F760" s="2" t="str">
        <f>_xlfn.XLOOKUP(Orders[[#This Row],[Customer ID]],customers!A:A,customers!B:B)</f>
        <v>Lorelei Nardoni</v>
      </c>
      <c r="G760" s="2" t="str" cm="1">
        <f t="array" ref="G760">IF(_xlfn.XLOOKUP(C760,customers!A759:$A$1001,customers!C759:$C$1001,,0)=0,"",_xlfn.XLOOKUP(C760,customers!A759:$A$1001,customers!C759:$C$1001,,0))</f>
        <v>lnardonil2@hao123.com</v>
      </c>
      <c r="H760" s="2" t="str" cm="1">
        <f t="array" ref="H760">_xlfn.XLOOKUP(C760,customers!A759:$A$1001,customers!G759:$G$1001,"Ireland",0)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11"/>
        <v>8.9499999999999993</v>
      </c>
      <c r="N760" t="str" cm="1">
        <f t="array" ref="N760">_xlfn.IFS(I760="Rob","Robusta",I760="Exc","Excelsa",I760="Ara","Arabica",I760="Lib","Liberica")</f>
        <v>Robusta</v>
      </c>
      <c r="O760" t="str" cm="1">
        <f t="array" ref="O760">_xlfn.IFS(J760="M","Midium",J760="L","Light",J760="D","Dark")</f>
        <v>Dark</v>
      </c>
      <c r="P760" t="str">
        <f>_xlfn.XLOOKUP(Orders[[#This Row],[Customer ID]],customers!A:A,customers!I:I,,0)</f>
        <v>No</v>
      </c>
      <c r="Q760" t="str">
        <f>_xlfn.XLOOKUP(C761,customers!A:A,customers!B:B,"مش موجود")</f>
        <v>Dallas Yarham</v>
      </c>
    </row>
    <row r="761" spans="1:17" x14ac:dyDescent="0.25">
      <c r="A761" s="2" t="s">
        <v>4781</v>
      </c>
      <c r="B761" s="3">
        <v>44126</v>
      </c>
      <c r="C761" s="2" t="s">
        <v>4782</v>
      </c>
      <c r="D761" t="s">
        <v>6165</v>
      </c>
      <c r="E761" s="2">
        <v>1</v>
      </c>
      <c r="F761" s="2" t="str">
        <f>_xlfn.XLOOKUP(Orders[[#This Row],[Customer ID]],customers!A:A,customers!B:B)</f>
        <v>Dallas Yarham</v>
      </c>
      <c r="G761" s="2" t="str" cm="1">
        <f t="array" ref="G761">IF(_xlfn.XLOOKUP(C761,customers!A760:$A$1001,customers!C760:$C$1001,,0)=0,"",_xlfn.XLOOKUP(C761,customers!A760:$A$1001,customers!C760:$C$1001,,0))</f>
        <v>dyarhaml3@moonfruit.com</v>
      </c>
      <c r="H761" s="2" t="str" cm="1">
        <f t="array" ref="H761">_xlfn.XLOOKUP(C761,customers!A760:$A$1001,customers!G760:$G$1001,"Ireland",0)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11"/>
        <v>29.784999999999997</v>
      </c>
      <c r="N761" t="str" cm="1">
        <f t="array" ref="N761">_xlfn.IFS(I761="Rob","Robusta",I761="Exc","Excelsa",I761="Ara","Arabica",I761="Lib","Liberica")</f>
        <v>Liberica</v>
      </c>
      <c r="O761" t="str" cm="1">
        <f t="array" ref="O761">_xlfn.IFS(J761="M","Midium",J761="L","Light",J761="D","Dark")</f>
        <v>Dark</v>
      </c>
      <c r="P761" t="str">
        <f>_xlfn.XLOOKUP(Orders[[#This Row],[Customer ID]],customers!A:A,customers!I:I,,0)</f>
        <v>Yes</v>
      </c>
      <c r="Q761" t="str">
        <f>_xlfn.XLOOKUP(C762,customers!A:A,customers!B:B,"مش موجود")</f>
        <v>Arlana Ferrea</v>
      </c>
    </row>
    <row r="762" spans="1:17" x14ac:dyDescent="0.25">
      <c r="A762" s="2" t="s">
        <v>4787</v>
      </c>
      <c r="B762" s="3">
        <v>44189</v>
      </c>
      <c r="C762" s="2" t="s">
        <v>4788</v>
      </c>
      <c r="D762" t="s">
        <v>6176</v>
      </c>
      <c r="E762" s="2">
        <v>5</v>
      </c>
      <c r="F762" s="2" t="str">
        <f>_xlfn.XLOOKUP(Orders[[#This Row],[Customer ID]],customers!A:A,customers!B:B)</f>
        <v>Arlana Ferrea</v>
      </c>
      <c r="G762" s="2" t="str" cm="1">
        <f t="array" ref="G762">IF(_xlfn.XLOOKUP(C762,customers!A761:$A$1001,customers!C761:$C$1001,,0)=0,"",_xlfn.XLOOKUP(C762,customers!A761:$A$1001,customers!C761:$C$1001,,0))</f>
        <v>aferreal4@wikia.com</v>
      </c>
      <c r="H762" s="2" t="str" cm="1">
        <f t="array" ref="H762">_xlfn.XLOOKUP(C762,customers!A761:$A$1001,customers!G761:$G$1001,"Ireland",0)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11"/>
        <v>44.55</v>
      </c>
      <c r="N762" t="str" cm="1">
        <f t="array" ref="N762">_xlfn.IFS(I762="Rob","Robusta",I762="Exc","Excelsa",I762="Ara","Arabica",I762="Lib","Liberica")</f>
        <v>Excelsa</v>
      </c>
      <c r="O762" t="str" cm="1">
        <f t="array" ref="O762">_xlfn.IFS(J762="M","Midium",J762="L","Light",J762="D","Dark")</f>
        <v>Light</v>
      </c>
      <c r="P762" t="str">
        <f>_xlfn.XLOOKUP(Orders[[#This Row],[Customer ID]],customers!A:A,customers!I:I,,0)</f>
        <v>No</v>
      </c>
      <c r="Q762" t="str">
        <f>_xlfn.XLOOKUP(C763,customers!A:A,customers!B:B,"مش موجود")</f>
        <v>Chuck Kendrick</v>
      </c>
    </row>
    <row r="763" spans="1:17" x14ac:dyDescent="0.25">
      <c r="A763" s="2" t="s">
        <v>4792</v>
      </c>
      <c r="B763" s="3">
        <v>43714</v>
      </c>
      <c r="C763" s="2" t="s">
        <v>4793</v>
      </c>
      <c r="D763" t="s">
        <v>6171</v>
      </c>
      <c r="E763" s="2">
        <v>6</v>
      </c>
      <c r="F763" s="2" t="str">
        <f>_xlfn.XLOOKUP(Orders[[#This Row],[Customer ID]],customers!A:A,customers!B:B)</f>
        <v>Chuck Kendrick</v>
      </c>
      <c r="G763" s="2" t="str" cm="1">
        <f t="array" ref="G763">IF(_xlfn.XLOOKUP(C763,customers!A762:$A$1001,customers!C762:$C$1001,,0)=0,"",_xlfn.XLOOKUP(C763,customers!A762:$A$1001,customers!C762:$C$1001,,0))</f>
        <v>ckendrickl5@webnode.com</v>
      </c>
      <c r="H763" s="2" t="str" cm="1">
        <f t="array" ref="H763">_xlfn.XLOOKUP(C763,customers!A762:$A$1001,customers!G762:$G$1001,"Ireland",0)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11"/>
        <v>89.1</v>
      </c>
      <c r="N763" t="str" cm="1">
        <f t="array" ref="N763">_xlfn.IFS(I763="Rob","Robusta",I763="Exc","Excelsa",I763="Ara","Arabica",I763="Lib","Liberica")</f>
        <v>Excelsa</v>
      </c>
      <c r="O763" t="str" cm="1">
        <f t="array" ref="O763">_xlfn.IFS(J763="M","Midium",J763="L","Light",J763="D","Dark")</f>
        <v>Light</v>
      </c>
      <c r="P763" t="str">
        <f>_xlfn.XLOOKUP(Orders[[#This Row],[Customer ID]],customers!A:A,customers!I:I,,0)</f>
        <v>Yes</v>
      </c>
      <c r="Q763" t="str">
        <f>_xlfn.XLOOKUP(C764,customers!A:A,customers!B:B,"مش موجود")</f>
        <v>Sharona Danilchik</v>
      </c>
    </row>
    <row r="764" spans="1:17" x14ac:dyDescent="0.25">
      <c r="A764" s="2" t="s">
        <v>4797</v>
      </c>
      <c r="B764" s="3">
        <v>43563</v>
      </c>
      <c r="C764" s="2" t="s">
        <v>4798</v>
      </c>
      <c r="D764" t="s">
        <v>6160</v>
      </c>
      <c r="E764" s="2">
        <v>5</v>
      </c>
      <c r="F764" s="2" t="str">
        <f>_xlfn.XLOOKUP(Orders[[#This Row],[Customer ID]],customers!A:A,customers!B:B)</f>
        <v>Sharona Danilchik</v>
      </c>
      <c r="G764" s="2" t="str" cm="1">
        <f t="array" ref="G764">IF(_xlfn.XLOOKUP(C764,customers!A763:$A$1001,customers!C763:$C$1001,,0)=0,"",_xlfn.XLOOKUP(C764,customers!A763:$A$1001,customers!C763:$C$1001,,0))</f>
        <v>sdanilchikl6@mit.edu</v>
      </c>
      <c r="H764" s="2" t="str" cm="1">
        <f t="array" ref="H764">_xlfn.XLOOKUP(C764,customers!A763:$A$1001,customers!G763:$G$1001,"Ireland",0)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11"/>
        <v>43.650000000000006</v>
      </c>
      <c r="N764" t="str" cm="1">
        <f t="array" ref="N764">_xlfn.IFS(I764="Rob","Robusta",I764="Exc","Excelsa",I764="Ara","Arabica",I764="Lib","Liberica")</f>
        <v>Liberica</v>
      </c>
      <c r="O764" t="str" cm="1">
        <f t="array" ref="O764">_xlfn.IFS(J764="M","Midium",J764="L","Light",J764="D","Dark")</f>
        <v>Midium</v>
      </c>
      <c r="P764" t="str">
        <f>_xlfn.XLOOKUP(Orders[[#This Row],[Customer ID]],customers!A:A,customers!I:I,,0)</f>
        <v>No</v>
      </c>
      <c r="Q764" t="str">
        <f>_xlfn.XLOOKUP(C765,customers!A:A,customers!B:B,"مش موجود")</f>
        <v>Sarajane Potter</v>
      </c>
    </row>
    <row r="765" spans="1:17" x14ac:dyDescent="0.25">
      <c r="A765" s="2" t="s">
        <v>4803</v>
      </c>
      <c r="B765" s="3">
        <v>44587</v>
      </c>
      <c r="C765" s="2" t="s">
        <v>4804</v>
      </c>
      <c r="D765" t="s">
        <v>6180</v>
      </c>
      <c r="E765" s="2">
        <v>3</v>
      </c>
      <c r="F765" s="2" t="str">
        <f>_xlfn.XLOOKUP(Orders[[#This Row],[Customer ID]],customers!A:A,customers!B:B)</f>
        <v>Sarajane Potter</v>
      </c>
      <c r="G765" s="2" t="str" cm="1">
        <f t="array" ref="G765">IF(_xlfn.XLOOKUP(C765,customers!A764:$A$1001,customers!C764:$C$1001,,0)=0,"",_xlfn.XLOOKUP(C765,customers!A764:$A$1001,customers!C764:$C$1001,,0))</f>
        <v/>
      </c>
      <c r="H765" s="2" t="str" cm="1">
        <f t="array" ref="H765">_xlfn.XLOOKUP(C765,customers!A764:$A$1001,customers!G764:$G$1001,"Ireland",0)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11"/>
        <v>23.31</v>
      </c>
      <c r="N765" t="str" cm="1">
        <f t="array" ref="N765">_xlfn.IFS(I765="Rob","Robusta",I765="Exc","Excelsa",I765="Ara","Arabica",I765="Lib","Liberica")</f>
        <v>Arabica</v>
      </c>
      <c r="O765" t="str" cm="1">
        <f t="array" ref="O765">_xlfn.IFS(J765="M","Midium",J765="L","Light",J765="D","Dark")</f>
        <v>Light</v>
      </c>
      <c r="P765" t="str">
        <f>_xlfn.XLOOKUP(Orders[[#This Row],[Customer ID]],customers!A:A,customers!I:I,,0)</f>
        <v>No</v>
      </c>
      <c r="Q765" t="str">
        <f>_xlfn.XLOOKUP(C766,customers!A:A,customers!B:B,"مش موجود")</f>
        <v>Bobby Folomkin</v>
      </c>
    </row>
    <row r="766" spans="1:17" x14ac:dyDescent="0.25">
      <c r="A766" s="2" t="s">
        <v>4808</v>
      </c>
      <c r="B766" s="3">
        <v>43797</v>
      </c>
      <c r="C766" s="2" t="s">
        <v>4809</v>
      </c>
      <c r="D766" t="s">
        <v>6182</v>
      </c>
      <c r="E766" s="2">
        <v>6</v>
      </c>
      <c r="F766" s="2" t="str">
        <f>_xlfn.XLOOKUP(Orders[[#This Row],[Customer ID]],customers!A:A,customers!B:B)</f>
        <v>Bobby Folomkin</v>
      </c>
      <c r="G766" s="2" t="str" cm="1">
        <f t="array" ref="G766">IF(_xlfn.XLOOKUP(C766,customers!A765:$A$1001,customers!C765:$C$1001,,0)=0,"",_xlfn.XLOOKUP(C766,customers!A765:$A$1001,customers!C765:$C$1001,,0))</f>
        <v>bfolomkinl8@yolasite.com</v>
      </c>
      <c r="H766" s="2" t="str" cm="1">
        <f t="array" ref="H766">_xlfn.XLOOKUP(C766,customers!A765:$A$1001,customers!G765:$G$1001,"Ireland",0)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11"/>
        <v>178.70999999999998</v>
      </c>
      <c r="N766" t="str" cm="1">
        <f t="array" ref="N766">_xlfn.IFS(I766="Rob","Robusta",I766="Exc","Excelsa",I766="Ara","Arabica",I766="Lib","Liberica")</f>
        <v>Arabica</v>
      </c>
      <c r="O766" t="str" cm="1">
        <f t="array" ref="O766">_xlfn.IFS(J766="M","Midium",J766="L","Light",J766="D","Dark")</f>
        <v>Light</v>
      </c>
      <c r="P766" t="str">
        <f>_xlfn.XLOOKUP(Orders[[#This Row],[Customer ID]],customers!A:A,customers!I:I,,0)</f>
        <v>Yes</v>
      </c>
      <c r="Q766" t="str">
        <f>_xlfn.XLOOKUP(C767,customers!A:A,customers!B:B,"مش موجود")</f>
        <v>Rafferty Pursglove</v>
      </c>
    </row>
    <row r="767" spans="1:17" x14ac:dyDescent="0.25">
      <c r="A767" s="2" t="s">
        <v>4814</v>
      </c>
      <c r="B767" s="3">
        <v>43667</v>
      </c>
      <c r="C767" s="2" t="s">
        <v>4815</v>
      </c>
      <c r="D767" t="s">
        <v>6138</v>
      </c>
      <c r="E767" s="2">
        <v>6</v>
      </c>
      <c r="F767" s="2" t="str">
        <f>_xlfn.XLOOKUP(Orders[[#This Row],[Customer ID]],customers!A:A,customers!B:B)</f>
        <v>Rafferty Pursglove</v>
      </c>
      <c r="G767" s="2" t="str" cm="1">
        <f t="array" ref="G767">IF(_xlfn.XLOOKUP(C767,customers!A766:$A$1001,customers!C766:$C$1001,,0)=0,"",_xlfn.XLOOKUP(C767,customers!A766:$A$1001,customers!C766:$C$1001,,0))</f>
        <v>rpursglovel9@biblegateway.com</v>
      </c>
      <c r="H767" s="2" t="str" cm="1">
        <f t="array" ref="H767">_xlfn.XLOOKUP(C767,customers!A766:$A$1001,customers!G766:$G$1001,"Ireland",0)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11"/>
        <v>59.699999999999996</v>
      </c>
      <c r="N767" t="str" cm="1">
        <f t="array" ref="N767">_xlfn.IFS(I767="Rob","Robusta",I767="Exc","Excelsa",I767="Ara","Arabica",I767="Lib","Liberica")</f>
        <v>Robusta</v>
      </c>
      <c r="O767" t="str" cm="1">
        <f t="array" ref="O767">_xlfn.IFS(J767="M","Midium",J767="L","Light",J767="D","Dark")</f>
        <v>Midium</v>
      </c>
      <c r="P767" t="str">
        <f>_xlfn.XLOOKUP(Orders[[#This Row],[Customer ID]],customers!A:A,customers!I:I,,0)</f>
        <v>Yes</v>
      </c>
      <c r="Q767" t="str">
        <f>_xlfn.XLOOKUP(C768,customers!A:A,customers!B:B,"مش موجود")</f>
        <v>Rafferty Pursglove</v>
      </c>
    </row>
    <row r="768" spans="1:17" x14ac:dyDescent="0.25">
      <c r="A768" s="2" t="s">
        <v>4814</v>
      </c>
      <c r="B768" s="3">
        <v>43667</v>
      </c>
      <c r="C768" s="2" t="s">
        <v>4815</v>
      </c>
      <c r="D768" t="s">
        <v>6180</v>
      </c>
      <c r="E768" s="2">
        <v>2</v>
      </c>
      <c r="F768" s="2" t="str">
        <f>_xlfn.XLOOKUP(Orders[[#This Row],[Customer ID]],customers!A:A,customers!B:B)</f>
        <v>Rafferty Pursglove</v>
      </c>
      <c r="G768" s="2" t="str" cm="1">
        <f t="array" ref="G768">IF(_xlfn.XLOOKUP(C768,customers!A767:$A$1001,customers!C767:$C$1001,,0)=0,"",_xlfn.XLOOKUP(C768,customers!A767:$A$1001,customers!C767:$C$1001,,0))</f>
        <v>rpursglovel9@biblegateway.com</v>
      </c>
      <c r="H768" s="2" t="str" cm="1">
        <f t="array" ref="H768">_xlfn.XLOOKUP(C768,customers!A767:$A$1001,customers!G767:$G$1001,"Ireland",0)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11"/>
        <v>15.54</v>
      </c>
      <c r="N768" t="str" cm="1">
        <f t="array" ref="N768">_xlfn.IFS(I768="Rob","Robusta",I768="Exc","Excelsa",I768="Ara","Arabica",I768="Lib","Liberica")</f>
        <v>Arabica</v>
      </c>
      <c r="O768" t="str" cm="1">
        <f t="array" ref="O768">_xlfn.IFS(J768="M","Midium",J768="L","Light",J768="D","Dark")</f>
        <v>Light</v>
      </c>
      <c r="P768" t="str">
        <f>_xlfn.XLOOKUP(Orders[[#This Row],[Customer ID]],customers!A:A,customers!I:I,,0)</f>
        <v>Yes</v>
      </c>
      <c r="Q768" t="str">
        <f>_xlfn.XLOOKUP(C769,customers!A:A,customers!B:B,"مش موجود")</f>
        <v>Foster Constance</v>
      </c>
    </row>
    <row r="769" spans="1:17" x14ac:dyDescent="0.25">
      <c r="A769" s="2" t="s">
        <v>4825</v>
      </c>
      <c r="B769" s="3">
        <v>44267</v>
      </c>
      <c r="C769" s="2" t="s">
        <v>4759</v>
      </c>
      <c r="D769" t="s">
        <v>6182</v>
      </c>
      <c r="E769" s="2">
        <v>3</v>
      </c>
      <c r="F769" s="2" t="str">
        <f>_xlfn.XLOOKUP(Orders[[#This Row],[Customer ID]],customers!A:A,customers!B:B)</f>
        <v>Foster Constance</v>
      </c>
      <c r="G769" s="2" t="e" cm="1">
        <f t="array" ref="G769">IF(_xlfn.XLOOKUP(C769,customers!A768:$A$1001,customers!C768:$C$1001,,0)=0,"",_xlfn.XLOOKUP(C769,customers!A768:$A$1001,customers!C768:$C$1001,,0))</f>
        <v>#N/A</v>
      </c>
      <c r="H769" s="2" t="str" cm="1">
        <f t="array" ref="H769">_xlfn.XLOOKUP(C769,customers!A768:$A$1001,customers!G768:$G$1001,"Ireland",0)</f>
        <v>Ireland</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11"/>
        <v>89.35499999999999</v>
      </c>
      <c r="N769" t="str" cm="1">
        <f t="array" ref="N769">_xlfn.IFS(I769="Rob","Robusta",I769="Exc","Excelsa",I769="Ara","Arabica",I769="Lib","Liberica")</f>
        <v>Arabica</v>
      </c>
      <c r="O769" t="str" cm="1">
        <f t="array" ref="O769">_xlfn.IFS(J769="M","Midium",J769="L","Light",J769="D","Dark")</f>
        <v>Light</v>
      </c>
      <c r="P769" t="str">
        <f>_xlfn.XLOOKUP(Orders[[#This Row],[Customer ID]],customers!A:A,customers!I:I,,0)</f>
        <v>No</v>
      </c>
      <c r="Q769" t="str">
        <f>_xlfn.XLOOKUP(C770,customers!A:A,customers!B:B,"مش موجود")</f>
        <v>Foster Constance</v>
      </c>
    </row>
    <row r="770" spans="1:17" x14ac:dyDescent="0.25">
      <c r="A770" s="2" t="s">
        <v>4831</v>
      </c>
      <c r="B770" s="3">
        <v>44562</v>
      </c>
      <c r="C770" s="2" t="s">
        <v>4759</v>
      </c>
      <c r="D770" t="s">
        <v>6179</v>
      </c>
      <c r="E770" s="2">
        <v>2</v>
      </c>
      <c r="F770" s="2" t="str">
        <f>_xlfn.XLOOKUP(Orders[[#This Row],[Customer ID]],customers!A:A,customers!B:B)</f>
        <v>Foster Constance</v>
      </c>
      <c r="G770" s="2" t="e" cm="1">
        <f t="array" ref="G770">IF(_xlfn.XLOOKUP(C770,customers!A769:$A$1001,customers!C769:$C$1001,,0)=0,"",_xlfn.XLOOKUP(C770,customers!A769:$A$1001,customers!C769:$C$1001,,0))</f>
        <v>#N/A</v>
      </c>
      <c r="H770" s="2" t="str" cm="1">
        <f t="array" ref="H770">_xlfn.XLOOKUP(C770,customers!A769:$A$1001,customers!G769:$G$1001,"Ireland",0)</f>
        <v>Ireland</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11"/>
        <v>23.9</v>
      </c>
      <c r="N770" t="str" cm="1">
        <f t="array" ref="N770">_xlfn.IFS(I770="Rob","Robusta",I770="Exc","Excelsa",I770="Ara","Arabica",I770="Lib","Liberica")</f>
        <v>Robusta</v>
      </c>
      <c r="O770" t="str" cm="1">
        <f t="array" ref="O770">_xlfn.IFS(J770="M","Midium",J770="L","Light",J770="D","Dark")</f>
        <v>Light</v>
      </c>
      <c r="P770" t="str">
        <f>_xlfn.XLOOKUP(Orders[[#This Row],[Customer ID]],customers!A:A,customers!I:I,,0)</f>
        <v>No</v>
      </c>
      <c r="Q770" t="str">
        <f>_xlfn.XLOOKUP(C771,customers!A:A,customers!B:B,"مش موجود")</f>
        <v>Dalia Eburah</v>
      </c>
    </row>
    <row r="771" spans="1:17" x14ac:dyDescent="0.25">
      <c r="A771" s="2" t="s">
        <v>4836</v>
      </c>
      <c r="B771" s="3">
        <v>43912</v>
      </c>
      <c r="C771" s="2" t="s">
        <v>4837</v>
      </c>
      <c r="D771" t="s">
        <v>6151</v>
      </c>
      <c r="E771" s="2">
        <v>6</v>
      </c>
      <c r="F771" s="2" t="str">
        <f>_xlfn.XLOOKUP(Orders[[#This Row],[Customer ID]],customers!A:A,customers!B:B)</f>
        <v>Dalia Eburah</v>
      </c>
      <c r="G771" s="2" t="str" cm="1">
        <f t="array" ref="G771">IF(_xlfn.XLOOKUP(C771,customers!A770:$A$1001,customers!C770:$C$1001,,0)=0,"",_xlfn.XLOOKUP(C771,customers!A770:$A$1001,customers!C770:$C$1001,,0))</f>
        <v>deburahld@google.co.jp</v>
      </c>
      <c r="H771" s="2" t="str" cm="1">
        <f t="array" ref="H771">_xlfn.XLOOKUP(C771,customers!A770:$A$1001,customers!G770:$G$1001,"Ireland",0)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12">L771*E771</f>
        <v>137.31</v>
      </c>
      <c r="N771" t="str" cm="1">
        <f t="array" ref="N771">_xlfn.IFS(I771="Rob","Robusta",I771="Exc","Excelsa",I771="Ara","Arabica",I771="Lib","Liberica")</f>
        <v>Robusta</v>
      </c>
      <c r="O771" t="str" cm="1">
        <f t="array" ref="O771">_xlfn.IFS(J771="M","Midium",J771="L","Light",J771="D","Dark")</f>
        <v>Midium</v>
      </c>
      <c r="P771" t="str">
        <f>_xlfn.XLOOKUP(Orders[[#This Row],[Customer ID]],customers!A:A,customers!I:I,,0)</f>
        <v>No</v>
      </c>
      <c r="Q771" t="str">
        <f>_xlfn.XLOOKUP(C772,customers!A:A,customers!B:B,"مش موجود")</f>
        <v>Martie Brimilcombe</v>
      </c>
    </row>
    <row r="772" spans="1:17" x14ac:dyDescent="0.25">
      <c r="A772" s="2" t="s">
        <v>4842</v>
      </c>
      <c r="B772" s="3">
        <v>44092</v>
      </c>
      <c r="C772" s="2" t="s">
        <v>4843</v>
      </c>
      <c r="D772" t="s">
        <v>6147</v>
      </c>
      <c r="E772" s="2">
        <v>1</v>
      </c>
      <c r="F772" s="2" t="str">
        <f>_xlfn.XLOOKUP(Orders[[#This Row],[Customer ID]],customers!A:A,customers!B:B)</f>
        <v>Martie Brimilcombe</v>
      </c>
      <c r="G772" s="2" t="str" cm="1">
        <f t="array" ref="G772">IF(_xlfn.XLOOKUP(C772,customers!A771:$A$1001,customers!C771:$C$1001,,0)=0,"",_xlfn.XLOOKUP(C772,customers!A771:$A$1001,customers!C771:$C$1001,,0))</f>
        <v>mbrimilcombele@cnn.com</v>
      </c>
      <c r="H772" s="2" t="str" cm="1">
        <f t="array" ref="H772">_xlfn.XLOOKUP(C772,customers!A771:$A$1001,customers!G771:$G$1001,"Ireland",0)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12"/>
        <v>9.9499999999999993</v>
      </c>
      <c r="N772" t="str" cm="1">
        <f t="array" ref="N772">_xlfn.IFS(I772="Rob","Robusta",I772="Exc","Excelsa",I772="Ara","Arabica",I772="Lib","Liberica")</f>
        <v>Arabica</v>
      </c>
      <c r="O772" t="str" cm="1">
        <f t="array" ref="O772">_xlfn.IFS(J772="M","Midium",J772="L","Light",J772="D","Dark")</f>
        <v>Dark</v>
      </c>
      <c r="P772" t="str">
        <f>_xlfn.XLOOKUP(Orders[[#This Row],[Customer ID]],customers!A:A,customers!I:I,,0)</f>
        <v>No</v>
      </c>
      <c r="Q772" t="str">
        <f>_xlfn.XLOOKUP(C773,customers!A:A,customers!B:B,"مش موجود")</f>
        <v>Suzanna Bollam</v>
      </c>
    </row>
    <row r="773" spans="1:17" x14ac:dyDescent="0.25">
      <c r="A773" s="2" t="s">
        <v>4847</v>
      </c>
      <c r="B773" s="3">
        <v>43468</v>
      </c>
      <c r="C773" s="2" t="s">
        <v>4848</v>
      </c>
      <c r="D773" t="s">
        <v>6173</v>
      </c>
      <c r="E773" s="2">
        <v>3</v>
      </c>
      <c r="F773" s="2" t="str">
        <f>_xlfn.XLOOKUP(Orders[[#This Row],[Customer ID]],customers!A:A,customers!B:B)</f>
        <v>Suzanna Bollam</v>
      </c>
      <c r="G773" s="2" t="str" cm="1">
        <f t="array" ref="G773">IF(_xlfn.XLOOKUP(C773,customers!A772:$A$1001,customers!C772:$C$1001,,0)=0,"",_xlfn.XLOOKUP(C773,customers!A772:$A$1001,customers!C772:$C$1001,,0))</f>
        <v>sbollamlf@list-manage.com</v>
      </c>
      <c r="H773" s="2" t="str" cm="1">
        <f t="array" ref="H773">_xlfn.XLOOKUP(C773,customers!A772:$A$1001,customers!G772:$G$1001,"Ireland",0)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12"/>
        <v>21.509999999999998</v>
      </c>
      <c r="N773" t="str" cm="1">
        <f t="array" ref="N773">_xlfn.IFS(I773="Rob","Robusta",I773="Exc","Excelsa",I773="Ara","Arabica",I773="Lib","Liberica")</f>
        <v>Robusta</v>
      </c>
      <c r="O773" t="str" cm="1">
        <f t="array" ref="O773">_xlfn.IFS(J773="M","Midium",J773="L","Light",J773="D","Dark")</f>
        <v>Light</v>
      </c>
      <c r="P773" t="str">
        <f>_xlfn.XLOOKUP(Orders[[#This Row],[Customer ID]],customers!A:A,customers!I:I,,0)</f>
        <v>No</v>
      </c>
      <c r="Q773" t="str">
        <f>_xlfn.XLOOKUP(C774,customers!A:A,customers!B:B,"مش موجود")</f>
        <v>Mellisa Mebes</v>
      </c>
    </row>
    <row r="774" spans="1:17" x14ac:dyDescent="0.25">
      <c r="A774" s="2" t="s">
        <v>4853</v>
      </c>
      <c r="B774" s="3">
        <v>44468</v>
      </c>
      <c r="C774" s="2" t="s">
        <v>4854</v>
      </c>
      <c r="D774" t="s">
        <v>6141</v>
      </c>
      <c r="E774" s="2">
        <v>6</v>
      </c>
      <c r="F774" s="2" t="str">
        <f>_xlfn.XLOOKUP(Orders[[#This Row],[Customer ID]],customers!A:A,customers!B:B)</f>
        <v>Mellisa Mebes</v>
      </c>
      <c r="G774" s="2" t="str" cm="1">
        <f t="array" ref="G774">IF(_xlfn.XLOOKUP(C774,customers!A773:$A$1001,customers!C773:$C$1001,,0)=0,"",_xlfn.XLOOKUP(C774,customers!A773:$A$1001,customers!C773:$C$1001,,0))</f>
        <v/>
      </c>
      <c r="H774" s="2" t="str" cm="1">
        <f t="array" ref="H774">_xlfn.XLOOKUP(C774,customers!A773:$A$1001,customers!G773:$G$1001,"Ireland",0)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12"/>
        <v>82.5</v>
      </c>
      <c r="N774" t="str" cm="1">
        <f t="array" ref="N774">_xlfn.IFS(I774="Rob","Robusta",I774="Exc","Excelsa",I774="Ara","Arabica",I774="Lib","Liberica")</f>
        <v>Excelsa</v>
      </c>
      <c r="O774" t="str" cm="1">
        <f t="array" ref="O774">_xlfn.IFS(J774="M","Midium",J774="L","Light",J774="D","Dark")</f>
        <v>Midium</v>
      </c>
      <c r="P774" t="str">
        <f>_xlfn.XLOOKUP(Orders[[#This Row],[Customer ID]],customers!A:A,customers!I:I,,0)</f>
        <v>No</v>
      </c>
      <c r="Q774" t="str">
        <f>_xlfn.XLOOKUP(C775,customers!A:A,customers!B:B,"مش موجود")</f>
        <v>Alva Filipczak</v>
      </c>
    </row>
    <row r="775" spans="1:17" x14ac:dyDescent="0.25">
      <c r="A775" s="2" t="s">
        <v>4858</v>
      </c>
      <c r="B775" s="3">
        <v>44488</v>
      </c>
      <c r="C775" s="2" t="s">
        <v>4859</v>
      </c>
      <c r="D775" t="s">
        <v>6159</v>
      </c>
      <c r="E775" s="2">
        <v>2</v>
      </c>
      <c r="F775" s="2" t="str">
        <f>_xlfn.XLOOKUP(Orders[[#This Row],[Customer ID]],customers!A:A,customers!B:B)</f>
        <v>Alva Filipczak</v>
      </c>
      <c r="G775" s="2" t="str" cm="1">
        <f t="array" ref="G775">IF(_xlfn.XLOOKUP(C775,customers!A774:$A$1001,customers!C774:$C$1001,,0)=0,"",_xlfn.XLOOKUP(C775,customers!A774:$A$1001,customers!C774:$C$1001,,0))</f>
        <v>afilipczaklh@ning.com</v>
      </c>
      <c r="H775" s="2" t="str" cm="1">
        <f t="array" ref="H775">_xlfn.XLOOKUP(C775,customers!A774:$A$1001,customers!G774:$G$1001,"Ireland",0)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12"/>
        <v>8.73</v>
      </c>
      <c r="N775" t="str" cm="1">
        <f t="array" ref="N775">_xlfn.IFS(I775="Rob","Robusta",I775="Exc","Excelsa",I775="Ara","Arabica",I775="Lib","Liberica")</f>
        <v>Liberica</v>
      </c>
      <c r="O775" t="str" cm="1">
        <f t="array" ref="O775">_xlfn.IFS(J775="M","Midium",J775="L","Light",J775="D","Dark")</f>
        <v>Midium</v>
      </c>
      <c r="P775" t="str">
        <f>_xlfn.XLOOKUP(Orders[[#This Row],[Customer ID]],customers!A:A,customers!I:I,,0)</f>
        <v>No</v>
      </c>
      <c r="Q775" t="str">
        <f>_xlfn.XLOOKUP(C776,customers!A:A,customers!B:B,"مش موجود")</f>
        <v>Dorette Hinemoor</v>
      </c>
    </row>
    <row r="776" spans="1:17" x14ac:dyDescent="0.25">
      <c r="A776" s="2" t="s">
        <v>4864</v>
      </c>
      <c r="B776" s="3">
        <v>44756</v>
      </c>
      <c r="C776" s="2" t="s">
        <v>4865</v>
      </c>
      <c r="D776" t="s">
        <v>6138</v>
      </c>
      <c r="E776" s="2">
        <v>2</v>
      </c>
      <c r="F776" s="2" t="str">
        <f>_xlfn.XLOOKUP(Orders[[#This Row],[Customer ID]],customers!A:A,customers!B:B)</f>
        <v>Dorette Hinemoor</v>
      </c>
      <c r="G776" s="2" t="str" cm="1">
        <f t="array" ref="G776">IF(_xlfn.XLOOKUP(C776,customers!A775:$A$1001,customers!C775:$C$1001,,0)=0,"",_xlfn.XLOOKUP(C776,customers!A775:$A$1001,customers!C775:$C$1001,,0))</f>
        <v/>
      </c>
      <c r="H776" s="2" t="str" cm="1">
        <f t="array" ref="H776">_xlfn.XLOOKUP(C776,customers!A775:$A$1001,customers!G775:$G$1001,"Ireland",0)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12"/>
        <v>19.899999999999999</v>
      </c>
      <c r="N776" t="str" cm="1">
        <f t="array" ref="N776">_xlfn.IFS(I776="Rob","Robusta",I776="Exc","Excelsa",I776="Ara","Arabica",I776="Lib","Liberica")</f>
        <v>Robusta</v>
      </c>
      <c r="O776" t="str" cm="1">
        <f t="array" ref="O776">_xlfn.IFS(J776="M","Midium",J776="L","Light",J776="D","Dark")</f>
        <v>Midium</v>
      </c>
      <c r="P776" t="str">
        <f>_xlfn.XLOOKUP(Orders[[#This Row],[Customer ID]],customers!A:A,customers!I:I,,0)</f>
        <v>Yes</v>
      </c>
      <c r="Q776" t="str">
        <f>_xlfn.XLOOKUP(C777,customers!A:A,customers!B:B,"مش موجود")</f>
        <v>Rhetta Elnaugh</v>
      </c>
    </row>
    <row r="777" spans="1:17" x14ac:dyDescent="0.25">
      <c r="A777" s="2" t="s">
        <v>4869</v>
      </c>
      <c r="B777" s="3">
        <v>44396</v>
      </c>
      <c r="C777" s="2" t="s">
        <v>4870</v>
      </c>
      <c r="D777" t="s">
        <v>6176</v>
      </c>
      <c r="E777" s="2">
        <v>2</v>
      </c>
      <c r="F777" s="2" t="str">
        <f>_xlfn.XLOOKUP(Orders[[#This Row],[Customer ID]],customers!A:A,customers!B:B)</f>
        <v>Rhetta Elnaugh</v>
      </c>
      <c r="G777" s="2" t="str" cm="1">
        <f t="array" ref="G777">IF(_xlfn.XLOOKUP(C777,customers!A776:$A$1001,customers!C776:$C$1001,,0)=0,"",_xlfn.XLOOKUP(C777,customers!A776:$A$1001,customers!C776:$C$1001,,0))</f>
        <v>relnaughlj@comsenz.com</v>
      </c>
      <c r="H777" s="2" t="str" cm="1">
        <f t="array" ref="H777">_xlfn.XLOOKUP(C777,customers!A776:$A$1001,customers!G776:$G$1001,"Ireland",0)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12"/>
        <v>17.82</v>
      </c>
      <c r="N777" t="str" cm="1">
        <f t="array" ref="N777">_xlfn.IFS(I777="Rob","Robusta",I777="Exc","Excelsa",I777="Ara","Arabica",I777="Lib","Liberica")</f>
        <v>Excelsa</v>
      </c>
      <c r="O777" t="str" cm="1">
        <f t="array" ref="O777">_xlfn.IFS(J777="M","Midium",J777="L","Light",J777="D","Dark")</f>
        <v>Light</v>
      </c>
      <c r="P777" t="str">
        <f>_xlfn.XLOOKUP(Orders[[#This Row],[Customer ID]],customers!A:A,customers!I:I,,0)</f>
        <v>Yes</v>
      </c>
      <c r="Q777" t="str">
        <f>_xlfn.XLOOKUP(C778,customers!A:A,customers!B:B,"مش موجود")</f>
        <v>Jule Deehan</v>
      </c>
    </row>
    <row r="778" spans="1:17" x14ac:dyDescent="0.25">
      <c r="A778" s="2" t="s">
        <v>4875</v>
      </c>
      <c r="B778" s="3">
        <v>44540</v>
      </c>
      <c r="C778" s="2" t="s">
        <v>4876</v>
      </c>
      <c r="D778" t="s">
        <v>6157</v>
      </c>
      <c r="E778" s="2">
        <v>3</v>
      </c>
      <c r="F778" s="2" t="str">
        <f>_xlfn.XLOOKUP(Orders[[#This Row],[Customer ID]],customers!A:A,customers!B:B)</f>
        <v>Jule Deehan</v>
      </c>
      <c r="G778" s="2" t="str" cm="1">
        <f t="array" ref="G778">IF(_xlfn.XLOOKUP(C778,customers!A777:$A$1001,customers!C777:$C$1001,,0)=0,"",_xlfn.XLOOKUP(C778,customers!A777:$A$1001,customers!C777:$C$1001,,0))</f>
        <v>jdeehanlk@about.me</v>
      </c>
      <c r="H778" s="2" t="str" cm="1">
        <f t="array" ref="H778">_xlfn.XLOOKUP(C778,customers!A777:$A$1001,customers!G777:$G$1001,"Ireland",0)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12"/>
        <v>20.25</v>
      </c>
      <c r="N778" t="str" cm="1">
        <f t="array" ref="N778">_xlfn.IFS(I778="Rob","Robusta",I778="Exc","Excelsa",I778="Ara","Arabica",I778="Lib","Liberica")</f>
        <v>Arabica</v>
      </c>
      <c r="O778" t="str" cm="1">
        <f t="array" ref="O778">_xlfn.IFS(J778="M","Midium",J778="L","Light",J778="D","Dark")</f>
        <v>Midium</v>
      </c>
      <c r="P778" t="str">
        <f>_xlfn.XLOOKUP(Orders[[#This Row],[Customer ID]],customers!A:A,customers!I:I,,0)</f>
        <v>No</v>
      </c>
      <c r="Q778" t="str">
        <f>_xlfn.XLOOKUP(C779,customers!A:A,customers!B:B,"مش موجود")</f>
        <v>Janella Eden</v>
      </c>
    </row>
    <row r="779" spans="1:17" x14ac:dyDescent="0.25">
      <c r="A779" s="2" t="s">
        <v>4881</v>
      </c>
      <c r="B779" s="3">
        <v>43541</v>
      </c>
      <c r="C779" s="2" t="s">
        <v>4882</v>
      </c>
      <c r="D779" t="s">
        <v>6182</v>
      </c>
      <c r="E779" s="2">
        <v>2</v>
      </c>
      <c r="F779" s="2" t="str">
        <f>_xlfn.XLOOKUP(Orders[[#This Row],[Customer ID]],customers!A:A,customers!B:B)</f>
        <v>Janella Eden</v>
      </c>
      <c r="G779" s="2" t="str" cm="1">
        <f t="array" ref="G779">IF(_xlfn.XLOOKUP(C779,customers!A778:$A$1001,customers!C778:$C$1001,,0)=0,"",_xlfn.XLOOKUP(C779,customers!A778:$A$1001,customers!C778:$C$1001,,0))</f>
        <v>jedenll@e-recht24.de</v>
      </c>
      <c r="H779" s="2" t="str" cm="1">
        <f t="array" ref="H779">_xlfn.XLOOKUP(C779,customers!A778:$A$1001,customers!G778:$G$1001,"Ireland",0)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12"/>
        <v>59.569999999999993</v>
      </c>
      <c r="N779" t="str" cm="1">
        <f t="array" ref="N779">_xlfn.IFS(I779="Rob","Robusta",I779="Exc","Excelsa",I779="Ara","Arabica",I779="Lib","Liberica")</f>
        <v>Arabica</v>
      </c>
      <c r="O779" t="str" cm="1">
        <f t="array" ref="O779">_xlfn.IFS(J779="M","Midium",J779="L","Light",J779="D","Dark")</f>
        <v>Light</v>
      </c>
      <c r="P779" t="str">
        <f>_xlfn.XLOOKUP(Orders[[#This Row],[Customer ID]],customers!A:A,customers!I:I,,0)</f>
        <v>No</v>
      </c>
      <c r="Q779" t="str">
        <f>_xlfn.XLOOKUP(C780,customers!A:A,customers!B:B,"مش موجود")</f>
        <v>Cam Jewster</v>
      </c>
    </row>
    <row r="780" spans="1:17" x14ac:dyDescent="0.25">
      <c r="A780" s="2" t="s">
        <v>4886</v>
      </c>
      <c r="B780" s="3">
        <v>43889</v>
      </c>
      <c r="C780" s="2" t="s">
        <v>4933</v>
      </c>
      <c r="D780" t="s">
        <v>6161</v>
      </c>
      <c r="E780" s="2">
        <v>2</v>
      </c>
      <c r="F780" s="2" t="str">
        <f>_xlfn.XLOOKUP(Orders[[#This Row],[Customer ID]],customers!A:A,customers!B:B)</f>
        <v>Cam Jewster</v>
      </c>
      <c r="G780" s="2" t="str" cm="1">
        <f t="array" ref="G780">IF(_xlfn.XLOOKUP(C780,customers!A779:$A$1001,customers!C779:$C$1001,,0)=0,"",_xlfn.XLOOKUP(C780,customers!A779:$A$1001,customers!C779:$C$1001,,0))</f>
        <v>cjewsterlu@moonfruit.com</v>
      </c>
      <c r="H780" s="2" t="str" cm="1">
        <f t="array" ref="H780">_xlfn.XLOOKUP(C780,customers!A779:$A$1001,customers!G779:$G$1001,"Ireland",0)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12"/>
        <v>19.02</v>
      </c>
      <c r="N780" t="str" cm="1">
        <f t="array" ref="N780">_xlfn.IFS(I780="Rob","Robusta",I780="Exc","Excelsa",I780="Ara","Arabica",I780="Lib","Liberica")</f>
        <v>Liberica</v>
      </c>
      <c r="O780" t="str" cm="1">
        <f t="array" ref="O780">_xlfn.IFS(J780="M","Midium",J780="L","Light",J780="D","Dark")</f>
        <v>Light</v>
      </c>
      <c r="P780" t="str">
        <f>_xlfn.XLOOKUP(Orders[[#This Row],[Customer ID]],customers!A:A,customers!I:I,,0)</f>
        <v>Yes</v>
      </c>
      <c r="Q780" t="str">
        <f>_xlfn.XLOOKUP(C781,customers!A:A,customers!B:B,"مش موجود")</f>
        <v>Ugo Southerden</v>
      </c>
    </row>
    <row r="781" spans="1:17" x14ac:dyDescent="0.25">
      <c r="A781" s="2" t="s">
        <v>4892</v>
      </c>
      <c r="B781" s="3">
        <v>43985</v>
      </c>
      <c r="C781" s="2" t="s">
        <v>4893</v>
      </c>
      <c r="D781" t="s">
        <v>6143</v>
      </c>
      <c r="E781" s="2">
        <v>6</v>
      </c>
      <c r="F781" s="2" t="str">
        <f>_xlfn.XLOOKUP(Orders[[#This Row],[Customer ID]],customers!A:A,customers!B:B)</f>
        <v>Ugo Southerden</v>
      </c>
      <c r="G781" s="2" t="str" cm="1">
        <f t="array" ref="G781">IF(_xlfn.XLOOKUP(C781,customers!A780:$A$1001,customers!C780:$C$1001,,0)=0,"",_xlfn.XLOOKUP(C781,customers!A780:$A$1001,customers!C780:$C$1001,,0))</f>
        <v>usoutherdenln@hao123.com</v>
      </c>
      <c r="H781" s="2" t="str" cm="1">
        <f t="array" ref="H781">_xlfn.XLOOKUP(C781,customers!A780:$A$1001,customers!G780:$G$1001,"Ireland",0)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12"/>
        <v>77.699999999999989</v>
      </c>
      <c r="N781" t="str" cm="1">
        <f t="array" ref="N781">_xlfn.IFS(I781="Rob","Robusta",I781="Exc","Excelsa",I781="Ara","Arabica",I781="Lib","Liberica")</f>
        <v>Liberica</v>
      </c>
      <c r="O781" t="str" cm="1">
        <f t="array" ref="O781">_xlfn.IFS(J781="M","Midium",J781="L","Light",J781="D","Dark")</f>
        <v>Dark</v>
      </c>
      <c r="P781" t="str">
        <f>_xlfn.XLOOKUP(Orders[[#This Row],[Customer ID]],customers!A:A,customers!I:I,,0)</f>
        <v>Yes</v>
      </c>
      <c r="Q781" t="str">
        <f>_xlfn.XLOOKUP(C782,customers!A:A,customers!B:B,"مش موجود")</f>
        <v>Verne Dunkerley</v>
      </c>
    </row>
    <row r="782" spans="1:17" x14ac:dyDescent="0.25">
      <c r="A782" s="2" t="s">
        <v>4898</v>
      </c>
      <c r="B782" s="3">
        <v>43883</v>
      </c>
      <c r="C782" s="2" t="s">
        <v>4899</v>
      </c>
      <c r="D782" t="s">
        <v>6141</v>
      </c>
      <c r="E782" s="2">
        <v>3</v>
      </c>
      <c r="F782" s="2" t="str">
        <f>_xlfn.XLOOKUP(Orders[[#This Row],[Customer ID]],customers!A:A,customers!B:B)</f>
        <v>Verne Dunkerley</v>
      </c>
      <c r="G782" s="2" t="str" cm="1">
        <f t="array" ref="G782">IF(_xlfn.XLOOKUP(C782,customers!A781:$A$1001,customers!C781:$C$1001,,0)=0,"",_xlfn.XLOOKUP(C782,customers!A781:$A$1001,customers!C781:$C$1001,,0))</f>
        <v/>
      </c>
      <c r="H782" s="2" t="str" cm="1">
        <f t="array" ref="H782">_xlfn.XLOOKUP(C782,customers!A781:$A$1001,customers!G781:$G$1001,"Ireland",0)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12"/>
        <v>41.25</v>
      </c>
      <c r="N782" t="str" cm="1">
        <f t="array" ref="N782">_xlfn.IFS(I782="Rob","Robusta",I782="Exc","Excelsa",I782="Ara","Arabica",I782="Lib","Liberica")</f>
        <v>Excelsa</v>
      </c>
      <c r="O782" t="str" cm="1">
        <f t="array" ref="O782">_xlfn.IFS(J782="M","Midium",J782="L","Light",J782="D","Dark")</f>
        <v>Midium</v>
      </c>
      <c r="P782" t="str">
        <f>_xlfn.XLOOKUP(Orders[[#This Row],[Customer ID]],customers!A:A,customers!I:I,,0)</f>
        <v>No</v>
      </c>
      <c r="Q782" t="str">
        <f>_xlfn.XLOOKUP(C783,customers!A:A,customers!B:B,"مش موجود")</f>
        <v>Lacee Burtenshaw</v>
      </c>
    </row>
    <row r="783" spans="1:17" x14ac:dyDescent="0.25">
      <c r="A783" s="2" t="s">
        <v>4903</v>
      </c>
      <c r="B783" s="3">
        <v>43778</v>
      </c>
      <c r="C783" s="2" t="s">
        <v>4904</v>
      </c>
      <c r="D783" t="s">
        <v>6164</v>
      </c>
      <c r="E783" s="2">
        <v>4</v>
      </c>
      <c r="F783" s="2" t="str">
        <f>_xlfn.XLOOKUP(Orders[[#This Row],[Customer ID]],customers!A:A,customers!B:B)</f>
        <v>Lacee Burtenshaw</v>
      </c>
      <c r="G783" s="2" t="str" cm="1">
        <f t="array" ref="G783">IF(_xlfn.XLOOKUP(C783,customers!A782:$A$1001,customers!C782:$C$1001,,0)=0,"",_xlfn.XLOOKUP(C783,customers!A782:$A$1001,customers!C782:$C$1001,,0))</f>
        <v>lburtenshawlp@shinystat.com</v>
      </c>
      <c r="H783" s="2" t="str" cm="1">
        <f t="array" ref="H783">_xlfn.XLOOKUP(C783,customers!A782:$A$1001,customers!G782:$G$1001,"Ireland",0)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12"/>
        <v>145.82</v>
      </c>
      <c r="N783" t="str" cm="1">
        <f t="array" ref="N783">_xlfn.IFS(I783="Rob","Robusta",I783="Exc","Excelsa",I783="Ara","Arabica",I783="Lib","Liberica")</f>
        <v>Liberica</v>
      </c>
      <c r="O783" t="str" cm="1">
        <f t="array" ref="O783">_xlfn.IFS(J783="M","Midium",J783="L","Light",J783="D","Dark")</f>
        <v>Light</v>
      </c>
      <c r="P783" t="str">
        <f>_xlfn.XLOOKUP(Orders[[#This Row],[Customer ID]],customers!A:A,customers!I:I,,0)</f>
        <v>No</v>
      </c>
      <c r="Q783" t="str">
        <f>_xlfn.XLOOKUP(C784,customers!A:A,customers!B:B,"مش موجود")</f>
        <v>Adorne Gregoratti</v>
      </c>
    </row>
    <row r="784" spans="1:17" x14ac:dyDescent="0.25">
      <c r="A784" s="2" t="s">
        <v>4909</v>
      </c>
      <c r="B784" s="3">
        <v>43897</v>
      </c>
      <c r="C784" s="2" t="s">
        <v>4910</v>
      </c>
      <c r="D784" t="s">
        <v>6184</v>
      </c>
      <c r="E784" s="2">
        <v>6</v>
      </c>
      <c r="F784" s="2" t="str">
        <f>_xlfn.XLOOKUP(Orders[[#This Row],[Customer ID]],customers!A:A,customers!B:B)</f>
        <v>Adorne Gregoratti</v>
      </c>
      <c r="G784" s="2" t="str" cm="1">
        <f t="array" ref="G784">IF(_xlfn.XLOOKUP(C784,customers!A783:$A$1001,customers!C783:$C$1001,,0)=0,"",_xlfn.XLOOKUP(C784,customers!A783:$A$1001,customers!C783:$C$1001,,0))</f>
        <v>agregorattilq@vistaprint.com</v>
      </c>
      <c r="H784" s="2" t="str" cm="1">
        <f t="array" ref="H784">_xlfn.XLOOKUP(C784,customers!A783:$A$1001,customers!G783:$G$1001,"Ireland",0)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12"/>
        <v>26.73</v>
      </c>
      <c r="N784" t="str" cm="1">
        <f t="array" ref="N784">_xlfn.IFS(I784="Rob","Robusta",I784="Exc","Excelsa",I784="Ara","Arabica",I784="Lib","Liberica")</f>
        <v>Excelsa</v>
      </c>
      <c r="O784" t="str" cm="1">
        <f t="array" ref="O784">_xlfn.IFS(J784="M","Midium",J784="L","Light",J784="D","Dark")</f>
        <v>Light</v>
      </c>
      <c r="P784" t="str">
        <f>_xlfn.XLOOKUP(Orders[[#This Row],[Customer ID]],customers!A:A,customers!I:I,,0)</f>
        <v>No</v>
      </c>
      <c r="Q784" t="str">
        <f>_xlfn.XLOOKUP(C785,customers!A:A,customers!B:B,"مش موجود")</f>
        <v>Chris Croster</v>
      </c>
    </row>
    <row r="785" spans="1:17" x14ac:dyDescent="0.25">
      <c r="A785" s="2" t="s">
        <v>4915</v>
      </c>
      <c r="B785" s="3">
        <v>44312</v>
      </c>
      <c r="C785" s="2" t="s">
        <v>4916</v>
      </c>
      <c r="D785" t="s">
        <v>6160</v>
      </c>
      <c r="E785" s="2">
        <v>5</v>
      </c>
      <c r="F785" s="2" t="str">
        <f>_xlfn.XLOOKUP(Orders[[#This Row],[Customer ID]],customers!A:A,customers!B:B)</f>
        <v>Chris Croster</v>
      </c>
      <c r="G785" s="2" t="str" cm="1">
        <f t="array" ref="G785">IF(_xlfn.XLOOKUP(C785,customers!A784:$A$1001,customers!C784:$C$1001,,0)=0,"",_xlfn.XLOOKUP(C785,customers!A784:$A$1001,customers!C784:$C$1001,,0))</f>
        <v>ccrosterlr@gov.uk</v>
      </c>
      <c r="H785" s="2" t="str" cm="1">
        <f t="array" ref="H785">_xlfn.XLOOKUP(C785,customers!A784:$A$1001,customers!G784:$G$1001,"Ireland",0)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12"/>
        <v>43.650000000000006</v>
      </c>
      <c r="N785" t="str" cm="1">
        <f t="array" ref="N785">_xlfn.IFS(I785="Rob","Robusta",I785="Exc","Excelsa",I785="Ara","Arabica",I785="Lib","Liberica")</f>
        <v>Liberica</v>
      </c>
      <c r="O785" t="str" cm="1">
        <f t="array" ref="O785">_xlfn.IFS(J785="M","Midium",J785="L","Light",J785="D","Dark")</f>
        <v>Midium</v>
      </c>
      <c r="P785" t="str">
        <f>_xlfn.XLOOKUP(Orders[[#This Row],[Customer ID]],customers!A:A,customers!I:I,,0)</f>
        <v>Yes</v>
      </c>
      <c r="Q785" t="str">
        <f>_xlfn.XLOOKUP(C786,customers!A:A,customers!B:B,"مش موجود")</f>
        <v>Graeme Whitehead</v>
      </c>
    </row>
    <row r="786" spans="1:17" x14ac:dyDescent="0.25">
      <c r="A786" s="2" t="s">
        <v>4921</v>
      </c>
      <c r="B786" s="3">
        <v>44511</v>
      </c>
      <c r="C786" s="2" t="s">
        <v>4922</v>
      </c>
      <c r="D786" t="s">
        <v>6170</v>
      </c>
      <c r="E786" s="2">
        <v>2</v>
      </c>
      <c r="F786" s="2" t="str">
        <f>_xlfn.XLOOKUP(Orders[[#This Row],[Customer ID]],customers!A:A,customers!B:B)</f>
        <v>Graeme Whitehead</v>
      </c>
      <c r="G786" s="2" t="str" cm="1">
        <f t="array" ref="G786">IF(_xlfn.XLOOKUP(C786,customers!A785:$A$1001,customers!C785:$C$1001,,0)=0,"",_xlfn.XLOOKUP(C786,customers!A785:$A$1001,customers!C785:$C$1001,,0))</f>
        <v>gwhiteheadls@hp.com</v>
      </c>
      <c r="H786" s="2" t="str" cm="1">
        <f t="array" ref="H786">_xlfn.XLOOKUP(C786,customers!A785:$A$1001,customers!G785:$G$1001,"Ireland",0)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12"/>
        <v>31.7</v>
      </c>
      <c r="N786" t="str" cm="1">
        <f t="array" ref="N786">_xlfn.IFS(I786="Rob","Robusta",I786="Exc","Excelsa",I786="Ara","Arabica",I786="Lib","Liberica")</f>
        <v>Liberica</v>
      </c>
      <c r="O786" t="str" cm="1">
        <f t="array" ref="O786">_xlfn.IFS(J786="M","Midium",J786="L","Light",J786="D","Dark")</f>
        <v>Light</v>
      </c>
      <c r="P786" t="str">
        <f>_xlfn.XLOOKUP(Orders[[#This Row],[Customer ID]],customers!A:A,customers!I:I,,0)</f>
        <v>No</v>
      </c>
      <c r="Q786" t="str">
        <f>_xlfn.XLOOKUP(C787,customers!A:A,customers!B:B,"مش موجود")</f>
        <v>Haslett Jodrelle</v>
      </c>
    </row>
    <row r="787" spans="1:17" x14ac:dyDescent="0.25">
      <c r="A787" s="2" t="s">
        <v>4926</v>
      </c>
      <c r="B787" s="3">
        <v>44362</v>
      </c>
      <c r="C787" s="2" t="s">
        <v>4927</v>
      </c>
      <c r="D787" t="s">
        <v>6168</v>
      </c>
      <c r="E787" s="2">
        <v>1</v>
      </c>
      <c r="F787" s="2" t="str">
        <f>_xlfn.XLOOKUP(Orders[[#This Row],[Customer ID]],customers!A:A,customers!B:B)</f>
        <v>Haslett Jodrelle</v>
      </c>
      <c r="G787" s="2" t="str" cm="1">
        <f t="array" ref="G787">IF(_xlfn.XLOOKUP(C787,customers!A786:$A$1001,customers!C786:$C$1001,,0)=0,"",_xlfn.XLOOKUP(C787,customers!A786:$A$1001,customers!C786:$C$1001,,0))</f>
        <v>hjodrellelt@samsung.com</v>
      </c>
      <c r="H787" s="2" t="str" cm="1">
        <f t="array" ref="H787">_xlfn.XLOOKUP(C787,customers!A786:$A$1001,customers!G786:$G$1001,"Ireland",0)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12"/>
        <v>22.884999999999998</v>
      </c>
      <c r="N787" t="str" cm="1">
        <f t="array" ref="N787">_xlfn.IFS(I787="Rob","Robusta",I787="Exc","Excelsa",I787="Ara","Arabica",I787="Lib","Liberica")</f>
        <v>Arabica</v>
      </c>
      <c r="O787" t="str" cm="1">
        <f t="array" ref="O787">_xlfn.IFS(J787="M","Midium",J787="L","Light",J787="D","Dark")</f>
        <v>Dark</v>
      </c>
      <c r="P787" t="str">
        <f>_xlfn.XLOOKUP(Orders[[#This Row],[Customer ID]],customers!A:A,customers!I:I,,0)</f>
        <v>No</v>
      </c>
      <c r="Q787" t="str">
        <f>_xlfn.XLOOKUP(C788,customers!A:A,customers!B:B,"مش موجود")</f>
        <v>Cam Jewster</v>
      </c>
    </row>
    <row r="788" spans="1:17" x14ac:dyDescent="0.25">
      <c r="A788" s="2" t="s">
        <v>4932</v>
      </c>
      <c r="B788" s="3">
        <v>43888</v>
      </c>
      <c r="C788" s="2" t="s">
        <v>4933</v>
      </c>
      <c r="D788" t="s">
        <v>6185</v>
      </c>
      <c r="E788" s="2">
        <v>1</v>
      </c>
      <c r="F788" s="2" t="str">
        <f>_xlfn.XLOOKUP(Orders[[#This Row],[Customer ID]],customers!A:A,customers!B:B)</f>
        <v>Cam Jewster</v>
      </c>
      <c r="G788" s="2" t="str" cm="1">
        <f t="array" ref="G788">IF(_xlfn.XLOOKUP(C788,customers!A787:$A$1001,customers!C787:$C$1001,,0)=0,"",_xlfn.XLOOKUP(C788,customers!A787:$A$1001,customers!C787:$C$1001,,0))</f>
        <v>cjewsterlu@moonfruit.com</v>
      </c>
      <c r="H788" s="2" t="str" cm="1">
        <f t="array" ref="H788">_xlfn.XLOOKUP(C788,customers!A787:$A$1001,customers!G787:$G$1001,"Ireland",0)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12"/>
        <v>27.945</v>
      </c>
      <c r="N788" t="str" cm="1">
        <f t="array" ref="N788">_xlfn.IFS(I788="Rob","Robusta",I788="Exc","Excelsa",I788="Ara","Arabica",I788="Lib","Liberica")</f>
        <v>Excelsa</v>
      </c>
      <c r="O788" t="str" cm="1">
        <f t="array" ref="O788">_xlfn.IFS(J788="M","Midium",J788="L","Light",J788="D","Dark")</f>
        <v>Dark</v>
      </c>
      <c r="P788" t="str">
        <f>_xlfn.XLOOKUP(Orders[[#This Row],[Customer ID]],customers!A:A,customers!I:I,,0)</f>
        <v>Yes</v>
      </c>
      <c r="Q788" t="str">
        <f>_xlfn.XLOOKUP(C789,customers!A:A,customers!B:B,"مش موجود")</f>
        <v>Beryl Osborn</v>
      </c>
    </row>
    <row r="789" spans="1:17" x14ac:dyDescent="0.25">
      <c r="A789" s="2" t="s">
        <v>4938</v>
      </c>
      <c r="B789" s="3">
        <v>44305</v>
      </c>
      <c r="C789" s="2" t="s">
        <v>4939</v>
      </c>
      <c r="D789" t="s">
        <v>6141</v>
      </c>
      <c r="E789" s="2">
        <v>6</v>
      </c>
      <c r="F789" s="2" t="str">
        <f>_xlfn.XLOOKUP(Orders[[#This Row],[Customer ID]],customers!A:A,customers!B:B)</f>
        <v>Beryl Osborn</v>
      </c>
      <c r="G789" s="2" t="str" cm="1">
        <f t="array" ref="G789">IF(_xlfn.XLOOKUP(C789,customers!A788:$A$1001,customers!C788:$C$1001,,0)=0,"",_xlfn.XLOOKUP(C789,customers!A788:$A$1001,customers!C788:$C$1001,,0))</f>
        <v/>
      </c>
      <c r="H789" s="2" t="str" cm="1">
        <f t="array" ref="H789">_xlfn.XLOOKUP(C789,customers!A788:$A$1001,customers!G788:$G$1001,"Ireland",0)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12"/>
        <v>82.5</v>
      </c>
      <c r="N789" t="str" cm="1">
        <f t="array" ref="N789">_xlfn.IFS(I789="Rob","Robusta",I789="Exc","Excelsa",I789="Ara","Arabica",I789="Lib","Liberica")</f>
        <v>Excelsa</v>
      </c>
      <c r="O789" t="str" cm="1">
        <f t="array" ref="O789">_xlfn.IFS(J789="M","Midium",J789="L","Light",J789="D","Dark")</f>
        <v>Midium</v>
      </c>
      <c r="P789" t="str">
        <f>_xlfn.XLOOKUP(Orders[[#This Row],[Customer ID]],customers!A:A,customers!I:I,,0)</f>
        <v>Yes</v>
      </c>
      <c r="Q789" t="str">
        <f>_xlfn.XLOOKUP(C790,customers!A:A,customers!B:B,"مش موجود")</f>
        <v>Kaela Nottram</v>
      </c>
    </row>
    <row r="790" spans="1:17" x14ac:dyDescent="0.25">
      <c r="A790" s="2" t="s">
        <v>4943</v>
      </c>
      <c r="B790" s="3">
        <v>44771</v>
      </c>
      <c r="C790" s="2" t="s">
        <v>4944</v>
      </c>
      <c r="D790" t="s">
        <v>6151</v>
      </c>
      <c r="E790" s="2">
        <v>2</v>
      </c>
      <c r="F790" s="2" t="str">
        <f>_xlfn.XLOOKUP(Orders[[#This Row],[Customer ID]],customers!A:A,customers!B:B)</f>
        <v>Kaela Nottram</v>
      </c>
      <c r="G790" s="2" t="str" cm="1">
        <f t="array" ref="G790">IF(_xlfn.XLOOKUP(C790,customers!A789:$A$1001,customers!C789:$C$1001,,0)=0,"",_xlfn.XLOOKUP(C790,customers!A789:$A$1001,customers!C789:$C$1001,,0))</f>
        <v>knottramlw@odnoklassniki.ru</v>
      </c>
      <c r="H790" s="2" t="str" cm="1">
        <f t="array" ref="H790">_xlfn.XLOOKUP(C790,customers!A789:$A$1001,customers!G789:$G$1001,"Ireland",0)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12"/>
        <v>45.769999999999996</v>
      </c>
      <c r="N790" t="str" cm="1">
        <f t="array" ref="N790">_xlfn.IFS(I790="Rob","Robusta",I790="Exc","Excelsa",I790="Ara","Arabica",I790="Lib","Liberica")</f>
        <v>Robusta</v>
      </c>
      <c r="O790" t="str" cm="1">
        <f t="array" ref="O790">_xlfn.IFS(J790="M","Midium",J790="L","Light",J790="D","Dark")</f>
        <v>Midium</v>
      </c>
      <c r="P790" t="str">
        <f>_xlfn.XLOOKUP(Orders[[#This Row],[Customer ID]],customers!A:A,customers!I:I,,0)</f>
        <v>Yes</v>
      </c>
      <c r="Q790" t="str">
        <f>_xlfn.XLOOKUP(C791,customers!A:A,customers!B:B,"مش موجود")</f>
        <v>Nobe Buney</v>
      </c>
    </row>
    <row r="791" spans="1:17" x14ac:dyDescent="0.25">
      <c r="A791" s="2" t="s">
        <v>4949</v>
      </c>
      <c r="B791" s="3">
        <v>43485</v>
      </c>
      <c r="C791" s="2" t="s">
        <v>4950</v>
      </c>
      <c r="D791" t="s">
        <v>6140</v>
      </c>
      <c r="E791" s="2">
        <v>6</v>
      </c>
      <c r="F791" s="2" t="str">
        <f>_xlfn.XLOOKUP(Orders[[#This Row],[Customer ID]],customers!A:A,customers!B:B)</f>
        <v>Nobe Buney</v>
      </c>
      <c r="G791" s="2" t="str" cm="1">
        <f t="array" ref="G791">IF(_xlfn.XLOOKUP(C791,customers!A790:$A$1001,customers!C790:$C$1001,,0)=0,"",_xlfn.XLOOKUP(C791,customers!A790:$A$1001,customers!C790:$C$1001,,0))</f>
        <v>nbuneylx@jugem.jp</v>
      </c>
      <c r="H791" s="2" t="str" cm="1">
        <f t="array" ref="H791">_xlfn.XLOOKUP(C791,customers!A790:$A$1001,customers!G790:$G$1001,"Ireland",0)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12"/>
        <v>77.699999999999989</v>
      </c>
      <c r="N791" t="str" cm="1">
        <f t="array" ref="N791">_xlfn.IFS(I791="Rob","Robusta",I791="Exc","Excelsa",I791="Ara","Arabica",I791="Lib","Liberica")</f>
        <v>Arabica</v>
      </c>
      <c r="O791" t="str" cm="1">
        <f t="array" ref="O791">_xlfn.IFS(J791="M","Midium",J791="L","Light",J791="D","Dark")</f>
        <v>Light</v>
      </c>
      <c r="P791" t="str">
        <f>_xlfn.XLOOKUP(Orders[[#This Row],[Customer ID]],customers!A:A,customers!I:I,,0)</f>
        <v>No</v>
      </c>
      <c r="Q791" t="str">
        <f>_xlfn.XLOOKUP(C792,customers!A:A,customers!B:B,"مش موجود")</f>
        <v>Silvan McShea</v>
      </c>
    </row>
    <row r="792" spans="1:17" x14ac:dyDescent="0.25">
      <c r="A792" s="2" t="s">
        <v>4955</v>
      </c>
      <c r="B792" s="3">
        <v>44613</v>
      </c>
      <c r="C792" s="2" t="s">
        <v>4956</v>
      </c>
      <c r="D792" t="s">
        <v>6180</v>
      </c>
      <c r="E792" s="2">
        <v>3</v>
      </c>
      <c r="F792" s="2" t="str">
        <f>_xlfn.XLOOKUP(Orders[[#This Row],[Customer ID]],customers!A:A,customers!B:B)</f>
        <v>Silvan McShea</v>
      </c>
      <c r="G792" s="2" t="str" cm="1">
        <f t="array" ref="G792">IF(_xlfn.XLOOKUP(C792,customers!A791:$A$1001,customers!C791:$C$1001,,0)=0,"",_xlfn.XLOOKUP(C792,customers!A791:$A$1001,customers!C791:$C$1001,,0))</f>
        <v>smcshealy@photobucket.com</v>
      </c>
      <c r="H792" s="2" t="str" cm="1">
        <f t="array" ref="H792">_xlfn.XLOOKUP(C792,customers!A791:$A$1001,customers!G791:$G$1001,"Ireland",0)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12"/>
        <v>23.31</v>
      </c>
      <c r="N792" t="str" cm="1">
        <f t="array" ref="N792">_xlfn.IFS(I792="Rob","Robusta",I792="Exc","Excelsa",I792="Ara","Arabica",I792="Lib","Liberica")</f>
        <v>Arabica</v>
      </c>
      <c r="O792" t="str" cm="1">
        <f t="array" ref="O792">_xlfn.IFS(J792="M","Midium",J792="L","Light",J792="D","Dark")</f>
        <v>Light</v>
      </c>
      <c r="P792" t="str">
        <f>_xlfn.XLOOKUP(Orders[[#This Row],[Customer ID]],customers!A:A,customers!I:I,,0)</f>
        <v>No</v>
      </c>
      <c r="Q792" t="str">
        <f>_xlfn.XLOOKUP(C793,customers!A:A,customers!B:B,"مش موجود")</f>
        <v>Karylin Huddart</v>
      </c>
    </row>
    <row r="793" spans="1:17" x14ac:dyDescent="0.25">
      <c r="A793" s="2" t="s">
        <v>4961</v>
      </c>
      <c r="B793" s="3">
        <v>43954</v>
      </c>
      <c r="C793" s="2" t="s">
        <v>4962</v>
      </c>
      <c r="D793" t="s">
        <v>6145</v>
      </c>
      <c r="E793" s="2">
        <v>5</v>
      </c>
      <c r="F793" s="2" t="str">
        <f>_xlfn.XLOOKUP(Orders[[#This Row],[Customer ID]],customers!A:A,customers!B:B)</f>
        <v>Karylin Huddart</v>
      </c>
      <c r="G793" s="2" t="str" cm="1">
        <f t="array" ref="G793">IF(_xlfn.XLOOKUP(C793,customers!A792:$A$1001,customers!C792:$C$1001,,0)=0,"",_xlfn.XLOOKUP(C793,customers!A792:$A$1001,customers!C792:$C$1001,,0))</f>
        <v>khuddartlz@about.com</v>
      </c>
      <c r="H793" s="2" t="str" cm="1">
        <f t="array" ref="H793">_xlfn.XLOOKUP(C793,customers!A792:$A$1001,customers!G792:$G$1001,"Ireland",0)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12"/>
        <v>23.774999999999999</v>
      </c>
      <c r="N793" t="str" cm="1">
        <f t="array" ref="N793">_xlfn.IFS(I793="Rob","Robusta",I793="Exc","Excelsa",I793="Ara","Arabica",I793="Lib","Liberica")</f>
        <v>Liberica</v>
      </c>
      <c r="O793" t="str" cm="1">
        <f t="array" ref="O793">_xlfn.IFS(J793="M","Midium",J793="L","Light",J793="D","Dark")</f>
        <v>Light</v>
      </c>
      <c r="P793" t="str">
        <f>_xlfn.XLOOKUP(Orders[[#This Row],[Customer ID]],customers!A:A,customers!I:I,,0)</f>
        <v>Yes</v>
      </c>
      <c r="Q793" t="str">
        <f>_xlfn.XLOOKUP(C794,customers!A:A,customers!B:B,"مش موجود")</f>
        <v>Jereme Gippes</v>
      </c>
    </row>
    <row r="794" spans="1:17" x14ac:dyDescent="0.25">
      <c r="A794" s="2" t="s">
        <v>4967</v>
      </c>
      <c r="B794" s="3">
        <v>43545</v>
      </c>
      <c r="C794" s="2" t="s">
        <v>4968</v>
      </c>
      <c r="D794" t="s">
        <v>6160</v>
      </c>
      <c r="E794" s="2">
        <v>6</v>
      </c>
      <c r="F794" s="2" t="str">
        <f>_xlfn.XLOOKUP(Orders[[#This Row],[Customer ID]],customers!A:A,customers!B:B)</f>
        <v>Jereme Gippes</v>
      </c>
      <c r="G794" s="2" t="str" cm="1">
        <f t="array" ref="G794">IF(_xlfn.XLOOKUP(C794,customers!A793:$A$1001,customers!C793:$C$1001,,0)=0,"",_xlfn.XLOOKUP(C794,customers!A793:$A$1001,customers!C793:$C$1001,,0))</f>
        <v>jgippesm0@cloudflare.com</v>
      </c>
      <c r="H794" s="2" t="str" cm="1">
        <f t="array" ref="H794">_xlfn.XLOOKUP(C794,customers!A793:$A$1001,customers!G793:$G$1001,"Ireland",0)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12"/>
        <v>52.38</v>
      </c>
      <c r="N794" t="str" cm="1">
        <f t="array" ref="N794">_xlfn.IFS(I794="Rob","Robusta",I794="Exc","Excelsa",I794="Ara","Arabica",I794="Lib","Liberica")</f>
        <v>Liberica</v>
      </c>
      <c r="O794" t="str" cm="1">
        <f t="array" ref="O794">_xlfn.IFS(J794="M","Midium",J794="L","Light",J794="D","Dark")</f>
        <v>Midium</v>
      </c>
      <c r="P794" t="str">
        <f>_xlfn.XLOOKUP(Orders[[#This Row],[Customer ID]],customers!A:A,customers!I:I,,0)</f>
        <v>Yes</v>
      </c>
      <c r="Q794" t="str">
        <f>_xlfn.XLOOKUP(C795,customers!A:A,customers!B:B,"مش موجود")</f>
        <v>Lukas Whittlesee</v>
      </c>
    </row>
    <row r="795" spans="1:17" x14ac:dyDescent="0.25">
      <c r="A795" s="2" t="s">
        <v>4973</v>
      </c>
      <c r="B795" s="3">
        <v>43629</v>
      </c>
      <c r="C795" s="2" t="s">
        <v>4974</v>
      </c>
      <c r="D795" t="s">
        <v>6178</v>
      </c>
      <c r="E795" s="2">
        <v>5</v>
      </c>
      <c r="F795" s="2" t="str">
        <f>_xlfn.XLOOKUP(Orders[[#This Row],[Customer ID]],customers!A:A,customers!B:B)</f>
        <v>Lukas Whittlesee</v>
      </c>
      <c r="G795" s="2" t="str" cm="1">
        <f t="array" ref="G795">IF(_xlfn.XLOOKUP(C795,customers!A794:$A$1001,customers!C794:$C$1001,,0)=0,"",_xlfn.XLOOKUP(C795,customers!A794:$A$1001,customers!C794:$C$1001,,0))</f>
        <v>lwhittleseem1@e-recht24.de</v>
      </c>
      <c r="H795" s="2" t="str" cm="1">
        <f t="array" ref="H795">_xlfn.XLOOKUP(C795,customers!A794:$A$1001,customers!G794:$G$1001,"Ireland",0)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12"/>
        <v>17.924999999999997</v>
      </c>
      <c r="N795" t="str" cm="1">
        <f t="array" ref="N795">_xlfn.IFS(I795="Rob","Robusta",I795="Exc","Excelsa",I795="Ara","Arabica",I795="Lib","Liberica")</f>
        <v>Robusta</v>
      </c>
      <c r="O795" t="str" cm="1">
        <f t="array" ref="O795">_xlfn.IFS(J795="M","Midium",J795="L","Light",J795="D","Dark")</f>
        <v>Light</v>
      </c>
      <c r="P795" t="str">
        <f>_xlfn.XLOOKUP(Orders[[#This Row],[Customer ID]],customers!A:A,customers!I:I,,0)</f>
        <v>No</v>
      </c>
      <c r="Q795" t="str">
        <f>_xlfn.XLOOKUP(C796,customers!A:A,customers!B:B,"مش موجود")</f>
        <v>Gregorius Trengrove</v>
      </c>
    </row>
    <row r="796" spans="1:17" x14ac:dyDescent="0.25">
      <c r="A796" s="2" t="s">
        <v>4979</v>
      </c>
      <c r="B796" s="3">
        <v>43987</v>
      </c>
      <c r="C796" s="2" t="s">
        <v>4980</v>
      </c>
      <c r="D796" t="s">
        <v>6182</v>
      </c>
      <c r="E796" s="2">
        <v>5</v>
      </c>
      <c r="F796" s="2" t="str">
        <f>_xlfn.XLOOKUP(Orders[[#This Row],[Customer ID]],customers!A:A,customers!B:B)</f>
        <v>Gregorius Trengrove</v>
      </c>
      <c r="G796" s="2" t="str" cm="1">
        <f t="array" ref="G796">IF(_xlfn.XLOOKUP(C796,customers!A795:$A$1001,customers!C795:$C$1001,,0)=0,"",_xlfn.XLOOKUP(C796,customers!A795:$A$1001,customers!C795:$C$1001,,0))</f>
        <v>gtrengrovem2@elpais.com</v>
      </c>
      <c r="H796" s="2" t="str" cm="1">
        <f t="array" ref="H796">_xlfn.XLOOKUP(C796,customers!A795:$A$1001,customers!G795:$G$1001,"Ireland",0)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12"/>
        <v>148.92499999999998</v>
      </c>
      <c r="N796" t="str" cm="1">
        <f t="array" ref="N796">_xlfn.IFS(I796="Rob","Robusta",I796="Exc","Excelsa",I796="Ara","Arabica",I796="Lib","Liberica")</f>
        <v>Arabica</v>
      </c>
      <c r="O796" t="str" cm="1">
        <f t="array" ref="O796">_xlfn.IFS(J796="M","Midium",J796="L","Light",J796="D","Dark")</f>
        <v>Light</v>
      </c>
      <c r="P796" t="str">
        <f>_xlfn.XLOOKUP(Orders[[#This Row],[Customer ID]],customers!A:A,customers!I:I,,0)</f>
        <v>No</v>
      </c>
      <c r="Q796" t="str">
        <f>_xlfn.XLOOKUP(C797,customers!A:A,customers!B:B,"مش موجود")</f>
        <v>Wright Caldero</v>
      </c>
    </row>
    <row r="797" spans="1:17" x14ac:dyDescent="0.25">
      <c r="A797" s="2" t="s">
        <v>4985</v>
      </c>
      <c r="B797" s="3">
        <v>43540</v>
      </c>
      <c r="C797" s="2" t="s">
        <v>4986</v>
      </c>
      <c r="D797" t="s">
        <v>6173</v>
      </c>
      <c r="E797" s="2">
        <v>4</v>
      </c>
      <c r="F797" s="2" t="str">
        <f>_xlfn.XLOOKUP(Orders[[#This Row],[Customer ID]],customers!A:A,customers!B:B)</f>
        <v>Wright Caldero</v>
      </c>
      <c r="G797" s="2" t="str" cm="1">
        <f t="array" ref="G797">IF(_xlfn.XLOOKUP(C797,customers!A796:$A$1001,customers!C796:$C$1001,,0)=0,"",_xlfn.XLOOKUP(C797,customers!A796:$A$1001,customers!C796:$C$1001,,0))</f>
        <v>wcalderom3@stumbleupon.com</v>
      </c>
      <c r="H797" s="2" t="str" cm="1">
        <f t="array" ref="H797">_xlfn.XLOOKUP(C797,customers!A796:$A$1001,customers!G796:$G$1001,"Ireland",0)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12"/>
        <v>28.679999999999996</v>
      </c>
      <c r="N797" t="str" cm="1">
        <f t="array" ref="N797">_xlfn.IFS(I797="Rob","Robusta",I797="Exc","Excelsa",I797="Ara","Arabica",I797="Lib","Liberica")</f>
        <v>Robusta</v>
      </c>
      <c r="O797" t="str" cm="1">
        <f t="array" ref="O797">_xlfn.IFS(J797="M","Midium",J797="L","Light",J797="D","Dark")</f>
        <v>Light</v>
      </c>
      <c r="P797" t="str">
        <f>_xlfn.XLOOKUP(Orders[[#This Row],[Customer ID]],customers!A:A,customers!I:I,,0)</f>
        <v>No</v>
      </c>
      <c r="Q797" t="str">
        <f>_xlfn.XLOOKUP(C798,customers!A:A,customers!B:B,"مش موجود")</f>
        <v>Merell Zanazzi</v>
      </c>
    </row>
    <row r="798" spans="1:17" x14ac:dyDescent="0.25">
      <c r="A798" s="2" t="s">
        <v>4991</v>
      </c>
      <c r="B798" s="3">
        <v>44533</v>
      </c>
      <c r="C798" s="2" t="s">
        <v>4992</v>
      </c>
      <c r="D798" t="s">
        <v>6161</v>
      </c>
      <c r="E798" s="2">
        <v>1</v>
      </c>
      <c r="F798" s="2" t="str">
        <f>_xlfn.XLOOKUP(Orders[[#This Row],[Customer ID]],customers!A:A,customers!B:B)</f>
        <v>Merell Zanazzi</v>
      </c>
      <c r="G798" s="2" t="str" cm="1">
        <f t="array" ref="G798">IF(_xlfn.XLOOKUP(C798,customers!A797:$A$1001,customers!C797:$C$1001,,0)=0,"",_xlfn.XLOOKUP(C798,customers!A797:$A$1001,customers!C797:$C$1001,,0))</f>
        <v/>
      </c>
      <c r="H798" s="2" t="str" cm="1">
        <f t="array" ref="H798">_xlfn.XLOOKUP(C798,customers!A797:$A$1001,customers!G797:$G$1001,"Ireland",0)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12"/>
        <v>9.51</v>
      </c>
      <c r="N798" t="str" cm="1">
        <f t="array" ref="N798">_xlfn.IFS(I798="Rob","Robusta",I798="Exc","Excelsa",I798="Ara","Arabica",I798="Lib","Liberica")</f>
        <v>Liberica</v>
      </c>
      <c r="O798" t="str" cm="1">
        <f t="array" ref="O798">_xlfn.IFS(J798="M","Midium",J798="L","Light",J798="D","Dark")</f>
        <v>Light</v>
      </c>
      <c r="P798" t="str">
        <f>_xlfn.XLOOKUP(Orders[[#This Row],[Customer ID]],customers!A:A,customers!I:I,,0)</f>
        <v>No</v>
      </c>
      <c r="Q798" t="str">
        <f>_xlfn.XLOOKUP(C799,customers!A:A,customers!B:B,"مش موجود")</f>
        <v>Jed Kennicott</v>
      </c>
    </row>
    <row r="799" spans="1:17" x14ac:dyDescent="0.25">
      <c r="A799" s="2" t="s">
        <v>4996</v>
      </c>
      <c r="B799" s="3">
        <v>44751</v>
      </c>
      <c r="C799" s="2" t="s">
        <v>4997</v>
      </c>
      <c r="D799" t="s">
        <v>6180</v>
      </c>
      <c r="E799" s="2">
        <v>4</v>
      </c>
      <c r="F799" s="2" t="str">
        <f>_xlfn.XLOOKUP(Orders[[#This Row],[Customer ID]],customers!A:A,customers!B:B)</f>
        <v>Jed Kennicott</v>
      </c>
      <c r="G799" s="2" t="str" cm="1">
        <f t="array" ref="G799">IF(_xlfn.XLOOKUP(C799,customers!A798:$A$1001,customers!C798:$C$1001,,0)=0,"",_xlfn.XLOOKUP(C799,customers!A798:$A$1001,customers!C798:$C$1001,,0))</f>
        <v>jkennicottm5@yahoo.co.jp</v>
      </c>
      <c r="H799" s="2" t="str" cm="1">
        <f t="array" ref="H799">_xlfn.XLOOKUP(C799,customers!A798:$A$1001,customers!G798:$G$1001,"Ireland",0)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12"/>
        <v>31.08</v>
      </c>
      <c r="N799" t="str" cm="1">
        <f t="array" ref="N799">_xlfn.IFS(I799="Rob","Robusta",I799="Exc","Excelsa",I799="Ara","Arabica",I799="Lib","Liberica")</f>
        <v>Arabica</v>
      </c>
      <c r="O799" t="str" cm="1">
        <f t="array" ref="O799">_xlfn.IFS(J799="M","Midium",J799="L","Light",J799="D","Dark")</f>
        <v>Light</v>
      </c>
      <c r="P799" t="str">
        <f>_xlfn.XLOOKUP(Orders[[#This Row],[Customer ID]],customers!A:A,customers!I:I,,0)</f>
        <v>No</v>
      </c>
      <c r="Q799" t="str">
        <f>_xlfn.XLOOKUP(C800,customers!A:A,customers!B:B,"مش موجود")</f>
        <v>Guenevere Ruggen</v>
      </c>
    </row>
    <row r="800" spans="1:17" x14ac:dyDescent="0.25">
      <c r="A800" s="2" t="s">
        <v>5002</v>
      </c>
      <c r="B800" s="3">
        <v>43950</v>
      </c>
      <c r="C800" s="2" t="s">
        <v>5003</v>
      </c>
      <c r="D800" t="s">
        <v>6163</v>
      </c>
      <c r="E800" s="2">
        <v>3</v>
      </c>
      <c r="F800" s="2" t="str">
        <f>_xlfn.XLOOKUP(Orders[[#This Row],[Customer ID]],customers!A:A,customers!B:B)</f>
        <v>Guenevere Ruggen</v>
      </c>
      <c r="G800" s="2" t="str" cm="1">
        <f t="array" ref="G800">IF(_xlfn.XLOOKUP(C800,customers!A799:$A$1001,customers!C799:$C$1001,,0)=0,"",_xlfn.XLOOKUP(C800,customers!A799:$A$1001,customers!C799:$C$1001,,0))</f>
        <v>gruggenm6@nymag.com</v>
      </c>
      <c r="H800" s="2" t="str" cm="1">
        <f t="array" ref="H800">_xlfn.XLOOKUP(C800,customers!A799:$A$1001,customers!G799:$G$1001,"Ireland",0)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12"/>
        <v>8.0549999999999997</v>
      </c>
      <c r="N800" t="str" cm="1">
        <f t="array" ref="N800">_xlfn.IFS(I800="Rob","Robusta",I800="Exc","Excelsa",I800="Ara","Arabica",I800="Lib","Liberica")</f>
        <v>Robusta</v>
      </c>
      <c r="O800" t="str" cm="1">
        <f t="array" ref="O800">_xlfn.IFS(J800="M","Midium",J800="L","Light",J800="D","Dark")</f>
        <v>Dark</v>
      </c>
      <c r="P800" t="str">
        <f>_xlfn.XLOOKUP(Orders[[#This Row],[Customer ID]],customers!A:A,customers!I:I,,0)</f>
        <v>Yes</v>
      </c>
      <c r="Q800" t="str">
        <f>_xlfn.XLOOKUP(C801,customers!A:A,customers!B:B,"مش موجود")</f>
        <v>Gonzales Cicculi</v>
      </c>
    </row>
    <row r="801" spans="1:17" x14ac:dyDescent="0.25">
      <c r="A801" s="2" t="s">
        <v>5008</v>
      </c>
      <c r="B801" s="3">
        <v>44588</v>
      </c>
      <c r="C801" s="2" t="s">
        <v>5009</v>
      </c>
      <c r="D801" t="s">
        <v>6183</v>
      </c>
      <c r="E801" s="2">
        <v>3</v>
      </c>
      <c r="F801" s="2" t="str">
        <f>_xlfn.XLOOKUP(Orders[[#This Row],[Customer ID]],customers!A:A,customers!B:B)</f>
        <v>Gonzales Cicculi</v>
      </c>
      <c r="G801" s="2" t="str" cm="1">
        <f t="array" ref="G801">IF(_xlfn.XLOOKUP(C801,customers!A800:$A$1001,customers!C800:$C$1001,,0)=0,"",_xlfn.XLOOKUP(C801,customers!A800:$A$1001,customers!C800:$C$1001,,0))</f>
        <v/>
      </c>
      <c r="H801" s="2" t="str" cm="1">
        <f t="array" ref="H801">_xlfn.XLOOKUP(C801,customers!A800:$A$1001,customers!G800:$G$1001,"Ireland",0)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12"/>
        <v>36.450000000000003</v>
      </c>
      <c r="N801" t="str" cm="1">
        <f t="array" ref="N801">_xlfn.IFS(I801="Rob","Robusta",I801="Exc","Excelsa",I801="Ara","Arabica",I801="Lib","Liberica")</f>
        <v>Excelsa</v>
      </c>
      <c r="O801" t="str" cm="1">
        <f t="array" ref="O801">_xlfn.IFS(J801="M","Midium",J801="L","Light",J801="D","Dark")</f>
        <v>Dark</v>
      </c>
      <c r="P801" t="str">
        <f>_xlfn.XLOOKUP(Orders[[#This Row],[Customer ID]],customers!A:A,customers!I:I,,0)</f>
        <v>Yes</v>
      </c>
      <c r="Q801" t="str">
        <f>_xlfn.XLOOKUP(C802,customers!A:A,customers!B:B,"مش موجود")</f>
        <v>Man Fright</v>
      </c>
    </row>
    <row r="802" spans="1:17" x14ac:dyDescent="0.25">
      <c r="A802" s="2" t="s">
        <v>5012</v>
      </c>
      <c r="B802" s="3">
        <v>44240</v>
      </c>
      <c r="C802" s="2" t="s">
        <v>5013</v>
      </c>
      <c r="D802" t="s">
        <v>6163</v>
      </c>
      <c r="E802" s="2">
        <v>6</v>
      </c>
      <c r="F802" s="2" t="str">
        <f>_xlfn.XLOOKUP(Orders[[#This Row],[Customer ID]],customers!A:A,customers!B:B)</f>
        <v>Man Fright</v>
      </c>
      <c r="G802" s="2" t="str" cm="1">
        <f t="array" ref="G802">IF(_xlfn.XLOOKUP(C802,customers!A801:$A$1001,customers!C801:$C$1001,,0)=0,"",_xlfn.XLOOKUP(C802,customers!A801:$A$1001,customers!C801:$C$1001,,0))</f>
        <v>mfrightm8@harvard.edu</v>
      </c>
      <c r="H802" s="2" t="str" cm="1">
        <f t="array" ref="H802">_xlfn.XLOOKUP(C802,customers!A801:$A$1001,customers!G801:$G$1001,"Ireland",0)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12"/>
        <v>16.11</v>
      </c>
      <c r="N802" t="str" cm="1">
        <f t="array" ref="N802">_xlfn.IFS(I802="Rob","Robusta",I802="Exc","Excelsa",I802="Ara","Arabica",I802="Lib","Liberica")</f>
        <v>Robusta</v>
      </c>
      <c r="O802" t="str" cm="1">
        <f t="array" ref="O802">_xlfn.IFS(J802="M","Midium",J802="L","Light",J802="D","Dark")</f>
        <v>Dark</v>
      </c>
      <c r="P802" t="str">
        <f>_xlfn.XLOOKUP(Orders[[#This Row],[Customer ID]],customers!A:A,customers!I:I,,0)</f>
        <v>No</v>
      </c>
      <c r="Q802" t="str">
        <f>_xlfn.XLOOKUP(C803,customers!A:A,customers!B:B,"مش موجود")</f>
        <v>Boyce Tarte</v>
      </c>
    </row>
    <row r="803" spans="1:17" x14ac:dyDescent="0.25">
      <c r="A803" s="2" t="s">
        <v>5018</v>
      </c>
      <c r="B803" s="3">
        <v>44025</v>
      </c>
      <c r="C803" s="2" t="s">
        <v>5019</v>
      </c>
      <c r="D803" t="s">
        <v>6149</v>
      </c>
      <c r="E803" s="2">
        <v>2</v>
      </c>
      <c r="F803" s="2" t="str">
        <f>_xlfn.XLOOKUP(Orders[[#This Row],[Customer ID]],customers!A:A,customers!B:B)</f>
        <v>Boyce Tarte</v>
      </c>
      <c r="G803" s="2" t="str" cm="1">
        <f t="array" ref="G803">IF(_xlfn.XLOOKUP(C803,customers!A802:$A$1001,customers!C802:$C$1001,,0)=0,"",_xlfn.XLOOKUP(C803,customers!A802:$A$1001,customers!C802:$C$1001,,0))</f>
        <v>btartem9@aol.com</v>
      </c>
      <c r="H803" s="2" t="str" cm="1">
        <f t="array" ref="H803">_xlfn.XLOOKUP(C803,customers!A802:$A$1001,customers!G802:$G$1001,"Ireland",0)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12"/>
        <v>41.169999999999995</v>
      </c>
      <c r="N803" t="str" cm="1">
        <f t="array" ref="N803">_xlfn.IFS(I803="Rob","Robusta",I803="Exc","Excelsa",I803="Ara","Arabica",I803="Lib","Liberica")</f>
        <v>Robusta</v>
      </c>
      <c r="O803" t="str" cm="1">
        <f t="array" ref="O803">_xlfn.IFS(J803="M","Midium",J803="L","Light",J803="D","Dark")</f>
        <v>Dark</v>
      </c>
      <c r="P803" t="str">
        <f>_xlfn.XLOOKUP(Orders[[#This Row],[Customer ID]],customers!A:A,customers!I:I,,0)</f>
        <v>Yes</v>
      </c>
      <c r="Q803" t="str">
        <f>_xlfn.XLOOKUP(C804,customers!A:A,customers!B:B,"مش موجود")</f>
        <v>Caddric Krzysztofiak</v>
      </c>
    </row>
    <row r="804" spans="1:17" x14ac:dyDescent="0.25">
      <c r="A804" s="2" t="s">
        <v>5024</v>
      </c>
      <c r="B804" s="3">
        <v>43902</v>
      </c>
      <c r="C804" s="2" t="s">
        <v>5025</v>
      </c>
      <c r="D804" t="s">
        <v>6163</v>
      </c>
      <c r="E804" s="2">
        <v>4</v>
      </c>
      <c r="F804" s="2" t="str">
        <f>_xlfn.XLOOKUP(Orders[[#This Row],[Customer ID]],customers!A:A,customers!B:B)</f>
        <v>Caddric Krzysztofiak</v>
      </c>
      <c r="G804" s="2" t="str" cm="1">
        <f t="array" ref="G804">IF(_xlfn.XLOOKUP(C804,customers!A803:$A$1001,customers!C803:$C$1001,,0)=0,"",_xlfn.XLOOKUP(C804,customers!A803:$A$1001,customers!C803:$C$1001,,0))</f>
        <v>ckrzysztofiakma@skyrock.com</v>
      </c>
      <c r="H804" s="2" t="str" cm="1">
        <f t="array" ref="H804">_xlfn.XLOOKUP(C804,customers!A803:$A$1001,customers!G803:$G$1001,"Ireland",0)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12"/>
        <v>10.739999999999998</v>
      </c>
      <c r="N804" t="str" cm="1">
        <f t="array" ref="N804">_xlfn.IFS(I804="Rob","Robusta",I804="Exc","Excelsa",I804="Ara","Arabica",I804="Lib","Liberica")</f>
        <v>Robusta</v>
      </c>
      <c r="O804" t="str" cm="1">
        <f t="array" ref="O804">_xlfn.IFS(J804="M","Midium",J804="L","Light",J804="D","Dark")</f>
        <v>Dark</v>
      </c>
      <c r="P804" t="str">
        <f>_xlfn.XLOOKUP(Orders[[#This Row],[Customer ID]],customers!A:A,customers!I:I,,0)</f>
        <v>No</v>
      </c>
      <c r="Q804" t="str">
        <f>_xlfn.XLOOKUP(C805,customers!A:A,customers!B:B,"مش موجود")</f>
        <v>Darn Penquet</v>
      </c>
    </row>
    <row r="805" spans="1:17" x14ac:dyDescent="0.25">
      <c r="A805" s="2" t="s">
        <v>5030</v>
      </c>
      <c r="B805" s="3">
        <v>43955</v>
      </c>
      <c r="C805" s="2" t="s">
        <v>5031</v>
      </c>
      <c r="D805" t="s">
        <v>6166</v>
      </c>
      <c r="E805" s="2">
        <v>4</v>
      </c>
      <c r="F805" s="2" t="str">
        <f>_xlfn.XLOOKUP(Orders[[#This Row],[Customer ID]],customers!A:A,customers!B:B)</f>
        <v>Darn Penquet</v>
      </c>
      <c r="G805" s="2" t="str" cm="1">
        <f t="array" ref="G805">IF(_xlfn.XLOOKUP(C805,customers!A804:$A$1001,customers!C804:$C$1001,,0)=0,"",_xlfn.XLOOKUP(C805,customers!A804:$A$1001,customers!C804:$C$1001,,0))</f>
        <v>dpenquetmb@diigo.com</v>
      </c>
      <c r="H805" s="2" t="str" cm="1">
        <f t="array" ref="H805">_xlfn.XLOOKUP(C805,customers!A804:$A$1001,customers!G804:$G$1001,"Ireland",0)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12"/>
        <v>126.49999999999999</v>
      </c>
      <c r="N805" t="str" cm="1">
        <f t="array" ref="N805">_xlfn.IFS(I805="Rob","Robusta",I805="Exc","Excelsa",I805="Ara","Arabica",I805="Lib","Liberica")</f>
        <v>Excelsa</v>
      </c>
      <c r="O805" t="str" cm="1">
        <f t="array" ref="O805">_xlfn.IFS(J805="M","Midium",J805="L","Light",J805="D","Dark")</f>
        <v>Midium</v>
      </c>
      <c r="P805" t="str">
        <f>_xlfn.XLOOKUP(Orders[[#This Row],[Customer ID]],customers!A:A,customers!I:I,,0)</f>
        <v>No</v>
      </c>
      <c r="Q805" t="str">
        <f>_xlfn.XLOOKUP(C806,customers!A:A,customers!B:B,"مش موجود")</f>
        <v>Jammie Cloke</v>
      </c>
    </row>
    <row r="806" spans="1:17" x14ac:dyDescent="0.25">
      <c r="A806" s="2" t="s">
        <v>5035</v>
      </c>
      <c r="B806" s="3">
        <v>44289</v>
      </c>
      <c r="C806" s="2" t="s">
        <v>5036</v>
      </c>
      <c r="D806" t="s">
        <v>6179</v>
      </c>
      <c r="E806" s="2">
        <v>2</v>
      </c>
      <c r="F806" s="2" t="str">
        <f>_xlfn.XLOOKUP(Orders[[#This Row],[Customer ID]],customers!A:A,customers!B:B)</f>
        <v>Jammie Cloke</v>
      </c>
      <c r="G806" s="2" t="str" cm="1">
        <f t="array" ref="G806">IF(_xlfn.XLOOKUP(C806,customers!A805:$A$1001,customers!C805:$C$1001,,0)=0,"",_xlfn.XLOOKUP(C806,customers!A805:$A$1001,customers!C805:$C$1001,,0))</f>
        <v/>
      </c>
      <c r="H806" s="2" t="str" cm="1">
        <f t="array" ref="H806">_xlfn.XLOOKUP(C806,customers!A805:$A$1001,customers!G805:$G$1001,"Ireland",0)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12"/>
        <v>23.9</v>
      </c>
      <c r="N806" t="str" cm="1">
        <f t="array" ref="N806">_xlfn.IFS(I806="Rob","Robusta",I806="Exc","Excelsa",I806="Ara","Arabica",I806="Lib","Liberica")</f>
        <v>Robusta</v>
      </c>
      <c r="O806" t="str" cm="1">
        <f t="array" ref="O806">_xlfn.IFS(J806="M","Midium",J806="L","Light",J806="D","Dark")</f>
        <v>Light</v>
      </c>
      <c r="P806" t="str">
        <f>_xlfn.XLOOKUP(Orders[[#This Row],[Customer ID]],customers!A:A,customers!I:I,,0)</f>
        <v>No</v>
      </c>
      <c r="Q806" t="str">
        <f>_xlfn.XLOOKUP(C807,customers!A:A,customers!B:B,"مش موجود")</f>
        <v>Chester Clowton</v>
      </c>
    </row>
    <row r="807" spans="1:17" x14ac:dyDescent="0.25">
      <c r="A807" s="2" t="s">
        <v>5040</v>
      </c>
      <c r="B807" s="3">
        <v>44713</v>
      </c>
      <c r="C807" s="2" t="s">
        <v>5041</v>
      </c>
      <c r="D807" t="s">
        <v>6146</v>
      </c>
      <c r="E807" s="2">
        <v>1</v>
      </c>
      <c r="F807" s="2" t="str">
        <f>_xlfn.XLOOKUP(Orders[[#This Row],[Customer ID]],customers!A:A,customers!B:B)</f>
        <v>Chester Clowton</v>
      </c>
      <c r="G807" s="2" t="str" cm="1">
        <f t="array" ref="G807">IF(_xlfn.XLOOKUP(C807,customers!A806:$A$1001,customers!C806:$C$1001,,0)=0,"",_xlfn.XLOOKUP(C807,customers!A806:$A$1001,customers!C806:$C$1001,,0))</f>
        <v/>
      </c>
      <c r="H807" s="2" t="str" cm="1">
        <f t="array" ref="H807">_xlfn.XLOOKUP(C807,customers!A806:$A$1001,customers!G806:$G$1001,"Ireland",0)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12"/>
        <v>5.97</v>
      </c>
      <c r="N807" t="str" cm="1">
        <f t="array" ref="N807">_xlfn.IFS(I807="Rob","Robusta",I807="Exc","Excelsa",I807="Ara","Arabica",I807="Lib","Liberica")</f>
        <v>Robusta</v>
      </c>
      <c r="O807" t="str" cm="1">
        <f t="array" ref="O807">_xlfn.IFS(J807="M","Midium",J807="L","Light",J807="D","Dark")</f>
        <v>Midium</v>
      </c>
      <c r="P807" t="str">
        <f>_xlfn.XLOOKUP(Orders[[#This Row],[Customer ID]],customers!A:A,customers!I:I,,0)</f>
        <v>No</v>
      </c>
      <c r="Q807" t="str">
        <f>_xlfn.XLOOKUP(C808,customers!A:A,customers!B:B,"مش موجود")</f>
        <v>Kathleen Diable</v>
      </c>
    </row>
    <row r="808" spans="1:17" x14ac:dyDescent="0.25">
      <c r="A808" s="2" t="s">
        <v>5046</v>
      </c>
      <c r="B808" s="3">
        <v>44241</v>
      </c>
      <c r="C808" s="2" t="s">
        <v>5047</v>
      </c>
      <c r="D808" t="s">
        <v>6150</v>
      </c>
      <c r="E808" s="2">
        <v>2</v>
      </c>
      <c r="F808" s="2" t="str">
        <f>_xlfn.XLOOKUP(Orders[[#This Row],[Customer ID]],customers!A:A,customers!B:B)</f>
        <v>Kathleen Diable</v>
      </c>
      <c r="G808" s="2" t="str" cm="1">
        <f t="array" ref="G808">IF(_xlfn.XLOOKUP(C808,customers!A807:$A$1001,customers!C807:$C$1001,,0)=0,"",_xlfn.XLOOKUP(C808,customers!A807:$A$1001,customers!C807:$C$1001,,0))</f>
        <v/>
      </c>
      <c r="H808" s="2" t="str" cm="1">
        <f t="array" ref="H808">_xlfn.XLOOKUP(C808,customers!A807:$A$1001,customers!G807:$G$1001,"Ireland",0)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12"/>
        <v>7.77</v>
      </c>
      <c r="N808" t="str" cm="1">
        <f t="array" ref="N808">_xlfn.IFS(I808="Rob","Robusta",I808="Exc","Excelsa",I808="Ara","Arabica",I808="Lib","Liberica")</f>
        <v>Liberica</v>
      </c>
      <c r="O808" t="str" cm="1">
        <f t="array" ref="O808">_xlfn.IFS(J808="M","Midium",J808="L","Light",J808="D","Dark")</f>
        <v>Dark</v>
      </c>
      <c r="P808" t="str">
        <f>_xlfn.XLOOKUP(Orders[[#This Row],[Customer ID]],customers!A:A,customers!I:I,,0)</f>
        <v>Yes</v>
      </c>
      <c r="Q808" t="str">
        <f>_xlfn.XLOOKUP(C809,customers!A:A,customers!B:B,"مش موجود")</f>
        <v>Koren Ferretti</v>
      </c>
    </row>
    <row r="809" spans="1:17" x14ac:dyDescent="0.25">
      <c r="A809" s="2" t="s">
        <v>5050</v>
      </c>
      <c r="B809" s="3">
        <v>44543</v>
      </c>
      <c r="C809" s="2" t="s">
        <v>5051</v>
      </c>
      <c r="D809" t="s">
        <v>6169</v>
      </c>
      <c r="E809" s="2">
        <v>3</v>
      </c>
      <c r="F809" s="2" t="str">
        <f>_xlfn.XLOOKUP(Orders[[#This Row],[Customer ID]],customers!A:A,customers!B:B)</f>
        <v>Koren Ferretti</v>
      </c>
      <c r="G809" s="2" t="str" cm="1">
        <f t="array" ref="G809">IF(_xlfn.XLOOKUP(C809,customers!A808:$A$1001,customers!C808:$C$1001,,0)=0,"",_xlfn.XLOOKUP(C809,customers!A808:$A$1001,customers!C808:$C$1001,,0))</f>
        <v>kferrettimf@huffingtonpost.com</v>
      </c>
      <c r="H809" s="2" t="str" cm="1">
        <f t="array" ref="H809">_xlfn.XLOOKUP(C809,customers!A808:$A$1001,customers!G808:$G$1001,"Ireland",0)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12"/>
        <v>23.31</v>
      </c>
      <c r="N809" t="str" cm="1">
        <f t="array" ref="N809">_xlfn.IFS(I809="Rob","Robusta",I809="Exc","Excelsa",I809="Ara","Arabica",I809="Lib","Liberica")</f>
        <v>Liberica</v>
      </c>
      <c r="O809" t="str" cm="1">
        <f t="array" ref="O809">_xlfn.IFS(J809="M","Midium",J809="L","Light",J809="D","Dark")</f>
        <v>Dark</v>
      </c>
      <c r="P809" t="str">
        <f>_xlfn.XLOOKUP(Orders[[#This Row],[Customer ID]],customers!A:A,customers!I:I,,0)</f>
        <v>No</v>
      </c>
      <c r="Q809" t="str">
        <f>_xlfn.XLOOKUP(C810,customers!A:A,customers!B:B,"مش موجود")</f>
        <v>Allis Wilmore</v>
      </c>
    </row>
    <row r="810" spans="1:17" x14ac:dyDescent="0.25">
      <c r="A810" s="2" t="s">
        <v>5056</v>
      </c>
      <c r="B810" s="3">
        <v>43868</v>
      </c>
      <c r="C810" s="2" t="s">
        <v>5113</v>
      </c>
      <c r="D810" t="s">
        <v>6142</v>
      </c>
      <c r="E810" s="2">
        <v>5</v>
      </c>
      <c r="F810" s="2" t="str">
        <f>_xlfn.XLOOKUP(Orders[[#This Row],[Customer ID]],customers!A:A,customers!B:B)</f>
        <v>Allis Wilmore</v>
      </c>
      <c r="G810" s="2" t="str" cm="1">
        <f t="array" ref="G810">IF(_xlfn.XLOOKUP(C810,customers!A809:$A$1001,customers!C809:$C$1001,,0)=0,"",_xlfn.XLOOKUP(C810,customers!A809:$A$1001,customers!C809:$C$1001,,0))</f>
        <v/>
      </c>
      <c r="H810" s="2" t="str" cm="1">
        <f t="array" ref="H810">_xlfn.XLOOKUP(C810,customers!A809:$A$1001,customers!G809:$G$1001,"Ireland",0)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12"/>
        <v>137.42499999999998</v>
      </c>
      <c r="N810" t="str" cm="1">
        <f t="array" ref="N810">_xlfn.IFS(I810="Rob","Robusta",I810="Exc","Excelsa",I810="Ara","Arabica",I810="Lib","Liberica")</f>
        <v>Robusta</v>
      </c>
      <c r="O810" t="str" cm="1">
        <f t="array" ref="O810">_xlfn.IFS(J810="M","Midium",J810="L","Light",J810="D","Dark")</f>
        <v>Light</v>
      </c>
      <c r="P810" t="str">
        <f>_xlfn.XLOOKUP(Orders[[#This Row],[Customer ID]],customers!A:A,customers!I:I,,0)</f>
        <v>No</v>
      </c>
      <c r="Q810" t="str">
        <f>_xlfn.XLOOKUP(C811,customers!A:A,customers!B:B,"مش موجود")</f>
        <v>Chaddie Bennie</v>
      </c>
    </row>
    <row r="811" spans="1:17" x14ac:dyDescent="0.25">
      <c r="A811" s="2" t="s">
        <v>5062</v>
      </c>
      <c r="B811" s="3">
        <v>44235</v>
      </c>
      <c r="C811" s="2" t="s">
        <v>5063</v>
      </c>
      <c r="D811" t="s">
        <v>6163</v>
      </c>
      <c r="E811" s="2">
        <v>3</v>
      </c>
      <c r="F811" s="2" t="str">
        <f>_xlfn.XLOOKUP(Orders[[#This Row],[Customer ID]],customers!A:A,customers!B:B)</f>
        <v>Chaddie Bennie</v>
      </c>
      <c r="G811" s="2" t="str" cm="1">
        <f t="array" ref="G811">IF(_xlfn.XLOOKUP(C811,customers!A810:$A$1001,customers!C810:$C$1001,,0)=0,"",_xlfn.XLOOKUP(C811,customers!A810:$A$1001,customers!C810:$C$1001,,0))</f>
        <v/>
      </c>
      <c r="H811" s="2" t="str" cm="1">
        <f t="array" ref="H811">_xlfn.XLOOKUP(C811,customers!A810:$A$1001,customers!G810:$G$1001,"Ireland",0)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12"/>
        <v>8.0549999999999997</v>
      </c>
      <c r="N811" t="str" cm="1">
        <f t="array" ref="N811">_xlfn.IFS(I811="Rob","Robusta",I811="Exc","Excelsa",I811="Ara","Arabica",I811="Lib","Liberica")</f>
        <v>Robusta</v>
      </c>
      <c r="O811" t="str" cm="1">
        <f t="array" ref="O811">_xlfn.IFS(J811="M","Midium",J811="L","Light",J811="D","Dark")</f>
        <v>Dark</v>
      </c>
      <c r="P811" t="str">
        <f>_xlfn.XLOOKUP(Orders[[#This Row],[Customer ID]],customers!A:A,customers!I:I,,0)</f>
        <v>Yes</v>
      </c>
      <c r="Q811" t="str">
        <f>_xlfn.XLOOKUP(C812,customers!A:A,customers!B:B,"مش موجود")</f>
        <v>Alberta Balsdone</v>
      </c>
    </row>
    <row r="812" spans="1:17" x14ac:dyDescent="0.25">
      <c r="A812" s="2" t="s">
        <v>5067</v>
      </c>
      <c r="B812" s="3">
        <v>44054</v>
      </c>
      <c r="C812" s="2" t="s">
        <v>5068</v>
      </c>
      <c r="D812" t="s">
        <v>6161</v>
      </c>
      <c r="E812" s="2">
        <v>3</v>
      </c>
      <c r="F812" s="2" t="str">
        <f>_xlfn.XLOOKUP(Orders[[#This Row],[Customer ID]],customers!A:A,customers!B:B)</f>
        <v>Alberta Balsdone</v>
      </c>
      <c r="G812" s="2" t="str" cm="1">
        <f t="array" ref="G812">IF(_xlfn.XLOOKUP(C812,customers!A811:$A$1001,customers!C811:$C$1001,,0)=0,"",_xlfn.XLOOKUP(C812,customers!A811:$A$1001,customers!C811:$C$1001,,0))</f>
        <v>abalsdonemi@toplist.cz</v>
      </c>
      <c r="H812" s="2" t="str" cm="1">
        <f t="array" ref="H812">_xlfn.XLOOKUP(C812,customers!A811:$A$1001,customers!G811:$G$1001,"Ireland",0)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12"/>
        <v>28.53</v>
      </c>
      <c r="N812" t="str" cm="1">
        <f t="array" ref="N812">_xlfn.IFS(I812="Rob","Robusta",I812="Exc","Excelsa",I812="Ara","Arabica",I812="Lib","Liberica")</f>
        <v>Liberica</v>
      </c>
      <c r="O812" t="str" cm="1">
        <f t="array" ref="O812">_xlfn.IFS(J812="M","Midium",J812="L","Light",J812="D","Dark")</f>
        <v>Light</v>
      </c>
      <c r="P812" t="str">
        <f>_xlfn.XLOOKUP(Orders[[#This Row],[Customer ID]],customers!A:A,customers!I:I,,0)</f>
        <v>No</v>
      </c>
      <c r="Q812" t="str">
        <f>_xlfn.XLOOKUP(C813,customers!A:A,customers!B:B,"مش موجود")</f>
        <v>Brice Romera</v>
      </c>
    </row>
    <row r="813" spans="1:17" x14ac:dyDescent="0.25">
      <c r="A813" s="2" t="s">
        <v>5073</v>
      </c>
      <c r="B813" s="3">
        <v>44114</v>
      </c>
      <c r="C813" s="2" t="s">
        <v>5074</v>
      </c>
      <c r="D813" t="s">
        <v>6155</v>
      </c>
      <c r="E813" s="2">
        <v>6</v>
      </c>
      <c r="F813" s="2" t="str">
        <f>_xlfn.XLOOKUP(Orders[[#This Row],[Customer ID]],customers!A:A,customers!B:B)</f>
        <v>Brice Romera</v>
      </c>
      <c r="G813" s="2" t="str" cm="1">
        <f t="array" ref="G813">IF(_xlfn.XLOOKUP(C813,customers!A812:$A$1001,customers!C812:$C$1001,,0)=0,"",_xlfn.XLOOKUP(C813,customers!A812:$A$1001,customers!C812:$C$1001,,0))</f>
        <v>bromeramj@list-manage.com</v>
      </c>
      <c r="H813" s="2" t="str" cm="1">
        <f t="array" ref="H813">_xlfn.XLOOKUP(C813,customers!A812:$A$1001,customers!G812:$G$1001,"Ireland",0)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12"/>
        <v>67.5</v>
      </c>
      <c r="N813" t="str" cm="1">
        <f t="array" ref="N813">_xlfn.IFS(I813="Rob","Robusta",I813="Exc","Excelsa",I813="Ara","Arabica",I813="Lib","Liberica")</f>
        <v>Arabica</v>
      </c>
      <c r="O813" t="str" cm="1">
        <f t="array" ref="O813">_xlfn.IFS(J813="M","Midium",J813="L","Light",J813="D","Dark")</f>
        <v>Midium</v>
      </c>
      <c r="P813" t="str">
        <f>_xlfn.XLOOKUP(Orders[[#This Row],[Customer ID]],customers!A:A,customers!I:I,,0)</f>
        <v>Yes</v>
      </c>
      <c r="Q813" t="str">
        <f>_xlfn.XLOOKUP(C814,customers!A:A,customers!B:B,"مش موجود")</f>
        <v>Brice Romera</v>
      </c>
    </row>
    <row r="814" spans="1:17" x14ac:dyDescent="0.25">
      <c r="A814" s="2" t="s">
        <v>5073</v>
      </c>
      <c r="B814" s="3">
        <v>44114</v>
      </c>
      <c r="C814" s="2" t="s">
        <v>5074</v>
      </c>
      <c r="D814" t="s">
        <v>6165</v>
      </c>
      <c r="E814" s="2">
        <v>6</v>
      </c>
      <c r="F814" s="2" t="str">
        <f>_xlfn.XLOOKUP(Orders[[#This Row],[Customer ID]],customers!A:A,customers!B:B)</f>
        <v>Brice Romera</v>
      </c>
      <c r="G814" s="2" t="str" cm="1">
        <f t="array" ref="G814">IF(_xlfn.XLOOKUP(C814,customers!A813:$A$1001,customers!C813:$C$1001,,0)=0,"",_xlfn.XLOOKUP(C814,customers!A813:$A$1001,customers!C813:$C$1001,,0))</f>
        <v>bromeramj@list-manage.com</v>
      </c>
      <c r="H814" s="2" t="str" cm="1">
        <f t="array" ref="H814">_xlfn.XLOOKUP(C814,customers!A813:$A$1001,customers!G813:$G$1001,"Ireland",0)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12"/>
        <v>178.70999999999998</v>
      </c>
      <c r="N814" t="str" cm="1">
        <f t="array" ref="N814">_xlfn.IFS(I814="Rob","Robusta",I814="Exc","Excelsa",I814="Ara","Arabica",I814="Lib","Liberica")</f>
        <v>Liberica</v>
      </c>
      <c r="O814" t="str" cm="1">
        <f t="array" ref="O814">_xlfn.IFS(J814="M","Midium",J814="L","Light",J814="D","Dark")</f>
        <v>Dark</v>
      </c>
      <c r="P814" t="str">
        <f>_xlfn.XLOOKUP(Orders[[#This Row],[Customer ID]],customers!A:A,customers!I:I,,0)</f>
        <v>Yes</v>
      </c>
      <c r="Q814" t="str">
        <f>_xlfn.XLOOKUP(C815,customers!A:A,customers!B:B,"مش موجود")</f>
        <v>Conchita Bryde</v>
      </c>
    </row>
    <row r="815" spans="1:17" x14ac:dyDescent="0.25">
      <c r="A815" s="2" t="s">
        <v>5084</v>
      </c>
      <c r="B815" s="3">
        <v>44173</v>
      </c>
      <c r="C815" s="2" t="s">
        <v>5085</v>
      </c>
      <c r="D815" t="s">
        <v>6166</v>
      </c>
      <c r="E815" s="2">
        <v>1</v>
      </c>
      <c r="F815" s="2" t="str">
        <f>_xlfn.XLOOKUP(Orders[[#This Row],[Customer ID]],customers!A:A,customers!B:B)</f>
        <v>Conchita Bryde</v>
      </c>
      <c r="G815" s="2" t="str" cm="1">
        <f t="array" ref="G815">IF(_xlfn.XLOOKUP(C815,customers!A814:$A$1001,customers!C814:$C$1001,,0)=0,"",_xlfn.XLOOKUP(C815,customers!A814:$A$1001,customers!C814:$C$1001,,0))</f>
        <v>cbrydeml@tuttocitta.it</v>
      </c>
      <c r="H815" s="2" t="str" cm="1">
        <f t="array" ref="H815">_xlfn.XLOOKUP(C815,customers!A814:$A$1001,customers!G814:$G$1001,"Ireland",0)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12"/>
        <v>31.624999999999996</v>
      </c>
      <c r="N815" t="str" cm="1">
        <f t="array" ref="N815">_xlfn.IFS(I815="Rob","Robusta",I815="Exc","Excelsa",I815="Ara","Arabica",I815="Lib","Liberica")</f>
        <v>Excelsa</v>
      </c>
      <c r="O815" t="str" cm="1">
        <f t="array" ref="O815">_xlfn.IFS(J815="M","Midium",J815="L","Light",J815="D","Dark")</f>
        <v>Midium</v>
      </c>
      <c r="P815" t="str">
        <f>_xlfn.XLOOKUP(Orders[[#This Row],[Customer ID]],customers!A:A,customers!I:I,,0)</f>
        <v>Yes</v>
      </c>
      <c r="Q815" t="str">
        <f>_xlfn.XLOOKUP(C816,customers!A:A,customers!B:B,"مش موجود")</f>
        <v>Silvanus Enefer</v>
      </c>
    </row>
    <row r="816" spans="1:17" x14ac:dyDescent="0.25">
      <c r="A816" s="2" t="s">
        <v>5090</v>
      </c>
      <c r="B816" s="3">
        <v>43573</v>
      </c>
      <c r="C816" s="2" t="s">
        <v>5091</v>
      </c>
      <c r="D816" t="s">
        <v>6184</v>
      </c>
      <c r="E816" s="2">
        <v>2</v>
      </c>
      <c r="F816" s="2" t="str">
        <f>_xlfn.XLOOKUP(Orders[[#This Row],[Customer ID]],customers!A:A,customers!B:B)</f>
        <v>Silvanus Enefer</v>
      </c>
      <c r="G816" s="2" t="str" cm="1">
        <f t="array" ref="G816">IF(_xlfn.XLOOKUP(C816,customers!A815:$A$1001,customers!C815:$C$1001,,0)=0,"",_xlfn.XLOOKUP(C816,customers!A815:$A$1001,customers!C815:$C$1001,,0))</f>
        <v>senefermm@blog.com</v>
      </c>
      <c r="H816" s="2" t="str" cm="1">
        <f t="array" ref="H816">_xlfn.XLOOKUP(C816,customers!A815:$A$1001,customers!G815:$G$1001,"Ireland",0)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12"/>
        <v>8.91</v>
      </c>
      <c r="N816" t="str" cm="1">
        <f t="array" ref="N816">_xlfn.IFS(I816="Rob","Robusta",I816="Exc","Excelsa",I816="Ara","Arabica",I816="Lib","Liberica")</f>
        <v>Excelsa</v>
      </c>
      <c r="O816" t="str" cm="1">
        <f t="array" ref="O816">_xlfn.IFS(J816="M","Midium",J816="L","Light",J816="D","Dark")</f>
        <v>Light</v>
      </c>
      <c r="P816" t="str">
        <f>_xlfn.XLOOKUP(Orders[[#This Row],[Customer ID]],customers!A:A,customers!I:I,,0)</f>
        <v>No</v>
      </c>
      <c r="Q816" t="str">
        <f>_xlfn.XLOOKUP(C817,customers!A:A,customers!B:B,"مش موجود")</f>
        <v>Lenci Haggerstone</v>
      </c>
    </row>
    <row r="817" spans="1:17" x14ac:dyDescent="0.25">
      <c r="A817" s="2" t="s">
        <v>5096</v>
      </c>
      <c r="B817" s="3">
        <v>44200</v>
      </c>
      <c r="C817" s="2" t="s">
        <v>5097</v>
      </c>
      <c r="D817" t="s">
        <v>6146</v>
      </c>
      <c r="E817" s="2">
        <v>6</v>
      </c>
      <c r="F817" s="2" t="str">
        <f>_xlfn.XLOOKUP(Orders[[#This Row],[Customer ID]],customers!A:A,customers!B:B)</f>
        <v>Lenci Haggerstone</v>
      </c>
      <c r="G817" s="2" t="str" cm="1">
        <f t="array" ref="G817">IF(_xlfn.XLOOKUP(C817,customers!A816:$A$1001,customers!C816:$C$1001,,0)=0,"",_xlfn.XLOOKUP(C817,customers!A816:$A$1001,customers!C816:$C$1001,,0))</f>
        <v>lhaggerstonemn@independent.co.uk</v>
      </c>
      <c r="H817" s="2" t="str" cm="1">
        <f t="array" ref="H817">_xlfn.XLOOKUP(C817,customers!A816:$A$1001,customers!G816:$G$1001,"Ireland",0)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12"/>
        <v>35.82</v>
      </c>
      <c r="N817" t="str" cm="1">
        <f t="array" ref="N817">_xlfn.IFS(I817="Rob","Robusta",I817="Exc","Excelsa",I817="Ara","Arabica",I817="Lib","Liberica")</f>
        <v>Robusta</v>
      </c>
      <c r="O817" t="str" cm="1">
        <f t="array" ref="O817">_xlfn.IFS(J817="M","Midium",J817="L","Light",J817="D","Dark")</f>
        <v>Midium</v>
      </c>
      <c r="P817" t="str">
        <f>_xlfn.XLOOKUP(Orders[[#This Row],[Customer ID]],customers!A:A,customers!I:I,,0)</f>
        <v>No</v>
      </c>
      <c r="Q817" t="str">
        <f>_xlfn.XLOOKUP(C818,customers!A:A,customers!B:B,"مش موجود")</f>
        <v>Marvin Gundry</v>
      </c>
    </row>
    <row r="818" spans="1:17" x14ac:dyDescent="0.25">
      <c r="A818" s="2" t="s">
        <v>5102</v>
      </c>
      <c r="B818" s="3">
        <v>43534</v>
      </c>
      <c r="C818" s="2" t="s">
        <v>5103</v>
      </c>
      <c r="D818" t="s">
        <v>6161</v>
      </c>
      <c r="E818" s="2">
        <v>4</v>
      </c>
      <c r="F818" s="2" t="str">
        <f>_xlfn.XLOOKUP(Orders[[#This Row],[Customer ID]],customers!A:A,customers!B:B)</f>
        <v>Marvin Gundry</v>
      </c>
      <c r="G818" s="2" t="str" cm="1">
        <f t="array" ref="G818">IF(_xlfn.XLOOKUP(C818,customers!A817:$A$1001,customers!C817:$C$1001,,0)=0,"",_xlfn.XLOOKUP(C818,customers!A817:$A$1001,customers!C817:$C$1001,,0))</f>
        <v>mgundrymo@omniture.com</v>
      </c>
      <c r="H818" s="2" t="str" cm="1">
        <f t="array" ref="H818">_xlfn.XLOOKUP(C818,customers!A817:$A$1001,customers!G817:$G$1001,"Ireland",0)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12"/>
        <v>38.04</v>
      </c>
      <c r="N818" t="str" cm="1">
        <f t="array" ref="N818">_xlfn.IFS(I818="Rob","Robusta",I818="Exc","Excelsa",I818="Ara","Arabica",I818="Lib","Liberica")</f>
        <v>Liberica</v>
      </c>
      <c r="O818" t="str" cm="1">
        <f t="array" ref="O818">_xlfn.IFS(J818="M","Midium",J818="L","Light",J818="D","Dark")</f>
        <v>Light</v>
      </c>
      <c r="P818" t="str">
        <f>_xlfn.XLOOKUP(Orders[[#This Row],[Customer ID]],customers!A:A,customers!I:I,,0)</f>
        <v>No</v>
      </c>
      <c r="Q818" t="str">
        <f>_xlfn.XLOOKUP(C819,customers!A:A,customers!B:B,"مش موجود")</f>
        <v>Bayard Wellan</v>
      </c>
    </row>
    <row r="819" spans="1:17" x14ac:dyDescent="0.25">
      <c r="A819" s="2" t="s">
        <v>5107</v>
      </c>
      <c r="B819" s="3">
        <v>43798</v>
      </c>
      <c r="C819" s="2" t="s">
        <v>5108</v>
      </c>
      <c r="D819" t="s">
        <v>6169</v>
      </c>
      <c r="E819" s="2">
        <v>2</v>
      </c>
      <c r="F819" s="2" t="str">
        <f>_xlfn.XLOOKUP(Orders[[#This Row],[Customer ID]],customers!A:A,customers!B:B)</f>
        <v>Bayard Wellan</v>
      </c>
      <c r="G819" s="2" t="str" cm="1">
        <f t="array" ref="G819">IF(_xlfn.XLOOKUP(C819,customers!A818:$A$1001,customers!C818:$C$1001,,0)=0,"",_xlfn.XLOOKUP(C819,customers!A818:$A$1001,customers!C818:$C$1001,,0))</f>
        <v>bwellanmp@cafepress.com</v>
      </c>
      <c r="H819" s="2" t="str" cm="1">
        <f t="array" ref="H819">_xlfn.XLOOKUP(C819,customers!A818:$A$1001,customers!G818:$G$1001,"Ireland",0)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12"/>
        <v>15.54</v>
      </c>
      <c r="N819" t="str" cm="1">
        <f t="array" ref="N819">_xlfn.IFS(I819="Rob","Robusta",I819="Exc","Excelsa",I819="Ara","Arabica",I819="Lib","Liberica")</f>
        <v>Liberica</v>
      </c>
      <c r="O819" t="str" cm="1">
        <f t="array" ref="O819">_xlfn.IFS(J819="M","Midium",J819="L","Light",J819="D","Dark")</f>
        <v>Dark</v>
      </c>
      <c r="P819" t="str">
        <f>_xlfn.XLOOKUP(Orders[[#This Row],[Customer ID]],customers!A:A,customers!I:I,,0)</f>
        <v>No</v>
      </c>
      <c r="Q819" t="str">
        <f>_xlfn.XLOOKUP(C820,customers!A:A,customers!B:B,"مش موجود")</f>
        <v>Allis Wilmore</v>
      </c>
    </row>
    <row r="820" spans="1:17" x14ac:dyDescent="0.25">
      <c r="A820" s="2" t="s">
        <v>5112</v>
      </c>
      <c r="B820" s="3">
        <v>44761</v>
      </c>
      <c r="C820" s="2" t="s">
        <v>5113</v>
      </c>
      <c r="D820" t="s">
        <v>6170</v>
      </c>
      <c r="E820" s="2">
        <v>5</v>
      </c>
      <c r="F820" s="2" t="str">
        <f>_xlfn.XLOOKUP(Orders[[#This Row],[Customer ID]],customers!A:A,customers!B:B)</f>
        <v>Allis Wilmore</v>
      </c>
      <c r="G820" s="2" t="str" cm="1">
        <f t="array" ref="G820">IF(_xlfn.XLOOKUP(C820,customers!A819:$A$1001,customers!C819:$C$1001,,0)=0,"",_xlfn.XLOOKUP(C820,customers!A819:$A$1001,customers!C819:$C$1001,,0))</f>
        <v/>
      </c>
      <c r="H820" s="2" t="str" cm="1">
        <f t="array" ref="H820">_xlfn.XLOOKUP(C820,customers!A819:$A$1001,customers!G819:$G$1001,"Ireland",0)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12"/>
        <v>79.25</v>
      </c>
      <c r="N820" t="str" cm="1">
        <f t="array" ref="N820">_xlfn.IFS(I820="Rob","Robusta",I820="Exc","Excelsa",I820="Ara","Arabica",I820="Lib","Liberica")</f>
        <v>Liberica</v>
      </c>
      <c r="O820" t="str" cm="1">
        <f t="array" ref="O820">_xlfn.IFS(J820="M","Midium",J820="L","Light",J820="D","Dark")</f>
        <v>Light</v>
      </c>
      <c r="P820" t="str">
        <f>_xlfn.XLOOKUP(Orders[[#This Row],[Customer ID]],customers!A:A,customers!I:I,,0)</f>
        <v>No</v>
      </c>
      <c r="Q820" t="str">
        <f>_xlfn.XLOOKUP(C821,customers!A:A,customers!B:B,"مش موجود")</f>
        <v>Caddric Atcheson</v>
      </c>
    </row>
    <row r="821" spans="1:17" x14ac:dyDescent="0.25">
      <c r="A821" s="2" t="s">
        <v>5117</v>
      </c>
      <c r="B821" s="3">
        <v>44008</v>
      </c>
      <c r="C821" s="2" t="s">
        <v>5118</v>
      </c>
      <c r="D821" t="s">
        <v>6145</v>
      </c>
      <c r="E821" s="2">
        <v>1</v>
      </c>
      <c r="F821" s="2" t="str">
        <f>_xlfn.XLOOKUP(Orders[[#This Row],[Customer ID]],customers!A:A,customers!B:B)</f>
        <v>Caddric Atcheson</v>
      </c>
      <c r="G821" s="2" t="str" cm="1">
        <f t="array" ref="G821">IF(_xlfn.XLOOKUP(C821,customers!A820:$A$1001,customers!C820:$C$1001,,0)=0,"",_xlfn.XLOOKUP(C821,customers!A820:$A$1001,customers!C820:$C$1001,,0))</f>
        <v>catchesonmr@xinhuanet.com</v>
      </c>
      <c r="H821" s="2" t="str" cm="1">
        <f t="array" ref="H821">_xlfn.XLOOKUP(C821,customers!A820:$A$1001,customers!G820:$G$1001,"Ireland",0)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12"/>
        <v>4.7549999999999999</v>
      </c>
      <c r="N821" t="str" cm="1">
        <f t="array" ref="N821">_xlfn.IFS(I821="Rob","Robusta",I821="Exc","Excelsa",I821="Ara","Arabica",I821="Lib","Liberica")</f>
        <v>Liberica</v>
      </c>
      <c r="O821" t="str" cm="1">
        <f t="array" ref="O821">_xlfn.IFS(J821="M","Midium",J821="L","Light",J821="D","Dark")</f>
        <v>Light</v>
      </c>
      <c r="P821" t="str">
        <f>_xlfn.XLOOKUP(Orders[[#This Row],[Customer ID]],customers!A:A,customers!I:I,,0)</f>
        <v>Yes</v>
      </c>
      <c r="Q821" t="str">
        <f>_xlfn.XLOOKUP(C822,customers!A:A,customers!B:B,"مش موجود")</f>
        <v>Eustace Stenton</v>
      </c>
    </row>
    <row r="822" spans="1:17" x14ac:dyDescent="0.25">
      <c r="A822" s="2" t="s">
        <v>5123</v>
      </c>
      <c r="B822" s="3">
        <v>43510</v>
      </c>
      <c r="C822" s="2" t="s">
        <v>5124</v>
      </c>
      <c r="D822" t="s">
        <v>6141</v>
      </c>
      <c r="E822" s="2">
        <v>4</v>
      </c>
      <c r="F822" s="2" t="str">
        <f>_xlfn.XLOOKUP(Orders[[#This Row],[Customer ID]],customers!A:A,customers!B:B)</f>
        <v>Eustace Stenton</v>
      </c>
      <c r="G822" s="2" t="str" cm="1">
        <f t="array" ref="G822">IF(_xlfn.XLOOKUP(C822,customers!A821:$A$1001,customers!C821:$C$1001,,0)=0,"",_xlfn.XLOOKUP(C822,customers!A821:$A$1001,customers!C821:$C$1001,,0))</f>
        <v>estentonms@google.it</v>
      </c>
      <c r="H822" s="2" t="str" cm="1">
        <f t="array" ref="H822">_xlfn.XLOOKUP(C822,customers!A821:$A$1001,customers!G821:$G$1001,"Ireland",0)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12"/>
        <v>55</v>
      </c>
      <c r="N822" t="str" cm="1">
        <f t="array" ref="N822">_xlfn.IFS(I822="Rob","Robusta",I822="Exc","Excelsa",I822="Ara","Arabica",I822="Lib","Liberica")</f>
        <v>Excelsa</v>
      </c>
      <c r="O822" t="str" cm="1">
        <f t="array" ref="O822">_xlfn.IFS(J822="M","Midium",J822="L","Light",J822="D","Dark")</f>
        <v>Midium</v>
      </c>
      <c r="P822" t="str">
        <f>_xlfn.XLOOKUP(Orders[[#This Row],[Customer ID]],customers!A:A,customers!I:I,,0)</f>
        <v>Yes</v>
      </c>
      <c r="Q822" t="str">
        <f>_xlfn.XLOOKUP(C823,customers!A:A,customers!B:B,"مش موجود")</f>
        <v>Ericka Tripp</v>
      </c>
    </row>
    <row r="823" spans="1:17" x14ac:dyDescent="0.25">
      <c r="A823" s="2" t="s">
        <v>5129</v>
      </c>
      <c r="B823" s="3">
        <v>44144</v>
      </c>
      <c r="C823" s="2" t="s">
        <v>5130</v>
      </c>
      <c r="D823" t="s">
        <v>6172</v>
      </c>
      <c r="E823" s="2">
        <v>5</v>
      </c>
      <c r="F823" s="2" t="str">
        <f>_xlfn.XLOOKUP(Orders[[#This Row],[Customer ID]],customers!A:A,customers!B:B)</f>
        <v>Ericka Tripp</v>
      </c>
      <c r="G823" s="2" t="str" cm="1">
        <f t="array" ref="G823">IF(_xlfn.XLOOKUP(C823,customers!A822:$A$1001,customers!C822:$C$1001,,0)=0,"",_xlfn.XLOOKUP(C823,customers!A822:$A$1001,customers!C822:$C$1001,,0))</f>
        <v>etrippmt@wp.com</v>
      </c>
      <c r="H823" s="2" t="str" cm="1">
        <f t="array" ref="H823">_xlfn.XLOOKUP(C823,customers!A822:$A$1001,customers!G822:$G$1001,"Ireland",0)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12"/>
        <v>26.849999999999994</v>
      </c>
      <c r="N823" t="str" cm="1">
        <f t="array" ref="N823">_xlfn.IFS(I823="Rob","Robusta",I823="Exc","Excelsa",I823="Ara","Arabica",I823="Lib","Liberica")</f>
        <v>Robusta</v>
      </c>
      <c r="O823" t="str" cm="1">
        <f t="array" ref="O823">_xlfn.IFS(J823="M","Midium",J823="L","Light",J823="D","Dark")</f>
        <v>Dark</v>
      </c>
      <c r="P823" t="str">
        <f>_xlfn.XLOOKUP(Orders[[#This Row],[Customer ID]],customers!A:A,customers!I:I,,0)</f>
        <v>No</v>
      </c>
      <c r="Q823" t="str">
        <f>_xlfn.XLOOKUP(C824,customers!A:A,customers!B:B,"مش موجود")</f>
        <v>Lyndsey MacManus</v>
      </c>
    </row>
    <row r="824" spans="1:17" x14ac:dyDescent="0.25">
      <c r="A824" s="2" t="s">
        <v>5135</v>
      </c>
      <c r="B824" s="3">
        <v>43585</v>
      </c>
      <c r="C824" s="2" t="s">
        <v>5136</v>
      </c>
      <c r="D824" t="s">
        <v>6148</v>
      </c>
      <c r="E824" s="2">
        <v>4</v>
      </c>
      <c r="F824" s="2" t="str">
        <f>_xlfn.XLOOKUP(Orders[[#This Row],[Customer ID]],customers!A:A,customers!B:B)</f>
        <v>Lyndsey MacManus</v>
      </c>
      <c r="G824" s="2" t="str" cm="1">
        <f t="array" ref="G824">IF(_xlfn.XLOOKUP(C824,customers!A823:$A$1001,customers!C823:$C$1001,,0)=0,"",_xlfn.XLOOKUP(C824,customers!A823:$A$1001,customers!C823:$C$1001,,0))</f>
        <v>lmacmanusmu@imdb.com</v>
      </c>
      <c r="H824" s="2" t="str" cm="1">
        <f t="array" ref="H824">_xlfn.XLOOKUP(C824,customers!A823:$A$1001,customers!G823:$G$1001,"Ireland",0)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12"/>
        <v>136.61999999999998</v>
      </c>
      <c r="N824" t="str" cm="1">
        <f t="array" ref="N824">_xlfn.IFS(I824="Rob","Robusta",I824="Exc","Excelsa",I824="Ara","Arabica",I824="Lib","Liberica")</f>
        <v>Excelsa</v>
      </c>
      <c r="O824" t="str" cm="1">
        <f t="array" ref="O824">_xlfn.IFS(J824="M","Midium",J824="L","Light",J824="D","Dark")</f>
        <v>Light</v>
      </c>
      <c r="P824" t="str">
        <f>_xlfn.XLOOKUP(Orders[[#This Row],[Customer ID]],customers!A:A,customers!I:I,,0)</f>
        <v>No</v>
      </c>
      <c r="Q824" t="str">
        <f>_xlfn.XLOOKUP(C825,customers!A:A,customers!B:B,"مش موجود")</f>
        <v>Tess Benediktovich</v>
      </c>
    </row>
    <row r="825" spans="1:17" x14ac:dyDescent="0.25">
      <c r="A825" s="2" t="s">
        <v>5141</v>
      </c>
      <c r="B825" s="3">
        <v>44134</v>
      </c>
      <c r="C825" s="2" t="s">
        <v>5142</v>
      </c>
      <c r="D825" t="s">
        <v>6170</v>
      </c>
      <c r="E825" s="2">
        <v>3</v>
      </c>
      <c r="F825" s="2" t="str">
        <f>_xlfn.XLOOKUP(Orders[[#This Row],[Customer ID]],customers!A:A,customers!B:B)</f>
        <v>Tess Benediktovich</v>
      </c>
      <c r="G825" s="2" t="str" cm="1">
        <f t="array" ref="G825">IF(_xlfn.XLOOKUP(C825,customers!A824:$A$1001,customers!C824:$C$1001,,0)=0,"",_xlfn.XLOOKUP(C825,customers!A824:$A$1001,customers!C824:$C$1001,,0))</f>
        <v>tbenediktovichmv@ebay.com</v>
      </c>
      <c r="H825" s="2" t="str" cm="1">
        <f t="array" ref="H825">_xlfn.XLOOKUP(C825,customers!A824:$A$1001,customers!G824:$G$1001,"Ireland",0)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12"/>
        <v>47.55</v>
      </c>
      <c r="N825" t="str" cm="1">
        <f t="array" ref="N825">_xlfn.IFS(I825="Rob","Robusta",I825="Exc","Excelsa",I825="Ara","Arabica",I825="Lib","Liberica")</f>
        <v>Liberica</v>
      </c>
      <c r="O825" t="str" cm="1">
        <f t="array" ref="O825">_xlfn.IFS(J825="M","Midium",J825="L","Light",J825="D","Dark")</f>
        <v>Light</v>
      </c>
      <c r="P825" t="str">
        <f>_xlfn.XLOOKUP(Orders[[#This Row],[Customer ID]],customers!A:A,customers!I:I,,0)</f>
        <v>Yes</v>
      </c>
      <c r="Q825" t="str">
        <f>_xlfn.XLOOKUP(C826,customers!A:A,customers!B:B,"مش موجود")</f>
        <v>Correy Bourner</v>
      </c>
    </row>
    <row r="826" spans="1:17" x14ac:dyDescent="0.25">
      <c r="A826" s="2" t="s">
        <v>5147</v>
      </c>
      <c r="B826" s="3">
        <v>43781</v>
      </c>
      <c r="C826" s="2" t="s">
        <v>5148</v>
      </c>
      <c r="D826" t="s">
        <v>6152</v>
      </c>
      <c r="E826" s="2">
        <v>5</v>
      </c>
      <c r="F826" s="2" t="str">
        <f>_xlfn.XLOOKUP(Orders[[#This Row],[Customer ID]],customers!A:A,customers!B:B)</f>
        <v>Correy Bourner</v>
      </c>
      <c r="G826" s="2" t="str" cm="1">
        <f t="array" ref="G826">IF(_xlfn.XLOOKUP(C826,customers!A825:$A$1001,customers!C825:$C$1001,,0)=0,"",_xlfn.XLOOKUP(C826,customers!A825:$A$1001,customers!C825:$C$1001,,0))</f>
        <v>cbournermw@chronoengine.com</v>
      </c>
      <c r="H826" s="2" t="str" cm="1">
        <f t="array" ref="H826">_xlfn.XLOOKUP(C826,customers!A825:$A$1001,customers!G825:$G$1001,"Ireland",0)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12"/>
        <v>16.875</v>
      </c>
      <c r="N826" t="str" cm="1">
        <f t="array" ref="N826">_xlfn.IFS(I826="Rob","Robusta",I826="Exc","Excelsa",I826="Ara","Arabica",I826="Lib","Liberica")</f>
        <v>Arabica</v>
      </c>
      <c r="O826" t="str" cm="1">
        <f t="array" ref="O826">_xlfn.IFS(J826="M","Midium",J826="L","Light",J826="D","Dark")</f>
        <v>Midium</v>
      </c>
      <c r="P826" t="str">
        <f>_xlfn.XLOOKUP(Orders[[#This Row],[Customer ID]],customers!A:A,customers!I:I,,0)</f>
        <v>Yes</v>
      </c>
      <c r="Q826" t="str">
        <f>_xlfn.XLOOKUP(C827,customers!A:A,customers!B:B,"مش موجود")</f>
        <v>Odelia Skerme</v>
      </c>
    </row>
    <row r="827" spans="1:17" x14ac:dyDescent="0.25">
      <c r="A827" s="2" t="s">
        <v>5152</v>
      </c>
      <c r="B827" s="3">
        <v>44603</v>
      </c>
      <c r="C827" s="2" t="s">
        <v>5188</v>
      </c>
      <c r="D827" t="s">
        <v>6147</v>
      </c>
      <c r="E827" s="2">
        <v>3</v>
      </c>
      <c r="F827" s="2" t="str">
        <f>_xlfn.XLOOKUP(Orders[[#This Row],[Customer ID]],customers!A:A,customers!B:B)</f>
        <v>Odelia Skerme</v>
      </c>
      <c r="G827" s="2" t="str" cm="1">
        <f t="array" ref="G827">IF(_xlfn.XLOOKUP(C827,customers!A826:$A$1001,customers!C826:$C$1001,,0)=0,"",_xlfn.XLOOKUP(C827,customers!A826:$A$1001,customers!C826:$C$1001,,0))</f>
        <v>oskermen3@hatena.ne.jp</v>
      </c>
      <c r="H827" s="2" t="str" cm="1">
        <f t="array" ref="H827">_xlfn.XLOOKUP(C827,customers!A826:$A$1001,customers!G826:$G$1001,"Ireland",0)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12"/>
        <v>29.849999999999998</v>
      </c>
      <c r="N827" t="str" cm="1">
        <f t="array" ref="N827">_xlfn.IFS(I827="Rob","Robusta",I827="Exc","Excelsa",I827="Ara","Arabica",I827="Lib","Liberica")</f>
        <v>Arabica</v>
      </c>
      <c r="O827" t="str" cm="1">
        <f t="array" ref="O827">_xlfn.IFS(J827="M","Midium",J827="L","Light",J827="D","Dark")</f>
        <v>Dark</v>
      </c>
      <c r="P827" t="str">
        <f>_xlfn.XLOOKUP(Orders[[#This Row],[Customer ID]],customers!A:A,customers!I:I,,0)</f>
        <v>Yes</v>
      </c>
      <c r="Q827" t="str">
        <f>_xlfn.XLOOKUP(C828,customers!A:A,customers!B:B,"مش موجود")</f>
        <v>Kandy Heddan</v>
      </c>
    </row>
    <row r="828" spans="1:17" x14ac:dyDescent="0.25">
      <c r="A828" s="2" t="s">
        <v>5158</v>
      </c>
      <c r="B828" s="3">
        <v>44283</v>
      </c>
      <c r="C828" s="2" t="s">
        <v>5159</v>
      </c>
      <c r="D828" t="s">
        <v>6139</v>
      </c>
      <c r="E828" s="2">
        <v>5</v>
      </c>
      <c r="F828" s="2" t="str">
        <f>_xlfn.XLOOKUP(Orders[[#This Row],[Customer ID]],customers!A:A,customers!B:B)</f>
        <v>Kandy Heddan</v>
      </c>
      <c r="G828" s="2" t="str" cm="1">
        <f t="array" ref="G828">IF(_xlfn.XLOOKUP(C828,customers!A827:$A$1001,customers!C827:$C$1001,,0)=0,"",_xlfn.XLOOKUP(C828,customers!A827:$A$1001,customers!C827:$C$1001,,0))</f>
        <v>kheddanmy@icq.com</v>
      </c>
      <c r="H828" s="2" t="str" cm="1">
        <f t="array" ref="H828">_xlfn.XLOOKUP(C828,customers!A827:$A$1001,customers!G827:$G$1001,"Ireland",0)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12"/>
        <v>41.25</v>
      </c>
      <c r="N828" t="str" cm="1">
        <f t="array" ref="N828">_xlfn.IFS(I828="Rob","Robusta",I828="Exc","Excelsa",I828="Ara","Arabica",I828="Lib","Liberica")</f>
        <v>Excelsa</v>
      </c>
      <c r="O828" t="str" cm="1">
        <f t="array" ref="O828">_xlfn.IFS(J828="M","Midium",J828="L","Light",J828="D","Dark")</f>
        <v>Midium</v>
      </c>
      <c r="P828" t="str">
        <f>_xlfn.XLOOKUP(Orders[[#This Row],[Customer ID]],customers!A:A,customers!I:I,,0)</f>
        <v>Yes</v>
      </c>
      <c r="Q828" t="str">
        <f>_xlfn.XLOOKUP(C829,customers!A:A,customers!B:B,"مش موجود")</f>
        <v>Ibby Charters</v>
      </c>
    </row>
    <row r="829" spans="1:17" x14ac:dyDescent="0.25">
      <c r="A829" s="2" t="s">
        <v>5164</v>
      </c>
      <c r="B829" s="3">
        <v>44540</v>
      </c>
      <c r="C829" s="2" t="s">
        <v>5165</v>
      </c>
      <c r="D829" t="s">
        <v>6156</v>
      </c>
      <c r="E829" s="2">
        <v>5</v>
      </c>
      <c r="F829" s="2" t="str">
        <f>_xlfn.XLOOKUP(Orders[[#This Row],[Customer ID]],customers!A:A,customers!B:B)</f>
        <v>Ibby Charters</v>
      </c>
      <c r="G829" s="2" t="str" cm="1">
        <f t="array" ref="G829">IF(_xlfn.XLOOKUP(C829,customers!A828:$A$1001,customers!C828:$C$1001,,0)=0,"",_xlfn.XLOOKUP(C829,customers!A828:$A$1001,customers!C828:$C$1001,,0))</f>
        <v>ichartersmz@abc.net.au</v>
      </c>
      <c r="H829" s="2" t="str" cm="1">
        <f t="array" ref="H829">_xlfn.XLOOKUP(C829,customers!A828:$A$1001,customers!G828:$G$1001,"Ireland",0)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12"/>
        <v>20.625</v>
      </c>
      <c r="N829" t="str" cm="1">
        <f t="array" ref="N829">_xlfn.IFS(I829="Rob","Robusta",I829="Exc","Excelsa",I829="Ara","Arabica",I829="Lib","Liberica")</f>
        <v>Excelsa</v>
      </c>
      <c r="O829" t="str" cm="1">
        <f t="array" ref="O829">_xlfn.IFS(J829="M","Midium",J829="L","Light",J829="D","Dark")</f>
        <v>Midium</v>
      </c>
      <c r="P829" t="str">
        <f>_xlfn.XLOOKUP(Orders[[#This Row],[Customer ID]],customers!A:A,customers!I:I,,0)</f>
        <v>No</v>
      </c>
      <c r="Q829" t="str">
        <f>_xlfn.XLOOKUP(C830,customers!A:A,customers!B:B,"مش موجود")</f>
        <v>Adora Roubert</v>
      </c>
    </row>
    <row r="830" spans="1:17" x14ac:dyDescent="0.25">
      <c r="A830" s="2" t="s">
        <v>5170</v>
      </c>
      <c r="B830" s="3">
        <v>44505</v>
      </c>
      <c r="C830" s="2" t="s">
        <v>5171</v>
      </c>
      <c r="D830" t="s">
        <v>6168</v>
      </c>
      <c r="E830" s="2">
        <v>6</v>
      </c>
      <c r="F830" s="2" t="str">
        <f>_xlfn.XLOOKUP(Orders[[#This Row],[Customer ID]],customers!A:A,customers!B:B)</f>
        <v>Adora Roubert</v>
      </c>
      <c r="G830" s="2" t="str" cm="1">
        <f t="array" ref="G830">IF(_xlfn.XLOOKUP(C830,customers!A829:$A$1001,customers!C829:$C$1001,,0)=0,"",_xlfn.XLOOKUP(C830,customers!A829:$A$1001,customers!C829:$C$1001,,0))</f>
        <v>aroubertn0@tmall.com</v>
      </c>
      <c r="H830" s="2" t="str" cm="1">
        <f t="array" ref="H830">_xlfn.XLOOKUP(C830,customers!A829:$A$1001,customers!G829:$G$1001,"Ireland",0)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12"/>
        <v>137.31</v>
      </c>
      <c r="N830" t="str" cm="1">
        <f t="array" ref="N830">_xlfn.IFS(I830="Rob","Robusta",I830="Exc","Excelsa",I830="Ara","Arabica",I830="Lib","Liberica")</f>
        <v>Arabica</v>
      </c>
      <c r="O830" t="str" cm="1">
        <f t="array" ref="O830">_xlfn.IFS(J830="M","Midium",J830="L","Light",J830="D","Dark")</f>
        <v>Dark</v>
      </c>
      <c r="P830" t="str">
        <f>_xlfn.XLOOKUP(Orders[[#This Row],[Customer ID]],customers!A:A,customers!I:I,,0)</f>
        <v>Yes</v>
      </c>
      <c r="Q830" t="str">
        <f>_xlfn.XLOOKUP(C831,customers!A:A,customers!B:B,"مش موجود")</f>
        <v>Hillel Mairs</v>
      </c>
    </row>
    <row r="831" spans="1:17" x14ac:dyDescent="0.25">
      <c r="A831" s="2" t="s">
        <v>5176</v>
      </c>
      <c r="B831" s="3">
        <v>43890</v>
      </c>
      <c r="C831" s="2" t="s">
        <v>5177</v>
      </c>
      <c r="D831" t="s">
        <v>6154</v>
      </c>
      <c r="E831" s="2">
        <v>1</v>
      </c>
      <c r="F831" s="2" t="str">
        <f>_xlfn.XLOOKUP(Orders[[#This Row],[Customer ID]],customers!A:A,customers!B:B)</f>
        <v>Hillel Mairs</v>
      </c>
      <c r="G831" s="2" t="str" cm="1">
        <f t="array" ref="G831">IF(_xlfn.XLOOKUP(C831,customers!A830:$A$1001,customers!C830:$C$1001,,0)=0,"",_xlfn.XLOOKUP(C831,customers!A830:$A$1001,customers!C830:$C$1001,,0))</f>
        <v>hmairsn1@so-net.ne.jp</v>
      </c>
      <c r="H831" s="2" t="str" cm="1">
        <f t="array" ref="H831">_xlfn.XLOOKUP(C831,customers!A830:$A$1001,customers!G830:$G$1001,"Ireland",0)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12"/>
        <v>2.9849999999999999</v>
      </c>
      <c r="N831" t="str" cm="1">
        <f t="array" ref="N831">_xlfn.IFS(I831="Rob","Robusta",I831="Exc","Excelsa",I831="Ara","Arabica",I831="Lib","Liberica")</f>
        <v>Arabica</v>
      </c>
      <c r="O831" t="str" cm="1">
        <f t="array" ref="O831">_xlfn.IFS(J831="M","Midium",J831="L","Light",J831="D","Dark")</f>
        <v>Dark</v>
      </c>
      <c r="P831" t="str">
        <f>_xlfn.XLOOKUP(Orders[[#This Row],[Customer ID]],customers!A:A,customers!I:I,,0)</f>
        <v>No</v>
      </c>
      <c r="Q831" t="str">
        <f>_xlfn.XLOOKUP(C832,customers!A:A,customers!B:B,"مش موجود")</f>
        <v>Helaina Rainforth</v>
      </c>
    </row>
    <row r="832" spans="1:17" x14ac:dyDescent="0.25">
      <c r="A832" s="2" t="s">
        <v>5182</v>
      </c>
      <c r="B832" s="3">
        <v>44414</v>
      </c>
      <c r="C832" s="2" t="s">
        <v>5183</v>
      </c>
      <c r="D832" t="s">
        <v>6141</v>
      </c>
      <c r="E832" s="2">
        <v>2</v>
      </c>
      <c r="F832" s="2" t="str">
        <f>_xlfn.XLOOKUP(Orders[[#This Row],[Customer ID]],customers!A:A,customers!B:B)</f>
        <v>Helaina Rainforth</v>
      </c>
      <c r="G832" s="2" t="str" cm="1">
        <f t="array" ref="G832">IF(_xlfn.XLOOKUP(C832,customers!A831:$A$1001,customers!C831:$C$1001,,0)=0,"",_xlfn.XLOOKUP(C832,customers!A831:$A$1001,customers!C831:$C$1001,,0))</f>
        <v>hrainforthn2@blog.com</v>
      </c>
      <c r="H832" s="2" t="str" cm="1">
        <f t="array" ref="H832">_xlfn.XLOOKUP(C832,customers!A831:$A$1001,customers!G831:$G$1001,"Ireland",0)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12"/>
        <v>27.5</v>
      </c>
      <c r="N832" t="str" cm="1">
        <f t="array" ref="N832">_xlfn.IFS(I832="Rob","Robusta",I832="Exc","Excelsa",I832="Ara","Arabica",I832="Lib","Liberica")</f>
        <v>Excelsa</v>
      </c>
      <c r="O832" t="str" cm="1">
        <f t="array" ref="O832">_xlfn.IFS(J832="M","Midium",J832="L","Light",J832="D","Dark")</f>
        <v>Midium</v>
      </c>
      <c r="P832" t="str">
        <f>_xlfn.XLOOKUP(Orders[[#This Row],[Customer ID]],customers!A:A,customers!I:I,,0)</f>
        <v>No</v>
      </c>
      <c r="Q832" t="str">
        <f>_xlfn.XLOOKUP(C833,customers!A:A,customers!B:B,"مش موجود")</f>
        <v>Helaina Rainforth</v>
      </c>
    </row>
    <row r="833" spans="1:17" x14ac:dyDescent="0.25">
      <c r="A833" s="2" t="s">
        <v>5182</v>
      </c>
      <c r="B833" s="3">
        <v>44414</v>
      </c>
      <c r="C833" s="2" t="s">
        <v>5183</v>
      </c>
      <c r="D833" t="s">
        <v>6154</v>
      </c>
      <c r="E833" s="2">
        <v>2</v>
      </c>
      <c r="F833" s="2" t="str">
        <f>_xlfn.XLOOKUP(Orders[[#This Row],[Customer ID]],customers!A:A,customers!B:B)</f>
        <v>Helaina Rainforth</v>
      </c>
      <c r="G833" s="2" t="str" cm="1">
        <f t="array" ref="G833">IF(_xlfn.XLOOKUP(C833,customers!A832:$A$1001,customers!C832:$C$1001,,0)=0,"",_xlfn.XLOOKUP(C833,customers!A832:$A$1001,customers!C832:$C$1001,,0))</f>
        <v>hrainforthn2@blog.com</v>
      </c>
      <c r="H833" s="2" t="str" cm="1">
        <f t="array" ref="H833">_xlfn.XLOOKUP(C833,customers!A832:$A$1001,customers!G832:$G$1001,"Ireland",0)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12"/>
        <v>5.97</v>
      </c>
      <c r="N833" t="str" cm="1">
        <f t="array" ref="N833">_xlfn.IFS(I833="Rob","Robusta",I833="Exc","Excelsa",I833="Ara","Arabica",I833="Lib","Liberica")</f>
        <v>Arabica</v>
      </c>
      <c r="O833" t="str" cm="1">
        <f t="array" ref="O833">_xlfn.IFS(J833="M","Midium",J833="L","Light",J833="D","Dark")</f>
        <v>Dark</v>
      </c>
      <c r="P833" t="str">
        <f>_xlfn.XLOOKUP(Orders[[#This Row],[Customer ID]],customers!A:A,customers!I:I,,0)</f>
        <v>No</v>
      </c>
      <c r="Q833" t="str">
        <f>_xlfn.XLOOKUP(C834,customers!A:A,customers!B:B,"مش موجود")</f>
        <v>Isac Jesper</v>
      </c>
    </row>
    <row r="834" spans="1:17" x14ac:dyDescent="0.25">
      <c r="A834" s="2" t="s">
        <v>5193</v>
      </c>
      <c r="B834" s="3">
        <v>44274</v>
      </c>
      <c r="C834" s="2" t="s">
        <v>5194</v>
      </c>
      <c r="D834" t="s">
        <v>6138</v>
      </c>
      <c r="E834" s="2">
        <v>6</v>
      </c>
      <c r="F834" s="2" t="str">
        <f>_xlfn.XLOOKUP(Orders[[#This Row],[Customer ID]],customers!A:A,customers!B:B)</f>
        <v>Isac Jesper</v>
      </c>
      <c r="G834" s="2" t="str" cm="1">
        <f t="array" ref="G834">IF(_xlfn.XLOOKUP(C834,customers!A833:$A$1001,customers!C833:$C$1001,,0)=0,"",_xlfn.XLOOKUP(C834,customers!A833:$A$1001,customers!C833:$C$1001,,0))</f>
        <v>ijespern4@theglobeandmail.com</v>
      </c>
      <c r="H834" s="2" t="str" cm="1">
        <f t="array" ref="H834">_xlfn.XLOOKUP(C834,customers!A833:$A$1001,customers!G833:$G$1001,"Ireland",0)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12"/>
        <v>59.699999999999996</v>
      </c>
      <c r="N834" t="str" cm="1">
        <f t="array" ref="N834">_xlfn.IFS(I834="Rob","Robusta",I834="Exc","Excelsa",I834="Ara","Arabica",I834="Lib","Liberica")</f>
        <v>Robusta</v>
      </c>
      <c r="O834" t="str" cm="1">
        <f t="array" ref="O834">_xlfn.IFS(J834="M","Midium",J834="L","Light",J834="D","Dark")</f>
        <v>Midium</v>
      </c>
      <c r="P834" t="str">
        <f>_xlfn.XLOOKUP(Orders[[#This Row],[Customer ID]],customers!A:A,customers!I:I,,0)</f>
        <v>No</v>
      </c>
      <c r="Q834" t="str">
        <f>_xlfn.XLOOKUP(C835,customers!A:A,customers!B:B,"مش موجود")</f>
        <v>Lenette Dwerryhouse</v>
      </c>
    </row>
    <row r="835" spans="1:17" x14ac:dyDescent="0.25">
      <c r="A835" s="2" t="s">
        <v>5199</v>
      </c>
      <c r="B835" s="3">
        <v>44302</v>
      </c>
      <c r="C835" s="2" t="s">
        <v>5200</v>
      </c>
      <c r="D835" t="s">
        <v>6149</v>
      </c>
      <c r="E835" s="2">
        <v>4</v>
      </c>
      <c r="F835" s="2" t="str">
        <f>_xlfn.XLOOKUP(Orders[[#This Row],[Customer ID]],customers!A:A,customers!B:B)</f>
        <v>Lenette Dwerryhouse</v>
      </c>
      <c r="G835" s="2" t="str" cm="1">
        <f t="array" ref="G835">IF(_xlfn.XLOOKUP(C835,customers!A834:$A$1001,customers!C834:$C$1001,,0)=0,"",_xlfn.XLOOKUP(C835,customers!A834:$A$1001,customers!C834:$C$1001,,0))</f>
        <v>ldwerryhousen5@gravatar.com</v>
      </c>
      <c r="H835" s="2" t="str" cm="1">
        <f t="array" ref="H835">_xlfn.XLOOKUP(C835,customers!A834:$A$1001,customers!G834:$G$1001,"Ireland",0)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13">L835*E835</f>
        <v>82.339999999999989</v>
      </c>
      <c r="N835" t="str" cm="1">
        <f t="array" ref="N835">_xlfn.IFS(I835="Rob","Robusta",I835="Exc","Excelsa",I835="Ara","Arabica",I835="Lib","Liberica")</f>
        <v>Robusta</v>
      </c>
      <c r="O835" t="str" cm="1">
        <f t="array" ref="O835">_xlfn.IFS(J835="M","Midium",J835="L","Light",J835="D","Dark")</f>
        <v>Dark</v>
      </c>
      <c r="P835" t="str">
        <f>_xlfn.XLOOKUP(Orders[[#This Row],[Customer ID]],customers!A:A,customers!I:I,,0)</f>
        <v>Yes</v>
      </c>
      <c r="Q835" t="str">
        <f>_xlfn.XLOOKUP(C836,customers!A:A,customers!B:B,"مش موجود")</f>
        <v>Nadeen Broomer</v>
      </c>
    </row>
    <row r="836" spans="1:17" x14ac:dyDescent="0.25">
      <c r="A836" s="2" t="s">
        <v>5205</v>
      </c>
      <c r="B836" s="3">
        <v>44141</v>
      </c>
      <c r="C836" s="2" t="s">
        <v>5206</v>
      </c>
      <c r="D836" t="s">
        <v>6168</v>
      </c>
      <c r="E836" s="2">
        <v>1</v>
      </c>
      <c r="F836" s="2" t="str">
        <f>_xlfn.XLOOKUP(Orders[[#This Row],[Customer ID]],customers!A:A,customers!B:B)</f>
        <v>Nadeen Broomer</v>
      </c>
      <c r="G836" s="2" t="str" cm="1">
        <f t="array" ref="G836">IF(_xlfn.XLOOKUP(C836,customers!A835:$A$1001,customers!C835:$C$1001,,0)=0,"",_xlfn.XLOOKUP(C836,customers!A835:$A$1001,customers!C835:$C$1001,,0))</f>
        <v>nbroomern6@examiner.com</v>
      </c>
      <c r="H836" s="2" t="str" cm="1">
        <f t="array" ref="H836">_xlfn.XLOOKUP(C836,customers!A835:$A$1001,customers!G835:$G$1001,"Ireland",0)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13"/>
        <v>22.884999999999998</v>
      </c>
      <c r="N836" t="str" cm="1">
        <f t="array" ref="N836">_xlfn.IFS(I836="Rob","Robusta",I836="Exc","Excelsa",I836="Ara","Arabica",I836="Lib","Liberica")</f>
        <v>Arabica</v>
      </c>
      <c r="O836" t="str" cm="1">
        <f t="array" ref="O836">_xlfn.IFS(J836="M","Midium",J836="L","Light",J836="D","Dark")</f>
        <v>Dark</v>
      </c>
      <c r="P836" t="str">
        <f>_xlfn.XLOOKUP(Orders[[#This Row],[Customer ID]],customers!A:A,customers!I:I,,0)</f>
        <v>No</v>
      </c>
      <c r="Q836" t="str">
        <f>_xlfn.XLOOKUP(C837,customers!A:A,customers!B:B,"مش موجود")</f>
        <v>Konstantine Thoumasson</v>
      </c>
    </row>
    <row r="837" spans="1:17" x14ac:dyDescent="0.25">
      <c r="A837" s="2" t="s">
        <v>5211</v>
      </c>
      <c r="B837" s="3">
        <v>44270</v>
      </c>
      <c r="C837" s="2" t="s">
        <v>5212</v>
      </c>
      <c r="D837" t="s">
        <v>6176</v>
      </c>
      <c r="E837" s="2">
        <v>1</v>
      </c>
      <c r="F837" s="2" t="str">
        <f>_xlfn.XLOOKUP(Orders[[#This Row],[Customer ID]],customers!A:A,customers!B:B)</f>
        <v>Konstantine Thoumasson</v>
      </c>
      <c r="G837" s="2" t="str" cm="1">
        <f t="array" ref="G837">IF(_xlfn.XLOOKUP(C837,customers!A836:$A$1001,customers!C836:$C$1001,,0)=0,"",_xlfn.XLOOKUP(C837,customers!A836:$A$1001,customers!C836:$C$1001,,0))</f>
        <v>kthoumassonn7@bloglovin.com</v>
      </c>
      <c r="H837" s="2" t="str" cm="1">
        <f t="array" ref="H837">_xlfn.XLOOKUP(C837,customers!A836:$A$1001,customers!G836:$G$1001,"Ireland",0)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13"/>
        <v>8.91</v>
      </c>
      <c r="N837" t="str" cm="1">
        <f t="array" ref="N837">_xlfn.IFS(I837="Rob","Robusta",I837="Exc","Excelsa",I837="Ara","Arabica",I837="Lib","Liberica")</f>
        <v>Excelsa</v>
      </c>
      <c r="O837" t="str" cm="1">
        <f t="array" ref="O837">_xlfn.IFS(J837="M","Midium",J837="L","Light",J837="D","Dark")</f>
        <v>Light</v>
      </c>
      <c r="P837" t="str">
        <f>_xlfn.XLOOKUP(Orders[[#This Row],[Customer ID]],customers!A:A,customers!I:I,,0)</f>
        <v>Yes</v>
      </c>
      <c r="Q837" t="str">
        <f>_xlfn.XLOOKUP(C838,customers!A:A,customers!B:B,"مش موجود")</f>
        <v>Frans Habbergham</v>
      </c>
    </row>
    <row r="838" spans="1:17" x14ac:dyDescent="0.25">
      <c r="A838" s="2" t="s">
        <v>5216</v>
      </c>
      <c r="B838" s="3">
        <v>44486</v>
      </c>
      <c r="C838" s="2" t="s">
        <v>5217</v>
      </c>
      <c r="D838" t="s">
        <v>6154</v>
      </c>
      <c r="E838" s="2">
        <v>4</v>
      </c>
      <c r="F838" s="2" t="str">
        <f>_xlfn.XLOOKUP(Orders[[#This Row],[Customer ID]],customers!A:A,customers!B:B)</f>
        <v>Frans Habbergham</v>
      </c>
      <c r="G838" s="2" t="str" cm="1">
        <f t="array" ref="G838">IF(_xlfn.XLOOKUP(C838,customers!A837:$A$1001,customers!C837:$C$1001,,0)=0,"",_xlfn.XLOOKUP(C838,customers!A837:$A$1001,customers!C837:$C$1001,,0))</f>
        <v>fhabberghamn8@discovery.com</v>
      </c>
      <c r="H838" s="2" t="str" cm="1">
        <f t="array" ref="H838">_xlfn.XLOOKUP(C838,customers!A837:$A$1001,customers!G837:$G$1001,"Ireland",0)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13"/>
        <v>11.94</v>
      </c>
      <c r="N838" t="str" cm="1">
        <f t="array" ref="N838">_xlfn.IFS(I838="Rob","Robusta",I838="Exc","Excelsa",I838="Ara","Arabica",I838="Lib","Liberica")</f>
        <v>Arabica</v>
      </c>
      <c r="O838" t="str" cm="1">
        <f t="array" ref="O838">_xlfn.IFS(J838="M","Midium",J838="L","Light",J838="D","Dark")</f>
        <v>Dark</v>
      </c>
      <c r="P838" t="str">
        <f>_xlfn.XLOOKUP(Orders[[#This Row],[Customer ID]],customers!A:A,customers!I:I,,0)</f>
        <v>No</v>
      </c>
      <c r="Q838" t="str">
        <f>_xlfn.XLOOKUP(C839,customers!A:A,customers!B:B,"مش موجود")</f>
        <v>Allis Wilmore</v>
      </c>
    </row>
    <row r="839" spans="1:17" x14ac:dyDescent="0.25">
      <c r="A839" s="2" t="s">
        <v>5222</v>
      </c>
      <c r="B839" s="3">
        <v>43715</v>
      </c>
      <c r="C839" s="2" t="s">
        <v>5113</v>
      </c>
      <c r="D839" t="s">
        <v>6181</v>
      </c>
      <c r="E839" s="2">
        <v>3</v>
      </c>
      <c r="F839" s="2" t="str">
        <f>_xlfn.XLOOKUP(Orders[[#This Row],[Customer ID]],customers!A:A,customers!B:B)</f>
        <v>Allis Wilmore</v>
      </c>
      <c r="G839" s="2" t="e" cm="1">
        <f t="array" ref="G839">IF(_xlfn.XLOOKUP(C839,customers!A838:$A$1001,customers!C838:$C$1001,,0)=0,"",_xlfn.XLOOKUP(C839,customers!A838:$A$1001,customers!C838:$C$1001,,0))</f>
        <v>#N/A</v>
      </c>
      <c r="H839" s="2" t="str" cm="1">
        <f t="array" ref="H839">_xlfn.XLOOKUP(C839,customers!A838:$A$1001,customers!G838:$G$1001,"Ireland",0)</f>
        <v>Ireland</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13"/>
        <v>100.39499999999998</v>
      </c>
      <c r="N839" t="str" cm="1">
        <f t="array" ref="N839">_xlfn.IFS(I839="Rob","Robusta",I839="Exc","Excelsa",I839="Ara","Arabica",I839="Lib","Liberica")</f>
        <v>Liberica</v>
      </c>
      <c r="O839" t="str" cm="1">
        <f t="array" ref="O839">_xlfn.IFS(J839="M","Midium",J839="L","Light",J839="D","Dark")</f>
        <v>Midium</v>
      </c>
      <c r="P839" t="str">
        <f>_xlfn.XLOOKUP(Orders[[#This Row],[Customer ID]],customers!A:A,customers!I:I,,0)</f>
        <v>No</v>
      </c>
      <c r="Q839" t="str">
        <f>_xlfn.XLOOKUP(C840,customers!A:A,customers!B:B,"مش موجود")</f>
        <v>Romain Avrashin</v>
      </c>
    </row>
    <row r="840" spans="1:17" x14ac:dyDescent="0.25">
      <c r="A840" s="2" t="s">
        <v>5228</v>
      </c>
      <c r="B840" s="3">
        <v>44755</v>
      </c>
      <c r="C840" s="2" t="s">
        <v>5229</v>
      </c>
      <c r="D840" t="s">
        <v>6168</v>
      </c>
      <c r="E840" s="2">
        <v>5</v>
      </c>
      <c r="F840" s="2" t="str">
        <f>_xlfn.XLOOKUP(Orders[[#This Row],[Customer ID]],customers!A:A,customers!B:B)</f>
        <v>Romain Avrashin</v>
      </c>
      <c r="G840" s="2" t="str" cm="1">
        <f t="array" ref="G840">IF(_xlfn.XLOOKUP(C840,customers!A839:$A$1001,customers!C839:$C$1001,,0)=0,"",_xlfn.XLOOKUP(C840,customers!A839:$A$1001,customers!C839:$C$1001,,0))</f>
        <v>ravrashinna@tamu.edu</v>
      </c>
      <c r="H840" s="2" t="str" cm="1">
        <f t="array" ref="H840">_xlfn.XLOOKUP(C840,customers!A839:$A$1001,customers!G839:$G$1001,"Ireland",0)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13"/>
        <v>114.42499999999998</v>
      </c>
      <c r="N840" t="str" cm="1">
        <f t="array" ref="N840">_xlfn.IFS(I840="Rob","Robusta",I840="Exc","Excelsa",I840="Ara","Arabica",I840="Lib","Liberica")</f>
        <v>Arabica</v>
      </c>
      <c r="O840" t="str" cm="1">
        <f t="array" ref="O840">_xlfn.IFS(J840="M","Midium",J840="L","Light",J840="D","Dark")</f>
        <v>Dark</v>
      </c>
      <c r="P840" t="str">
        <f>_xlfn.XLOOKUP(Orders[[#This Row],[Customer ID]],customers!A:A,customers!I:I,,0)</f>
        <v>No</v>
      </c>
      <c r="Q840" t="str">
        <f>_xlfn.XLOOKUP(C841,customers!A:A,customers!B:B,"مش موجود")</f>
        <v>Miran Doidge</v>
      </c>
    </row>
    <row r="841" spans="1:17" x14ac:dyDescent="0.25">
      <c r="A841" s="2" t="s">
        <v>5234</v>
      </c>
      <c r="B841" s="3">
        <v>44521</v>
      </c>
      <c r="C841" s="2" t="s">
        <v>5235</v>
      </c>
      <c r="D841" t="s">
        <v>6139</v>
      </c>
      <c r="E841" s="2">
        <v>5</v>
      </c>
      <c r="F841" s="2" t="str">
        <f>_xlfn.XLOOKUP(Orders[[#This Row],[Customer ID]],customers!A:A,customers!B:B)</f>
        <v>Miran Doidge</v>
      </c>
      <c r="G841" s="2" t="str" cm="1">
        <f t="array" ref="G841">IF(_xlfn.XLOOKUP(C841,customers!A840:$A$1001,customers!C840:$C$1001,,0)=0,"",_xlfn.XLOOKUP(C841,customers!A840:$A$1001,customers!C840:$C$1001,,0))</f>
        <v>mdoidgenb@etsy.com</v>
      </c>
      <c r="H841" s="2" t="str" cm="1">
        <f t="array" ref="H841">_xlfn.XLOOKUP(C841,customers!A840:$A$1001,customers!G840:$G$1001,"Ireland",0)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13"/>
        <v>41.25</v>
      </c>
      <c r="N841" t="str" cm="1">
        <f t="array" ref="N841">_xlfn.IFS(I841="Rob","Robusta",I841="Exc","Excelsa",I841="Ara","Arabica",I841="Lib","Liberica")</f>
        <v>Excelsa</v>
      </c>
      <c r="O841" t="str" cm="1">
        <f t="array" ref="O841">_xlfn.IFS(J841="M","Midium",J841="L","Light",J841="D","Dark")</f>
        <v>Midium</v>
      </c>
      <c r="P841" t="str">
        <f>_xlfn.XLOOKUP(Orders[[#This Row],[Customer ID]],customers!A:A,customers!I:I,,0)</f>
        <v>No</v>
      </c>
      <c r="Q841" t="str">
        <f>_xlfn.XLOOKUP(C842,customers!A:A,customers!B:B,"مش موجود")</f>
        <v>Janeva Edinboro</v>
      </c>
    </row>
    <row r="842" spans="1:17" x14ac:dyDescent="0.25">
      <c r="A842" s="2" t="s">
        <v>5240</v>
      </c>
      <c r="B842" s="3">
        <v>44574</v>
      </c>
      <c r="C842" s="2" t="s">
        <v>5241</v>
      </c>
      <c r="D842" t="s">
        <v>6173</v>
      </c>
      <c r="E842" s="2">
        <v>4</v>
      </c>
      <c r="F842" s="2" t="str">
        <f>_xlfn.XLOOKUP(Orders[[#This Row],[Customer ID]],customers!A:A,customers!B:B)</f>
        <v>Janeva Edinboro</v>
      </c>
      <c r="G842" s="2" t="str" cm="1">
        <f t="array" ref="G842">IF(_xlfn.XLOOKUP(C842,customers!A841:$A$1001,customers!C841:$C$1001,,0)=0,"",_xlfn.XLOOKUP(C842,customers!A841:$A$1001,customers!C841:$C$1001,,0))</f>
        <v>jedinboronc@reverbnation.com</v>
      </c>
      <c r="H842" s="2" t="str" cm="1">
        <f t="array" ref="H842">_xlfn.XLOOKUP(C842,customers!A841:$A$1001,customers!G841:$G$1001,"Ireland",0)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13"/>
        <v>28.679999999999996</v>
      </c>
      <c r="N842" t="str" cm="1">
        <f t="array" ref="N842">_xlfn.IFS(I842="Rob","Robusta",I842="Exc","Excelsa",I842="Ara","Arabica",I842="Lib","Liberica")</f>
        <v>Robusta</v>
      </c>
      <c r="O842" t="str" cm="1">
        <f t="array" ref="O842">_xlfn.IFS(J842="M","Midium",J842="L","Light",J842="D","Dark")</f>
        <v>Light</v>
      </c>
      <c r="P842" t="str">
        <f>_xlfn.XLOOKUP(Orders[[#This Row],[Customer ID]],customers!A:A,customers!I:I,,0)</f>
        <v>Yes</v>
      </c>
      <c r="Q842" t="str">
        <f>_xlfn.XLOOKUP(C843,customers!A:A,customers!B:B,"مش موجود")</f>
        <v>Trumaine Tewelson</v>
      </c>
    </row>
    <row r="843" spans="1:17" x14ac:dyDescent="0.25">
      <c r="A843" s="2" t="s">
        <v>5246</v>
      </c>
      <c r="B843" s="3">
        <v>44755</v>
      </c>
      <c r="C843" s="2" t="s">
        <v>5247</v>
      </c>
      <c r="D843" t="s">
        <v>6159</v>
      </c>
      <c r="E843" s="2">
        <v>1</v>
      </c>
      <c r="F843" s="2" t="str">
        <f>_xlfn.XLOOKUP(Orders[[#This Row],[Customer ID]],customers!A:A,customers!B:B)</f>
        <v>Trumaine Tewelson</v>
      </c>
      <c r="G843" s="2" t="str" cm="1">
        <f t="array" ref="G843">IF(_xlfn.XLOOKUP(C843,customers!A842:$A$1001,customers!C842:$C$1001,,0)=0,"",_xlfn.XLOOKUP(C843,customers!A842:$A$1001,customers!C842:$C$1001,,0))</f>
        <v>ttewelsonnd@cdbaby.com</v>
      </c>
      <c r="H843" s="2" t="str" cm="1">
        <f t="array" ref="H843">_xlfn.XLOOKUP(C843,customers!A842:$A$1001,customers!G842:$G$1001,"Ireland",0)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13"/>
        <v>4.3650000000000002</v>
      </c>
      <c r="N843" t="str" cm="1">
        <f t="array" ref="N843">_xlfn.IFS(I843="Rob","Robusta",I843="Exc","Excelsa",I843="Ara","Arabica",I843="Lib","Liberica")</f>
        <v>Liberica</v>
      </c>
      <c r="O843" t="str" cm="1">
        <f t="array" ref="O843">_xlfn.IFS(J843="M","Midium",J843="L","Light",J843="D","Dark")</f>
        <v>Midium</v>
      </c>
      <c r="P843" t="str">
        <f>_xlfn.XLOOKUP(Orders[[#This Row],[Customer ID]],customers!A:A,customers!I:I,,0)</f>
        <v>No</v>
      </c>
      <c r="Q843" t="str">
        <f>_xlfn.XLOOKUP(C844,customers!A:A,customers!B:B,"مش موجود")</f>
        <v>Odelia Skerme</v>
      </c>
    </row>
    <row r="844" spans="1:17" x14ac:dyDescent="0.25">
      <c r="A844" s="2" t="s">
        <v>5251</v>
      </c>
      <c r="B844" s="3">
        <v>44502</v>
      </c>
      <c r="C844" s="2" t="s">
        <v>5188</v>
      </c>
      <c r="D844" t="s">
        <v>6156</v>
      </c>
      <c r="E844" s="2">
        <v>2</v>
      </c>
      <c r="F844" s="2" t="str">
        <f>_xlfn.XLOOKUP(Orders[[#This Row],[Customer ID]],customers!A:A,customers!B:B)</f>
        <v>Odelia Skerme</v>
      </c>
      <c r="G844" s="2" t="e" cm="1">
        <f t="array" ref="G844">IF(_xlfn.XLOOKUP(C844,customers!A843:$A$1001,customers!C843:$C$1001,,0)=0,"",_xlfn.XLOOKUP(C844,customers!A843:$A$1001,customers!C843:$C$1001,,0))</f>
        <v>#N/A</v>
      </c>
      <c r="H844" s="2" t="str" cm="1">
        <f t="array" ref="H844">_xlfn.XLOOKUP(C844,customers!A843:$A$1001,customers!G843:$G$1001,"Ireland",0)</f>
        <v>Ireland</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13"/>
        <v>8.25</v>
      </c>
      <c r="N844" t="str" cm="1">
        <f t="array" ref="N844">_xlfn.IFS(I844="Rob","Robusta",I844="Exc","Excelsa",I844="Ara","Arabica",I844="Lib","Liberica")</f>
        <v>Excelsa</v>
      </c>
      <c r="O844" t="str" cm="1">
        <f t="array" ref="O844">_xlfn.IFS(J844="M","Midium",J844="L","Light",J844="D","Dark")</f>
        <v>Midium</v>
      </c>
      <c r="P844" t="str">
        <f>_xlfn.XLOOKUP(Orders[[#This Row],[Customer ID]],customers!A:A,customers!I:I,,0)</f>
        <v>Yes</v>
      </c>
      <c r="Q844" t="str">
        <f>_xlfn.XLOOKUP(C845,customers!A:A,customers!B:B,"مش موجود")</f>
        <v>De Drewitt</v>
      </c>
    </row>
    <row r="845" spans="1:17" x14ac:dyDescent="0.25">
      <c r="A845" s="2" t="s">
        <v>5256</v>
      </c>
      <c r="B845" s="3">
        <v>44387</v>
      </c>
      <c r="C845" s="2" t="s">
        <v>5257</v>
      </c>
      <c r="D845" t="s">
        <v>6156</v>
      </c>
      <c r="E845" s="2">
        <v>2</v>
      </c>
      <c r="F845" s="2" t="str">
        <f>_xlfn.XLOOKUP(Orders[[#This Row],[Customer ID]],customers!A:A,customers!B:B)</f>
        <v>De Drewitt</v>
      </c>
      <c r="G845" s="2" t="str" cm="1">
        <f t="array" ref="G845">IF(_xlfn.XLOOKUP(C845,customers!A844:$A$1001,customers!C844:$C$1001,,0)=0,"",_xlfn.XLOOKUP(C845,customers!A844:$A$1001,customers!C844:$C$1001,,0))</f>
        <v>ddrewittnf@mapquest.com</v>
      </c>
      <c r="H845" s="2" t="str" cm="1">
        <f t="array" ref="H845">_xlfn.XLOOKUP(C845,customers!A844:$A$1001,customers!G844:$G$1001,"Ireland",0)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13"/>
        <v>8.25</v>
      </c>
      <c r="N845" t="str" cm="1">
        <f t="array" ref="N845">_xlfn.IFS(I845="Rob","Robusta",I845="Exc","Excelsa",I845="Ara","Arabica",I845="Lib","Liberica")</f>
        <v>Excelsa</v>
      </c>
      <c r="O845" t="str" cm="1">
        <f t="array" ref="O845">_xlfn.IFS(J845="M","Midium",J845="L","Light",J845="D","Dark")</f>
        <v>Midium</v>
      </c>
      <c r="P845" t="str">
        <f>_xlfn.XLOOKUP(Orders[[#This Row],[Customer ID]],customers!A:A,customers!I:I,,0)</f>
        <v>Yes</v>
      </c>
      <c r="Q845" t="str">
        <f>_xlfn.XLOOKUP(C846,customers!A:A,customers!B:B,"مش موجود")</f>
        <v>Adelheid Gladhill</v>
      </c>
    </row>
    <row r="846" spans="1:17" x14ac:dyDescent="0.25">
      <c r="A846" s="2" t="s">
        <v>5262</v>
      </c>
      <c r="B846" s="3">
        <v>44476</v>
      </c>
      <c r="C846" s="2" t="s">
        <v>5263</v>
      </c>
      <c r="D846" t="s">
        <v>6158</v>
      </c>
      <c r="E846" s="2">
        <v>6</v>
      </c>
      <c r="F846" s="2" t="str">
        <f>_xlfn.XLOOKUP(Orders[[#This Row],[Customer ID]],customers!A:A,customers!B:B)</f>
        <v>Adelheid Gladhill</v>
      </c>
      <c r="G846" s="2" t="str" cm="1">
        <f t="array" ref="G846">IF(_xlfn.XLOOKUP(C846,customers!A845:$A$1001,customers!C845:$C$1001,,0)=0,"",_xlfn.XLOOKUP(C846,customers!A845:$A$1001,customers!C845:$C$1001,,0))</f>
        <v>agladhillng@stanford.edu</v>
      </c>
      <c r="H846" s="2" t="str" cm="1">
        <f t="array" ref="H846">_xlfn.XLOOKUP(C846,customers!A845:$A$1001,customers!G845:$G$1001,"Ireland",0)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13"/>
        <v>35.82</v>
      </c>
      <c r="N846" t="str" cm="1">
        <f t="array" ref="N846">_xlfn.IFS(I846="Rob","Robusta",I846="Exc","Excelsa",I846="Ara","Arabica",I846="Lib","Liberica")</f>
        <v>Arabica</v>
      </c>
      <c r="O846" t="str" cm="1">
        <f t="array" ref="O846">_xlfn.IFS(J846="M","Midium",J846="L","Light",J846="D","Dark")</f>
        <v>Dark</v>
      </c>
      <c r="P846" t="str">
        <f>_xlfn.XLOOKUP(Orders[[#This Row],[Customer ID]],customers!A:A,customers!I:I,,0)</f>
        <v>Yes</v>
      </c>
      <c r="Q846" t="str">
        <f>_xlfn.XLOOKUP(C847,customers!A:A,customers!B:B,"مش موجود")</f>
        <v>Murielle Lorinez</v>
      </c>
    </row>
    <row r="847" spans="1:17" x14ac:dyDescent="0.25">
      <c r="A847" s="2" t="s">
        <v>5268</v>
      </c>
      <c r="B847" s="3">
        <v>43889</v>
      </c>
      <c r="C847" s="2" t="s">
        <v>5269</v>
      </c>
      <c r="D847" t="s">
        <v>6185</v>
      </c>
      <c r="E847" s="2">
        <v>6</v>
      </c>
      <c r="F847" s="2" t="str">
        <f>_xlfn.XLOOKUP(Orders[[#This Row],[Customer ID]],customers!A:A,customers!B:B)</f>
        <v>Murielle Lorinez</v>
      </c>
      <c r="G847" s="2" t="str" cm="1">
        <f t="array" ref="G847">IF(_xlfn.XLOOKUP(C847,customers!A846:$A$1001,customers!C846:$C$1001,,0)=0,"",_xlfn.XLOOKUP(C847,customers!A846:$A$1001,customers!C846:$C$1001,,0))</f>
        <v>mlorineznh@whitehouse.gov</v>
      </c>
      <c r="H847" s="2" t="str" cm="1">
        <f t="array" ref="H847">_xlfn.XLOOKUP(C847,customers!A846:$A$1001,customers!G846:$G$1001,"Ireland",0)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13"/>
        <v>167.67000000000002</v>
      </c>
      <c r="N847" t="str" cm="1">
        <f t="array" ref="N847">_xlfn.IFS(I847="Rob","Robusta",I847="Exc","Excelsa",I847="Ara","Arabica",I847="Lib","Liberica")</f>
        <v>Excelsa</v>
      </c>
      <c r="O847" t="str" cm="1">
        <f t="array" ref="O847">_xlfn.IFS(J847="M","Midium",J847="L","Light",J847="D","Dark")</f>
        <v>Dark</v>
      </c>
      <c r="P847" t="str">
        <f>_xlfn.XLOOKUP(Orders[[#This Row],[Customer ID]],customers!A:A,customers!I:I,,0)</f>
        <v>No</v>
      </c>
      <c r="Q847" t="str">
        <f>_xlfn.XLOOKUP(C848,customers!A:A,customers!B:B,"مش موجود")</f>
        <v>Edin Mathe</v>
      </c>
    </row>
    <row r="848" spans="1:17" x14ac:dyDescent="0.25">
      <c r="A848" s="2" t="s">
        <v>5273</v>
      </c>
      <c r="B848" s="3">
        <v>44747</v>
      </c>
      <c r="C848" s="2" t="s">
        <v>5274</v>
      </c>
      <c r="D848" t="s">
        <v>6175</v>
      </c>
      <c r="E848" s="2">
        <v>2</v>
      </c>
      <c r="F848" s="2" t="str">
        <f>_xlfn.XLOOKUP(Orders[[#This Row],[Customer ID]],customers!A:A,customers!B:B)</f>
        <v>Edin Mathe</v>
      </c>
      <c r="G848" s="2" t="str" cm="1">
        <f t="array" ref="G848">IF(_xlfn.XLOOKUP(C848,customers!A847:$A$1001,customers!C847:$C$1001,,0)=0,"",_xlfn.XLOOKUP(C848,customers!A847:$A$1001,customers!C847:$C$1001,,0))</f>
        <v/>
      </c>
      <c r="H848" s="2" t="str" cm="1">
        <f t="array" ref="H848">_xlfn.XLOOKUP(C848,customers!A847:$A$1001,customers!G847:$G$1001,"Ireland",0)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13"/>
        <v>51.749999999999993</v>
      </c>
      <c r="N848" t="str" cm="1">
        <f t="array" ref="N848">_xlfn.IFS(I848="Rob","Robusta",I848="Exc","Excelsa",I848="Ara","Arabica",I848="Lib","Liberica")</f>
        <v>Arabica</v>
      </c>
      <c r="O848" t="str" cm="1">
        <f t="array" ref="O848">_xlfn.IFS(J848="M","Midium",J848="L","Light",J848="D","Dark")</f>
        <v>Midium</v>
      </c>
      <c r="P848" t="str">
        <f>_xlfn.XLOOKUP(Orders[[#This Row],[Customer ID]],customers!A:A,customers!I:I,,0)</f>
        <v>Yes</v>
      </c>
      <c r="Q848" t="str">
        <f>_xlfn.XLOOKUP(C849,customers!A:A,customers!B:B,"مش موجود")</f>
        <v>Mordy Van Der Vlies</v>
      </c>
    </row>
    <row r="849" spans="1:17" x14ac:dyDescent="0.25">
      <c r="A849" s="2" t="s">
        <v>5278</v>
      </c>
      <c r="B849" s="3">
        <v>44460</v>
      </c>
      <c r="C849" s="2" t="s">
        <v>5279</v>
      </c>
      <c r="D849" t="s">
        <v>6154</v>
      </c>
      <c r="E849" s="2">
        <v>3</v>
      </c>
      <c r="F849" s="2" t="str">
        <f>_xlfn.XLOOKUP(Orders[[#This Row],[Customer ID]],customers!A:A,customers!B:B)</f>
        <v>Mordy Van Der Vlies</v>
      </c>
      <c r="G849" s="2" t="str" cm="1">
        <f t="array" ref="G849">IF(_xlfn.XLOOKUP(C849,customers!A848:$A$1001,customers!C848:$C$1001,,0)=0,"",_xlfn.XLOOKUP(C849,customers!A848:$A$1001,customers!C848:$C$1001,,0))</f>
        <v>mvannj@wikipedia.org</v>
      </c>
      <c r="H849" s="2" t="str" cm="1">
        <f t="array" ref="H849">_xlfn.XLOOKUP(C849,customers!A848:$A$1001,customers!G848:$G$1001,"Ireland",0)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13"/>
        <v>8.9550000000000001</v>
      </c>
      <c r="N849" t="str" cm="1">
        <f t="array" ref="N849">_xlfn.IFS(I849="Rob","Robusta",I849="Exc","Excelsa",I849="Ara","Arabica",I849="Lib","Liberica")</f>
        <v>Arabica</v>
      </c>
      <c r="O849" t="str" cm="1">
        <f t="array" ref="O849">_xlfn.IFS(J849="M","Midium",J849="L","Light",J849="D","Dark")</f>
        <v>Dark</v>
      </c>
      <c r="P849" t="str">
        <f>_xlfn.XLOOKUP(Orders[[#This Row],[Customer ID]],customers!A:A,customers!I:I,,0)</f>
        <v>Yes</v>
      </c>
      <c r="Q849" t="str">
        <f>_xlfn.XLOOKUP(C850,customers!A:A,customers!B:B,"مش موجود")</f>
        <v>Spencer Wastell</v>
      </c>
    </row>
    <row r="850" spans="1:17" x14ac:dyDescent="0.25">
      <c r="A850" s="2" t="s">
        <v>5283</v>
      </c>
      <c r="B850" s="3">
        <v>43468</v>
      </c>
      <c r="C850" s="2" t="s">
        <v>5284</v>
      </c>
      <c r="D850" t="s">
        <v>6176</v>
      </c>
      <c r="E850" s="2">
        <v>6</v>
      </c>
      <c r="F850" s="2" t="str">
        <f>_xlfn.XLOOKUP(Orders[[#This Row],[Customer ID]],customers!A:A,customers!B:B)</f>
        <v>Spencer Wastell</v>
      </c>
      <c r="G850" s="2" t="str" cm="1">
        <f t="array" ref="G850">IF(_xlfn.XLOOKUP(C850,customers!A849:$A$1001,customers!C849:$C$1001,,0)=0,"",_xlfn.XLOOKUP(C850,customers!A849:$A$1001,customers!C849:$C$1001,,0))</f>
        <v/>
      </c>
      <c r="H850" s="2" t="str" cm="1">
        <f t="array" ref="H850">_xlfn.XLOOKUP(C850,customers!A849:$A$1001,customers!G849:$G$1001,"Ireland",0)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13"/>
        <v>53.46</v>
      </c>
      <c r="N850" t="str" cm="1">
        <f t="array" ref="N850">_xlfn.IFS(I850="Rob","Robusta",I850="Exc","Excelsa",I850="Ara","Arabica",I850="Lib","Liberica")</f>
        <v>Excelsa</v>
      </c>
      <c r="O850" t="str" cm="1">
        <f t="array" ref="O850">_xlfn.IFS(J850="M","Midium",J850="L","Light",J850="D","Dark")</f>
        <v>Light</v>
      </c>
      <c r="P850" t="str">
        <f>_xlfn.XLOOKUP(Orders[[#This Row],[Customer ID]],customers!A:A,customers!I:I,,0)</f>
        <v>No</v>
      </c>
      <c r="Q850" t="str">
        <f>_xlfn.XLOOKUP(C851,customers!A:A,customers!B:B,"مش موجود")</f>
        <v>Jemimah Ethelston</v>
      </c>
    </row>
    <row r="851" spans="1:17" x14ac:dyDescent="0.25">
      <c r="A851" s="2" t="s">
        <v>5288</v>
      </c>
      <c r="B851" s="3">
        <v>44628</v>
      </c>
      <c r="C851" s="2" t="s">
        <v>5289</v>
      </c>
      <c r="D851" t="s">
        <v>6167</v>
      </c>
      <c r="E851" s="2">
        <v>6</v>
      </c>
      <c r="F851" s="2" t="str">
        <f>_xlfn.XLOOKUP(Orders[[#This Row],[Customer ID]],customers!A:A,customers!B:B)</f>
        <v>Jemimah Ethelston</v>
      </c>
      <c r="G851" s="2" t="str" cm="1">
        <f t="array" ref="G851">IF(_xlfn.XLOOKUP(C851,customers!A850:$A$1001,customers!C850:$C$1001,,0)=0,"",_xlfn.XLOOKUP(C851,customers!A850:$A$1001,customers!C850:$C$1001,,0))</f>
        <v>jethelstonnl@creativecommons.org</v>
      </c>
      <c r="H851" s="2" t="str" cm="1">
        <f t="array" ref="H851">_xlfn.XLOOKUP(C851,customers!A850:$A$1001,customers!G850:$G$1001,"Ireland",0)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13"/>
        <v>23.31</v>
      </c>
      <c r="N851" t="str" cm="1">
        <f t="array" ref="N851">_xlfn.IFS(I851="Rob","Robusta",I851="Exc","Excelsa",I851="Ara","Arabica",I851="Lib","Liberica")</f>
        <v>Arabica</v>
      </c>
      <c r="O851" t="str" cm="1">
        <f t="array" ref="O851">_xlfn.IFS(J851="M","Midium",J851="L","Light",J851="D","Dark")</f>
        <v>Light</v>
      </c>
      <c r="P851" t="str">
        <f>_xlfn.XLOOKUP(Orders[[#This Row],[Customer ID]],customers!A:A,customers!I:I,,0)</f>
        <v>Yes</v>
      </c>
      <c r="Q851" t="str">
        <f>_xlfn.XLOOKUP(C852,customers!A:A,customers!B:B,"مش موجود")</f>
        <v>Jemimah Ethelston</v>
      </c>
    </row>
    <row r="852" spans="1:17" x14ac:dyDescent="0.25">
      <c r="A852" s="2" t="s">
        <v>5288</v>
      </c>
      <c r="B852" s="3">
        <v>44628</v>
      </c>
      <c r="C852" s="2" t="s">
        <v>5289</v>
      </c>
      <c r="D852" t="s">
        <v>6152</v>
      </c>
      <c r="E852" s="2">
        <v>2</v>
      </c>
      <c r="F852" s="2" t="str">
        <f>_xlfn.XLOOKUP(Orders[[#This Row],[Customer ID]],customers!A:A,customers!B:B)</f>
        <v>Jemimah Ethelston</v>
      </c>
      <c r="G852" s="2" t="str" cm="1">
        <f t="array" ref="G852">IF(_xlfn.XLOOKUP(C852,customers!A851:$A$1001,customers!C851:$C$1001,,0)=0,"",_xlfn.XLOOKUP(C852,customers!A851:$A$1001,customers!C851:$C$1001,,0))</f>
        <v>jethelstonnl@creativecommons.org</v>
      </c>
      <c r="H852" s="2" t="str" cm="1">
        <f t="array" ref="H852">_xlfn.XLOOKUP(C852,customers!A851:$A$1001,customers!G851:$G$1001,"Ireland",0)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13"/>
        <v>6.75</v>
      </c>
      <c r="N852" t="str" cm="1">
        <f t="array" ref="N852">_xlfn.IFS(I852="Rob","Robusta",I852="Exc","Excelsa",I852="Ara","Arabica",I852="Lib","Liberica")</f>
        <v>Arabica</v>
      </c>
      <c r="O852" t="str" cm="1">
        <f t="array" ref="O852">_xlfn.IFS(J852="M","Midium",J852="L","Light",J852="D","Dark")</f>
        <v>Midium</v>
      </c>
      <c r="P852" t="str">
        <f>_xlfn.XLOOKUP(Orders[[#This Row],[Customer ID]],customers!A:A,customers!I:I,,0)</f>
        <v>Yes</v>
      </c>
      <c r="Q852" t="str">
        <f>_xlfn.XLOOKUP(C853,customers!A:A,customers!B:B,"مش موجود")</f>
        <v>Perice Eberz</v>
      </c>
    </row>
    <row r="853" spans="1:17" x14ac:dyDescent="0.25">
      <c r="A853" s="2" t="s">
        <v>5299</v>
      </c>
      <c r="B853" s="3">
        <v>43900</v>
      </c>
      <c r="C853" s="2" t="s">
        <v>5300</v>
      </c>
      <c r="D853" t="s">
        <v>6169</v>
      </c>
      <c r="E853" s="2">
        <v>1</v>
      </c>
      <c r="F853" s="2" t="str">
        <f>_xlfn.XLOOKUP(Orders[[#This Row],[Customer ID]],customers!A:A,customers!B:B)</f>
        <v>Perice Eberz</v>
      </c>
      <c r="G853" s="2" t="str" cm="1">
        <f t="array" ref="G853">IF(_xlfn.XLOOKUP(C853,customers!A852:$A$1001,customers!C852:$C$1001,,0)=0,"",_xlfn.XLOOKUP(C853,customers!A852:$A$1001,customers!C852:$C$1001,,0))</f>
        <v>peberznn@woothemes.com</v>
      </c>
      <c r="H853" s="2" t="str" cm="1">
        <f t="array" ref="H853">_xlfn.XLOOKUP(C853,customers!A852:$A$1001,customers!G852:$G$1001,"Ireland",0)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13"/>
        <v>7.77</v>
      </c>
      <c r="N853" t="str" cm="1">
        <f t="array" ref="N853">_xlfn.IFS(I853="Rob","Robusta",I853="Exc","Excelsa",I853="Ara","Arabica",I853="Lib","Liberica")</f>
        <v>Liberica</v>
      </c>
      <c r="O853" t="str" cm="1">
        <f t="array" ref="O853">_xlfn.IFS(J853="M","Midium",J853="L","Light",J853="D","Dark")</f>
        <v>Dark</v>
      </c>
      <c r="P853" t="str">
        <f>_xlfn.XLOOKUP(Orders[[#This Row],[Customer ID]],customers!A:A,customers!I:I,,0)</f>
        <v>Yes</v>
      </c>
      <c r="Q853" t="str">
        <f>_xlfn.XLOOKUP(C854,customers!A:A,customers!B:B,"مش موجود")</f>
        <v>Bear Gaish</v>
      </c>
    </row>
    <row r="854" spans="1:17" x14ac:dyDescent="0.25">
      <c r="A854" s="2" t="s">
        <v>5305</v>
      </c>
      <c r="B854" s="3">
        <v>44527</v>
      </c>
      <c r="C854" s="2" t="s">
        <v>5306</v>
      </c>
      <c r="D854" t="s">
        <v>6165</v>
      </c>
      <c r="E854" s="2">
        <v>4</v>
      </c>
      <c r="F854" s="2" t="str">
        <f>_xlfn.XLOOKUP(Orders[[#This Row],[Customer ID]],customers!A:A,customers!B:B)</f>
        <v>Bear Gaish</v>
      </c>
      <c r="G854" s="2" t="str" cm="1">
        <f t="array" ref="G854">IF(_xlfn.XLOOKUP(C854,customers!A853:$A$1001,customers!C853:$C$1001,,0)=0,"",_xlfn.XLOOKUP(C854,customers!A853:$A$1001,customers!C853:$C$1001,,0))</f>
        <v>bgaishno@altervista.org</v>
      </c>
      <c r="H854" s="2" t="str" cm="1">
        <f t="array" ref="H854">_xlfn.XLOOKUP(C854,customers!A853:$A$1001,customers!G853:$G$1001,"Ireland",0)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13"/>
        <v>119.13999999999999</v>
      </c>
      <c r="N854" t="str" cm="1">
        <f t="array" ref="N854">_xlfn.IFS(I854="Rob","Robusta",I854="Exc","Excelsa",I854="Ara","Arabica",I854="Lib","Liberica")</f>
        <v>Liberica</v>
      </c>
      <c r="O854" t="str" cm="1">
        <f t="array" ref="O854">_xlfn.IFS(J854="M","Midium",J854="L","Light",J854="D","Dark")</f>
        <v>Dark</v>
      </c>
      <c r="P854" t="str">
        <f>_xlfn.XLOOKUP(Orders[[#This Row],[Customer ID]],customers!A:A,customers!I:I,,0)</f>
        <v>Yes</v>
      </c>
      <c r="Q854" t="str">
        <f>_xlfn.XLOOKUP(C855,customers!A:A,customers!B:B,"مش موجود")</f>
        <v>Lynnea Danton</v>
      </c>
    </row>
    <row r="855" spans="1:17" x14ac:dyDescent="0.25">
      <c r="A855" s="2" t="s">
        <v>5310</v>
      </c>
      <c r="B855" s="3">
        <v>44259</v>
      </c>
      <c r="C855" s="2" t="s">
        <v>5311</v>
      </c>
      <c r="D855" t="s">
        <v>6147</v>
      </c>
      <c r="E855" s="2">
        <v>2</v>
      </c>
      <c r="F855" s="2" t="str">
        <f>_xlfn.XLOOKUP(Orders[[#This Row],[Customer ID]],customers!A:A,customers!B:B)</f>
        <v>Lynnea Danton</v>
      </c>
      <c r="G855" s="2" t="str" cm="1">
        <f t="array" ref="G855">IF(_xlfn.XLOOKUP(C855,customers!A854:$A$1001,customers!C854:$C$1001,,0)=0,"",_xlfn.XLOOKUP(C855,customers!A854:$A$1001,customers!C854:$C$1001,,0))</f>
        <v>ldantonnp@miitbeian.gov.cn</v>
      </c>
      <c r="H855" s="2" t="str" cm="1">
        <f t="array" ref="H855">_xlfn.XLOOKUP(C855,customers!A854:$A$1001,customers!G854:$G$1001,"Ireland",0)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13"/>
        <v>19.899999999999999</v>
      </c>
      <c r="N855" t="str" cm="1">
        <f t="array" ref="N855">_xlfn.IFS(I855="Rob","Robusta",I855="Exc","Excelsa",I855="Ara","Arabica",I855="Lib","Liberica")</f>
        <v>Arabica</v>
      </c>
      <c r="O855" t="str" cm="1">
        <f t="array" ref="O855">_xlfn.IFS(J855="M","Midium",J855="L","Light",J855="D","Dark")</f>
        <v>Dark</v>
      </c>
      <c r="P855" t="str">
        <f>_xlfn.XLOOKUP(Orders[[#This Row],[Customer ID]],customers!A:A,customers!I:I,,0)</f>
        <v>No</v>
      </c>
      <c r="Q855" t="str">
        <f>_xlfn.XLOOKUP(C856,customers!A:A,customers!B:B,"مش موجود")</f>
        <v>Skipton Morrall</v>
      </c>
    </row>
    <row r="856" spans="1:17" x14ac:dyDescent="0.25">
      <c r="A856" s="2" t="s">
        <v>5315</v>
      </c>
      <c r="B856" s="3">
        <v>44516</v>
      </c>
      <c r="C856" s="2" t="s">
        <v>5316</v>
      </c>
      <c r="D856" t="s">
        <v>6173</v>
      </c>
      <c r="E856" s="2">
        <v>5</v>
      </c>
      <c r="F856" s="2" t="str">
        <f>_xlfn.XLOOKUP(Orders[[#This Row],[Customer ID]],customers!A:A,customers!B:B)</f>
        <v>Skipton Morrall</v>
      </c>
      <c r="G856" s="2" t="str" cm="1">
        <f t="array" ref="G856">IF(_xlfn.XLOOKUP(C856,customers!A855:$A$1001,customers!C855:$C$1001,,0)=0,"",_xlfn.XLOOKUP(C856,customers!A855:$A$1001,customers!C855:$C$1001,,0))</f>
        <v>smorrallnq@answers.com</v>
      </c>
      <c r="H856" s="2" t="str" cm="1">
        <f t="array" ref="H856">_xlfn.XLOOKUP(C856,customers!A855:$A$1001,customers!G855:$G$1001,"Ireland",0)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13"/>
        <v>35.849999999999994</v>
      </c>
      <c r="N856" t="str" cm="1">
        <f t="array" ref="N856">_xlfn.IFS(I856="Rob","Robusta",I856="Exc","Excelsa",I856="Ara","Arabica",I856="Lib","Liberica")</f>
        <v>Robusta</v>
      </c>
      <c r="O856" t="str" cm="1">
        <f t="array" ref="O856">_xlfn.IFS(J856="M","Midium",J856="L","Light",J856="D","Dark")</f>
        <v>Light</v>
      </c>
      <c r="P856" t="str">
        <f>_xlfn.XLOOKUP(Orders[[#This Row],[Customer ID]],customers!A:A,customers!I:I,,0)</f>
        <v>Yes</v>
      </c>
      <c r="Q856" t="str">
        <f>_xlfn.XLOOKUP(C857,customers!A:A,customers!B:B,"مش موجود")</f>
        <v>Devan Crownshaw</v>
      </c>
    </row>
    <row r="857" spans="1:17" x14ac:dyDescent="0.25">
      <c r="A857" s="2" t="s">
        <v>5321</v>
      </c>
      <c r="B857" s="3">
        <v>43632</v>
      </c>
      <c r="C857" s="2" t="s">
        <v>5322</v>
      </c>
      <c r="D857" t="s">
        <v>6165</v>
      </c>
      <c r="E857" s="2">
        <v>3</v>
      </c>
      <c r="F857" s="2" t="str">
        <f>_xlfn.XLOOKUP(Orders[[#This Row],[Customer ID]],customers!A:A,customers!B:B)</f>
        <v>Devan Crownshaw</v>
      </c>
      <c r="G857" s="2" t="str" cm="1">
        <f t="array" ref="G857">IF(_xlfn.XLOOKUP(C857,customers!A856:$A$1001,customers!C856:$C$1001,,0)=0,"",_xlfn.XLOOKUP(C857,customers!A856:$A$1001,customers!C856:$C$1001,,0))</f>
        <v>dcrownshawnr@photobucket.com</v>
      </c>
      <c r="H857" s="2" t="str" cm="1">
        <f t="array" ref="H857">_xlfn.XLOOKUP(C857,customers!A856:$A$1001,customers!G856:$G$1001,"Ireland",0)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13"/>
        <v>89.35499999999999</v>
      </c>
      <c r="N857" t="str" cm="1">
        <f t="array" ref="N857">_xlfn.IFS(I857="Rob","Robusta",I857="Exc","Excelsa",I857="Ara","Arabica",I857="Lib","Liberica")</f>
        <v>Liberica</v>
      </c>
      <c r="O857" t="str" cm="1">
        <f t="array" ref="O857">_xlfn.IFS(J857="M","Midium",J857="L","Light",J857="D","Dark")</f>
        <v>Dark</v>
      </c>
      <c r="P857" t="str">
        <f>_xlfn.XLOOKUP(Orders[[#This Row],[Customer ID]],customers!A:A,customers!I:I,,0)</f>
        <v>No</v>
      </c>
      <c r="Q857" t="str">
        <f>_xlfn.XLOOKUP(C858,customers!A:A,customers!B:B,"مش موجود")</f>
        <v>Odelia Skerme</v>
      </c>
    </row>
    <row r="858" spans="1:17" x14ac:dyDescent="0.25">
      <c r="A858" s="2" t="s">
        <v>5327</v>
      </c>
      <c r="B858" s="3">
        <v>44031</v>
      </c>
      <c r="C858" s="2" t="s">
        <v>5188</v>
      </c>
      <c r="D858" t="s">
        <v>6159</v>
      </c>
      <c r="E858" s="2">
        <v>2</v>
      </c>
      <c r="F858" s="2" t="str">
        <f>_xlfn.XLOOKUP(Orders[[#This Row],[Customer ID]],customers!A:A,customers!B:B)</f>
        <v>Odelia Skerme</v>
      </c>
      <c r="G858" s="2" t="e" cm="1">
        <f t="array" ref="G858">IF(_xlfn.XLOOKUP(C858,customers!A857:$A$1001,customers!C857:$C$1001,,0)=0,"",_xlfn.XLOOKUP(C858,customers!A857:$A$1001,customers!C857:$C$1001,,0))</f>
        <v>#N/A</v>
      </c>
      <c r="H858" s="2" t="str" cm="1">
        <f t="array" ref="H858">_xlfn.XLOOKUP(C858,customers!A857:$A$1001,customers!G857:$G$1001,"Ireland",0)</f>
        <v>Ireland</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13"/>
        <v>8.73</v>
      </c>
      <c r="N858" t="str" cm="1">
        <f t="array" ref="N858">_xlfn.IFS(I858="Rob","Robusta",I858="Exc","Excelsa",I858="Ara","Arabica",I858="Lib","Liberica")</f>
        <v>Liberica</v>
      </c>
      <c r="O858" t="str" cm="1">
        <f t="array" ref="O858">_xlfn.IFS(J858="M","Midium",J858="L","Light",J858="D","Dark")</f>
        <v>Midium</v>
      </c>
      <c r="P858" t="str">
        <f>_xlfn.XLOOKUP(Orders[[#This Row],[Customer ID]],customers!A:A,customers!I:I,,0)</f>
        <v>Yes</v>
      </c>
      <c r="Q858" t="str">
        <f>_xlfn.XLOOKUP(C859,customers!A:A,customers!B:B,"مش موجود")</f>
        <v>Joceline Reddoch</v>
      </c>
    </row>
    <row r="859" spans="1:17" x14ac:dyDescent="0.25">
      <c r="A859" s="2" t="s">
        <v>5333</v>
      </c>
      <c r="B859" s="3">
        <v>43889</v>
      </c>
      <c r="C859" s="2" t="s">
        <v>5334</v>
      </c>
      <c r="D859" t="s">
        <v>6142</v>
      </c>
      <c r="E859" s="2">
        <v>5</v>
      </c>
      <c r="F859" s="2" t="str">
        <f>_xlfn.XLOOKUP(Orders[[#This Row],[Customer ID]],customers!A:A,customers!B:B)</f>
        <v>Joceline Reddoch</v>
      </c>
      <c r="G859" s="2" t="str" cm="1">
        <f t="array" ref="G859">IF(_xlfn.XLOOKUP(C859,customers!A858:$A$1001,customers!C858:$C$1001,,0)=0,"",_xlfn.XLOOKUP(C859,customers!A858:$A$1001,customers!C858:$C$1001,,0))</f>
        <v>jreddochnt@sun.com</v>
      </c>
      <c r="H859" s="2" t="str" cm="1">
        <f t="array" ref="H859">_xlfn.XLOOKUP(C859,customers!A858:$A$1001,customers!G858:$G$1001,"Ireland",0)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13"/>
        <v>137.42499999999998</v>
      </c>
      <c r="N859" t="str" cm="1">
        <f t="array" ref="N859">_xlfn.IFS(I859="Rob","Robusta",I859="Exc","Excelsa",I859="Ara","Arabica",I859="Lib","Liberica")</f>
        <v>Robusta</v>
      </c>
      <c r="O859" t="str" cm="1">
        <f t="array" ref="O859">_xlfn.IFS(J859="M","Midium",J859="L","Light",J859="D","Dark")</f>
        <v>Light</v>
      </c>
      <c r="P859" t="str">
        <f>_xlfn.XLOOKUP(Orders[[#This Row],[Customer ID]],customers!A:A,customers!I:I,,0)</f>
        <v>No</v>
      </c>
      <c r="Q859" t="str">
        <f>_xlfn.XLOOKUP(C860,customers!A:A,customers!B:B,"مش موجود")</f>
        <v>Shelley Titley</v>
      </c>
    </row>
    <row r="860" spans="1:17" x14ac:dyDescent="0.25">
      <c r="A860" s="2" t="s">
        <v>5339</v>
      </c>
      <c r="B860" s="3">
        <v>43638</v>
      </c>
      <c r="C860" s="2" t="s">
        <v>5340</v>
      </c>
      <c r="D860" t="s">
        <v>6160</v>
      </c>
      <c r="E860" s="2">
        <v>4</v>
      </c>
      <c r="F860" s="2" t="str">
        <f>_xlfn.XLOOKUP(Orders[[#This Row],[Customer ID]],customers!A:A,customers!B:B)</f>
        <v>Shelley Titley</v>
      </c>
      <c r="G860" s="2" t="str" cm="1">
        <f t="array" ref="G860">IF(_xlfn.XLOOKUP(C860,customers!A859:$A$1001,customers!C859:$C$1001,,0)=0,"",_xlfn.XLOOKUP(C860,customers!A859:$A$1001,customers!C859:$C$1001,,0))</f>
        <v>stitleynu@whitehouse.gov</v>
      </c>
      <c r="H860" s="2" t="str" cm="1">
        <f t="array" ref="H860">_xlfn.XLOOKUP(C860,customers!A859:$A$1001,customers!G859:$G$1001,"Ireland",0)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13"/>
        <v>34.92</v>
      </c>
      <c r="N860" t="str" cm="1">
        <f t="array" ref="N860">_xlfn.IFS(I860="Rob","Robusta",I860="Exc","Excelsa",I860="Ara","Arabica",I860="Lib","Liberica")</f>
        <v>Liberica</v>
      </c>
      <c r="O860" t="str" cm="1">
        <f t="array" ref="O860">_xlfn.IFS(J860="M","Midium",J860="L","Light",J860="D","Dark")</f>
        <v>Midium</v>
      </c>
      <c r="P860" t="str">
        <f>_xlfn.XLOOKUP(Orders[[#This Row],[Customer ID]],customers!A:A,customers!I:I,,0)</f>
        <v>No</v>
      </c>
      <c r="Q860" t="str">
        <f>_xlfn.XLOOKUP(C861,customers!A:A,customers!B:B,"مش موجود")</f>
        <v>Redd Simao</v>
      </c>
    </row>
    <row r="861" spans="1:17" x14ac:dyDescent="0.25">
      <c r="A861" s="2" t="s">
        <v>5345</v>
      </c>
      <c r="B861" s="3">
        <v>43716</v>
      </c>
      <c r="C861" s="2" t="s">
        <v>5346</v>
      </c>
      <c r="D861" t="s">
        <v>6182</v>
      </c>
      <c r="E861" s="2">
        <v>6</v>
      </c>
      <c r="F861" s="2" t="str">
        <f>_xlfn.XLOOKUP(Orders[[#This Row],[Customer ID]],customers!A:A,customers!B:B)</f>
        <v>Redd Simao</v>
      </c>
      <c r="G861" s="2" t="str" cm="1">
        <f t="array" ref="G861">IF(_xlfn.XLOOKUP(C861,customers!A860:$A$1001,customers!C860:$C$1001,,0)=0,"",_xlfn.XLOOKUP(C861,customers!A860:$A$1001,customers!C860:$C$1001,,0))</f>
        <v>rsimaonv@simplemachines.org</v>
      </c>
      <c r="H861" s="2" t="str" cm="1">
        <f t="array" ref="H861">_xlfn.XLOOKUP(C861,customers!A860:$A$1001,customers!G860:$G$1001,"Ireland",0)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13"/>
        <v>178.70999999999998</v>
      </c>
      <c r="N861" t="str" cm="1">
        <f t="array" ref="N861">_xlfn.IFS(I861="Rob","Robusta",I861="Exc","Excelsa",I861="Ara","Arabica",I861="Lib","Liberica")</f>
        <v>Arabica</v>
      </c>
      <c r="O861" t="str" cm="1">
        <f t="array" ref="O861">_xlfn.IFS(J861="M","Midium",J861="L","Light",J861="D","Dark")</f>
        <v>Light</v>
      </c>
      <c r="P861" t="str">
        <f>_xlfn.XLOOKUP(Orders[[#This Row],[Customer ID]],customers!A:A,customers!I:I,,0)</f>
        <v>No</v>
      </c>
      <c r="Q861" t="str">
        <f>_xlfn.XLOOKUP(C862,customers!A:A,customers!B:B,"مش موجود")</f>
        <v>Cece Inker</v>
      </c>
    </row>
    <row r="862" spans="1:17" x14ac:dyDescent="0.25">
      <c r="A862" s="2" t="s">
        <v>5351</v>
      </c>
      <c r="B862" s="3">
        <v>44707</v>
      </c>
      <c r="C862" s="2" t="s">
        <v>5352</v>
      </c>
      <c r="D862" t="s">
        <v>6175</v>
      </c>
      <c r="E862" s="2">
        <v>1</v>
      </c>
      <c r="F862" s="2" t="str">
        <f>_xlfn.XLOOKUP(Orders[[#This Row],[Customer ID]],customers!A:A,customers!B:B)</f>
        <v>Cece Inker</v>
      </c>
      <c r="G862" s="2" t="str" cm="1">
        <f t="array" ref="G862">IF(_xlfn.XLOOKUP(C862,customers!A861:$A$1001,customers!C861:$C$1001,,0)=0,"",_xlfn.XLOOKUP(C862,customers!A861:$A$1001,customers!C861:$C$1001,,0))</f>
        <v/>
      </c>
      <c r="H862" s="2" t="str" cm="1">
        <f t="array" ref="H862">_xlfn.XLOOKUP(C862,customers!A861:$A$1001,customers!G861:$G$1001,"Ireland",0)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13"/>
        <v>25.874999999999996</v>
      </c>
      <c r="N862" t="str" cm="1">
        <f t="array" ref="N862">_xlfn.IFS(I862="Rob","Robusta",I862="Exc","Excelsa",I862="Ara","Arabica",I862="Lib","Liberica")</f>
        <v>Arabica</v>
      </c>
      <c r="O862" t="str" cm="1">
        <f t="array" ref="O862">_xlfn.IFS(J862="M","Midium",J862="L","Light",J862="D","Dark")</f>
        <v>Midium</v>
      </c>
      <c r="P862" t="str">
        <f>_xlfn.XLOOKUP(Orders[[#This Row],[Customer ID]],customers!A:A,customers!I:I,,0)</f>
        <v>No</v>
      </c>
      <c r="Q862" t="str">
        <f>_xlfn.XLOOKUP(C863,customers!A:A,customers!B:B,"مش موجود")</f>
        <v>Noel Chisholm</v>
      </c>
    </row>
    <row r="863" spans="1:17" x14ac:dyDescent="0.25">
      <c r="A863" s="2" t="s">
        <v>5356</v>
      </c>
      <c r="B863" s="3">
        <v>43802</v>
      </c>
      <c r="C863" s="2" t="s">
        <v>5357</v>
      </c>
      <c r="D863" t="s">
        <v>6143</v>
      </c>
      <c r="E863" s="2">
        <v>6</v>
      </c>
      <c r="F863" s="2" t="str">
        <f>_xlfn.XLOOKUP(Orders[[#This Row],[Customer ID]],customers!A:A,customers!B:B)</f>
        <v>Noel Chisholm</v>
      </c>
      <c r="G863" s="2" t="str" cm="1">
        <f t="array" ref="G863">IF(_xlfn.XLOOKUP(C863,customers!A862:$A$1001,customers!C862:$C$1001,,0)=0,"",_xlfn.XLOOKUP(C863,customers!A862:$A$1001,customers!C862:$C$1001,,0))</f>
        <v>nchisholmnx@example.com</v>
      </c>
      <c r="H863" s="2" t="str" cm="1">
        <f t="array" ref="H863">_xlfn.XLOOKUP(C863,customers!A862:$A$1001,customers!G862:$G$1001,"Ireland",0)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13"/>
        <v>77.699999999999989</v>
      </c>
      <c r="N863" t="str" cm="1">
        <f t="array" ref="N863">_xlfn.IFS(I863="Rob","Robusta",I863="Exc","Excelsa",I863="Ara","Arabica",I863="Lib","Liberica")</f>
        <v>Liberica</v>
      </c>
      <c r="O863" t="str" cm="1">
        <f t="array" ref="O863">_xlfn.IFS(J863="M","Midium",J863="L","Light",J863="D","Dark")</f>
        <v>Dark</v>
      </c>
      <c r="P863" t="str">
        <f>_xlfn.XLOOKUP(Orders[[#This Row],[Customer ID]],customers!A:A,customers!I:I,,0)</f>
        <v>Yes</v>
      </c>
      <c r="Q863" t="str">
        <f>_xlfn.XLOOKUP(C864,customers!A:A,customers!B:B,"مش موجود")</f>
        <v>Grazia Oats</v>
      </c>
    </row>
    <row r="864" spans="1:17" x14ac:dyDescent="0.25">
      <c r="A864" s="2" t="s">
        <v>5362</v>
      </c>
      <c r="B864" s="3">
        <v>43725</v>
      </c>
      <c r="C864" s="2" t="s">
        <v>5363</v>
      </c>
      <c r="D864" t="s">
        <v>6138</v>
      </c>
      <c r="E864" s="2">
        <v>1</v>
      </c>
      <c r="F864" s="2" t="str">
        <f>_xlfn.XLOOKUP(Orders[[#This Row],[Customer ID]],customers!A:A,customers!B:B)</f>
        <v>Grazia Oats</v>
      </c>
      <c r="G864" s="2" t="str" cm="1">
        <f t="array" ref="G864">IF(_xlfn.XLOOKUP(C864,customers!A863:$A$1001,customers!C863:$C$1001,,0)=0,"",_xlfn.XLOOKUP(C864,customers!A863:$A$1001,customers!C863:$C$1001,,0))</f>
        <v>goatsny@live.com</v>
      </c>
      <c r="H864" s="2" t="str" cm="1">
        <f t="array" ref="H864">_xlfn.XLOOKUP(C864,customers!A863:$A$1001,customers!G863:$G$1001,"Ireland",0)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13"/>
        <v>9.9499999999999993</v>
      </c>
      <c r="N864" t="str" cm="1">
        <f t="array" ref="N864">_xlfn.IFS(I864="Rob","Robusta",I864="Exc","Excelsa",I864="Ara","Arabica",I864="Lib","Liberica")</f>
        <v>Robusta</v>
      </c>
      <c r="O864" t="str" cm="1">
        <f t="array" ref="O864">_xlfn.IFS(J864="M","Midium",J864="L","Light",J864="D","Dark")</f>
        <v>Midium</v>
      </c>
      <c r="P864" t="str">
        <f>_xlfn.XLOOKUP(Orders[[#This Row],[Customer ID]],customers!A:A,customers!I:I,,0)</f>
        <v>Yes</v>
      </c>
      <c r="Q864" t="str">
        <f>_xlfn.XLOOKUP(C865,customers!A:A,customers!B:B,"مش موجود")</f>
        <v>Meade Birkin</v>
      </c>
    </row>
    <row r="865" spans="1:17" x14ac:dyDescent="0.25">
      <c r="A865" s="2" t="s">
        <v>5368</v>
      </c>
      <c r="B865" s="3">
        <v>44712</v>
      </c>
      <c r="C865" s="2" t="s">
        <v>5369</v>
      </c>
      <c r="D865" t="s">
        <v>6162</v>
      </c>
      <c r="E865" s="2">
        <v>2</v>
      </c>
      <c r="F865" s="2" t="str">
        <f>_xlfn.XLOOKUP(Orders[[#This Row],[Customer ID]],customers!A:A,customers!B:B)</f>
        <v>Meade Birkin</v>
      </c>
      <c r="G865" s="2" t="str" cm="1">
        <f t="array" ref="G865">IF(_xlfn.XLOOKUP(C865,customers!A864:$A$1001,customers!C864:$C$1001,,0)=0,"",_xlfn.XLOOKUP(C865,customers!A864:$A$1001,customers!C864:$C$1001,,0))</f>
        <v>mbirkinnz@java.com</v>
      </c>
      <c r="H865" s="2" t="str" cm="1">
        <f t="array" ref="H865">_xlfn.XLOOKUP(C865,customers!A864:$A$1001,customers!G864:$G$1001,"Ireland",0)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13"/>
        <v>29.1</v>
      </c>
      <c r="N865" t="str" cm="1">
        <f t="array" ref="N865">_xlfn.IFS(I865="Rob","Robusta",I865="Exc","Excelsa",I865="Ara","Arabica",I865="Lib","Liberica")</f>
        <v>Liberica</v>
      </c>
      <c r="O865" t="str" cm="1">
        <f t="array" ref="O865">_xlfn.IFS(J865="M","Midium",J865="L","Light",J865="D","Dark")</f>
        <v>Midium</v>
      </c>
      <c r="P865" t="str">
        <f>_xlfn.XLOOKUP(Orders[[#This Row],[Customer ID]],customers!A:A,customers!I:I,,0)</f>
        <v>Yes</v>
      </c>
      <c r="Q865" t="str">
        <f>_xlfn.XLOOKUP(C866,customers!A:A,customers!B:B,"مش موجود")</f>
        <v>Ronda Pyson</v>
      </c>
    </row>
    <row r="866" spans="1:17" x14ac:dyDescent="0.25">
      <c r="A866" s="2" t="s">
        <v>5374</v>
      </c>
      <c r="B866" s="3">
        <v>43759</v>
      </c>
      <c r="C866" s="2" t="s">
        <v>5375</v>
      </c>
      <c r="D866" t="s">
        <v>6178</v>
      </c>
      <c r="E866" s="2">
        <v>6</v>
      </c>
      <c r="F866" s="2" t="str">
        <f>_xlfn.XLOOKUP(Orders[[#This Row],[Customer ID]],customers!A:A,customers!B:B)</f>
        <v>Ronda Pyson</v>
      </c>
      <c r="G866" s="2" t="str" cm="1">
        <f t="array" ref="G866">IF(_xlfn.XLOOKUP(C866,customers!A865:$A$1001,customers!C865:$C$1001,,0)=0,"",_xlfn.XLOOKUP(C866,customers!A865:$A$1001,customers!C865:$C$1001,,0))</f>
        <v>rpysono0@constantcontact.com</v>
      </c>
      <c r="H866" s="2" t="str" cm="1">
        <f t="array" ref="H866">_xlfn.XLOOKUP(C866,customers!A865:$A$1001,customers!G865:$G$1001,"Ireland",0)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13"/>
        <v>21.509999999999998</v>
      </c>
      <c r="N866" t="str" cm="1">
        <f t="array" ref="N866">_xlfn.IFS(I866="Rob","Robusta",I866="Exc","Excelsa",I866="Ara","Arabica",I866="Lib","Liberica")</f>
        <v>Robusta</v>
      </c>
      <c r="O866" t="str" cm="1">
        <f t="array" ref="O866">_xlfn.IFS(J866="M","Midium",J866="L","Light",J866="D","Dark")</f>
        <v>Light</v>
      </c>
      <c r="P866" t="str">
        <f>_xlfn.XLOOKUP(Orders[[#This Row],[Customer ID]],customers!A:A,customers!I:I,,0)</f>
        <v>No</v>
      </c>
      <c r="Q866" t="str">
        <f>_xlfn.XLOOKUP(C867,customers!A:A,customers!B:B,"مش موجود")</f>
        <v>Modesty MacConnechie</v>
      </c>
    </row>
    <row r="867" spans="1:17" x14ac:dyDescent="0.25">
      <c r="A867" s="2" t="s">
        <v>5380</v>
      </c>
      <c r="B867" s="3">
        <v>44675</v>
      </c>
      <c r="C867" s="2" t="s">
        <v>5428</v>
      </c>
      <c r="D867" t="s">
        <v>6157</v>
      </c>
      <c r="E867" s="2">
        <v>1</v>
      </c>
      <c r="F867" s="2" t="str">
        <f>_xlfn.XLOOKUP(Orders[[#This Row],[Customer ID]],customers!A:A,customers!B:B)</f>
        <v>Modesty MacConnechie</v>
      </c>
      <c r="G867" s="2" t="str" cm="1">
        <f t="array" ref="G867">IF(_xlfn.XLOOKUP(C867,customers!A866:$A$1001,customers!C866:$C$1001,,0)=0,"",_xlfn.XLOOKUP(C867,customers!A866:$A$1001,customers!C866:$C$1001,,0))</f>
        <v>mmacconnechieo9@reuters.com</v>
      </c>
      <c r="H867" s="2" t="str" cm="1">
        <f t="array" ref="H867">_xlfn.XLOOKUP(C867,customers!A866:$A$1001,customers!G866:$G$1001,"Ireland",0)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13"/>
        <v>6.75</v>
      </c>
      <c r="N867" t="str" cm="1">
        <f t="array" ref="N867">_xlfn.IFS(I867="Rob","Robusta",I867="Exc","Excelsa",I867="Ara","Arabica",I867="Lib","Liberica")</f>
        <v>Arabica</v>
      </c>
      <c r="O867" t="str" cm="1">
        <f t="array" ref="O867">_xlfn.IFS(J867="M","Midium",J867="L","Light",J867="D","Dark")</f>
        <v>Midium</v>
      </c>
      <c r="P867" t="str">
        <f>_xlfn.XLOOKUP(Orders[[#This Row],[Customer ID]],customers!A:A,customers!I:I,,0)</f>
        <v>Yes</v>
      </c>
      <c r="Q867" t="str">
        <f>_xlfn.XLOOKUP(C868,customers!A:A,customers!B:B,"مش موجود")</f>
        <v>Rafaela Treacher</v>
      </c>
    </row>
    <row r="868" spans="1:17" x14ac:dyDescent="0.25">
      <c r="A868" s="2" t="s">
        <v>5385</v>
      </c>
      <c r="B868" s="3">
        <v>44209</v>
      </c>
      <c r="C868" s="2" t="s">
        <v>5386</v>
      </c>
      <c r="D868" t="s">
        <v>6158</v>
      </c>
      <c r="E868" s="2">
        <v>3</v>
      </c>
      <c r="F868" s="2" t="str">
        <f>_xlfn.XLOOKUP(Orders[[#This Row],[Customer ID]],customers!A:A,customers!B:B)</f>
        <v>Rafaela Treacher</v>
      </c>
      <c r="G868" s="2" t="str" cm="1">
        <f t="array" ref="G868">IF(_xlfn.XLOOKUP(C868,customers!A867:$A$1001,customers!C867:$C$1001,,0)=0,"",_xlfn.XLOOKUP(C868,customers!A867:$A$1001,customers!C867:$C$1001,,0))</f>
        <v>rtreachero2@usa.gov</v>
      </c>
      <c r="H868" s="2" t="str" cm="1">
        <f t="array" ref="H868">_xlfn.XLOOKUP(C868,customers!A867:$A$1001,customers!G867:$G$1001,"Ireland",0)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13"/>
        <v>17.91</v>
      </c>
      <c r="N868" t="str" cm="1">
        <f t="array" ref="N868">_xlfn.IFS(I868="Rob","Robusta",I868="Exc","Excelsa",I868="Ara","Arabica",I868="Lib","Liberica")</f>
        <v>Arabica</v>
      </c>
      <c r="O868" t="str" cm="1">
        <f t="array" ref="O868">_xlfn.IFS(J868="M","Midium",J868="L","Light",J868="D","Dark")</f>
        <v>Dark</v>
      </c>
      <c r="P868" t="str">
        <f>_xlfn.XLOOKUP(Orders[[#This Row],[Customer ID]],customers!A:A,customers!I:I,,0)</f>
        <v>No</v>
      </c>
      <c r="Q868" t="str">
        <f>_xlfn.XLOOKUP(C869,customers!A:A,customers!B:B,"مش موجود")</f>
        <v>Bee Fattorini</v>
      </c>
    </row>
    <row r="869" spans="1:17" x14ac:dyDescent="0.25">
      <c r="A869" s="2" t="s">
        <v>5391</v>
      </c>
      <c r="B869" s="3">
        <v>44792</v>
      </c>
      <c r="C869" s="2" t="s">
        <v>5392</v>
      </c>
      <c r="D869" t="s">
        <v>6182</v>
      </c>
      <c r="E869" s="2">
        <v>1</v>
      </c>
      <c r="F869" s="2" t="str">
        <f>_xlfn.XLOOKUP(Orders[[#This Row],[Customer ID]],customers!A:A,customers!B:B)</f>
        <v>Bee Fattorini</v>
      </c>
      <c r="G869" s="2" t="str" cm="1">
        <f t="array" ref="G869">IF(_xlfn.XLOOKUP(C869,customers!A868:$A$1001,customers!C868:$C$1001,,0)=0,"",_xlfn.XLOOKUP(C869,customers!A868:$A$1001,customers!C868:$C$1001,,0))</f>
        <v>bfattorinio3@quantcast.com</v>
      </c>
      <c r="H869" s="2" t="str" cm="1">
        <f t="array" ref="H869">_xlfn.XLOOKUP(C869,customers!A868:$A$1001,customers!G868:$G$1001,"Ireland",0)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13"/>
        <v>29.784999999999997</v>
      </c>
      <c r="N869" t="str" cm="1">
        <f t="array" ref="N869">_xlfn.IFS(I869="Rob","Robusta",I869="Exc","Excelsa",I869="Ara","Arabica",I869="Lib","Liberica")</f>
        <v>Arabica</v>
      </c>
      <c r="O869" t="str" cm="1">
        <f t="array" ref="O869">_xlfn.IFS(J869="M","Midium",J869="L","Light",J869="D","Dark")</f>
        <v>Light</v>
      </c>
      <c r="P869" t="str">
        <f>_xlfn.XLOOKUP(Orders[[#This Row],[Customer ID]],customers!A:A,customers!I:I,,0)</f>
        <v>Yes</v>
      </c>
      <c r="Q869" t="str">
        <f>_xlfn.XLOOKUP(C870,customers!A:A,customers!B:B,"مش موجود")</f>
        <v>Margie Palleske</v>
      </c>
    </row>
    <row r="870" spans="1:17" x14ac:dyDescent="0.25">
      <c r="A870" s="2" t="s">
        <v>5396</v>
      </c>
      <c r="B870" s="3">
        <v>43526</v>
      </c>
      <c r="C870" s="2" t="s">
        <v>5397</v>
      </c>
      <c r="D870" t="s">
        <v>6139</v>
      </c>
      <c r="E870" s="2">
        <v>5</v>
      </c>
      <c r="F870" s="2" t="str">
        <f>_xlfn.XLOOKUP(Orders[[#This Row],[Customer ID]],customers!A:A,customers!B:B)</f>
        <v>Margie Palleske</v>
      </c>
      <c r="G870" s="2" t="str" cm="1">
        <f t="array" ref="G870">IF(_xlfn.XLOOKUP(C870,customers!A869:$A$1001,customers!C869:$C$1001,,0)=0,"",_xlfn.XLOOKUP(C870,customers!A869:$A$1001,customers!C869:$C$1001,,0))</f>
        <v>mpalleskeo4@nyu.edu</v>
      </c>
      <c r="H870" s="2" t="str" cm="1">
        <f t="array" ref="H870">_xlfn.XLOOKUP(C870,customers!A869:$A$1001,customers!G869:$G$1001,"Ireland",0)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13"/>
        <v>41.25</v>
      </c>
      <c r="N870" t="str" cm="1">
        <f t="array" ref="N870">_xlfn.IFS(I870="Rob","Robusta",I870="Exc","Excelsa",I870="Ara","Arabica",I870="Lib","Liberica")</f>
        <v>Excelsa</v>
      </c>
      <c r="O870" t="str" cm="1">
        <f t="array" ref="O870">_xlfn.IFS(J870="M","Midium",J870="L","Light",J870="D","Dark")</f>
        <v>Midium</v>
      </c>
      <c r="P870" t="str">
        <f>_xlfn.XLOOKUP(Orders[[#This Row],[Customer ID]],customers!A:A,customers!I:I,,0)</f>
        <v>Yes</v>
      </c>
      <c r="Q870" t="str">
        <f>_xlfn.XLOOKUP(C871,customers!A:A,customers!B:B,"مش موجود")</f>
        <v>Alexina Randals</v>
      </c>
    </row>
    <row r="871" spans="1:17" x14ac:dyDescent="0.25">
      <c r="A871" s="2" t="s">
        <v>5402</v>
      </c>
      <c r="B871" s="3">
        <v>43851</v>
      </c>
      <c r="C871" s="2" t="s">
        <v>5403</v>
      </c>
      <c r="D871" t="s">
        <v>6146</v>
      </c>
      <c r="E871" s="2">
        <v>3</v>
      </c>
      <c r="F871" s="2" t="str">
        <f>_xlfn.XLOOKUP(Orders[[#This Row],[Customer ID]],customers!A:A,customers!B:B)</f>
        <v>Alexina Randals</v>
      </c>
      <c r="G871" s="2" t="str" cm="1">
        <f t="array" ref="G871">IF(_xlfn.XLOOKUP(C871,customers!A870:$A$1001,customers!C870:$C$1001,,0)=0,"",_xlfn.XLOOKUP(C871,customers!A870:$A$1001,customers!C870:$C$1001,,0))</f>
        <v/>
      </c>
      <c r="H871" s="2" t="str" cm="1">
        <f t="array" ref="H871">_xlfn.XLOOKUP(C871,customers!A870:$A$1001,customers!G870:$G$1001,"Ireland",0)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13"/>
        <v>17.91</v>
      </c>
      <c r="N871" t="str" cm="1">
        <f t="array" ref="N871">_xlfn.IFS(I871="Rob","Robusta",I871="Exc","Excelsa",I871="Ara","Arabica",I871="Lib","Liberica")</f>
        <v>Robusta</v>
      </c>
      <c r="O871" t="str" cm="1">
        <f t="array" ref="O871">_xlfn.IFS(J871="M","Midium",J871="L","Light",J871="D","Dark")</f>
        <v>Midium</v>
      </c>
      <c r="P871" t="str">
        <f>_xlfn.XLOOKUP(Orders[[#This Row],[Customer ID]],customers!A:A,customers!I:I,,0)</f>
        <v>Yes</v>
      </c>
      <c r="Q871" t="str">
        <f>_xlfn.XLOOKUP(C872,customers!A:A,customers!B:B,"مش موجود")</f>
        <v>Filip Antcliffe</v>
      </c>
    </row>
    <row r="872" spans="1:17" x14ac:dyDescent="0.25">
      <c r="A872" s="2" t="s">
        <v>5407</v>
      </c>
      <c r="B872" s="3">
        <v>44460</v>
      </c>
      <c r="C872" s="2" t="s">
        <v>5408</v>
      </c>
      <c r="D872" t="s">
        <v>6144</v>
      </c>
      <c r="E872" s="2">
        <v>1</v>
      </c>
      <c r="F872" s="2" t="str">
        <f>_xlfn.XLOOKUP(Orders[[#This Row],[Customer ID]],customers!A:A,customers!B:B)</f>
        <v>Filip Antcliffe</v>
      </c>
      <c r="G872" s="2" t="str" cm="1">
        <f t="array" ref="G872">IF(_xlfn.XLOOKUP(C872,customers!A871:$A$1001,customers!C871:$C$1001,,0)=0,"",_xlfn.XLOOKUP(C872,customers!A871:$A$1001,customers!C871:$C$1001,,0))</f>
        <v>fantcliffeo6@amazon.co.jp</v>
      </c>
      <c r="H872" s="2" t="str" cm="1">
        <f t="array" ref="H872">_xlfn.XLOOKUP(C872,customers!A871:$A$1001,customers!G871:$G$1001,"Ireland",0)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13"/>
        <v>7.29</v>
      </c>
      <c r="N872" t="str" cm="1">
        <f t="array" ref="N872">_xlfn.IFS(I872="Rob","Robusta",I872="Exc","Excelsa",I872="Ara","Arabica",I872="Lib","Liberica")</f>
        <v>Excelsa</v>
      </c>
      <c r="O872" t="str" cm="1">
        <f t="array" ref="O872">_xlfn.IFS(J872="M","Midium",J872="L","Light",J872="D","Dark")</f>
        <v>Dark</v>
      </c>
      <c r="P872" t="str">
        <f>_xlfn.XLOOKUP(Orders[[#This Row],[Customer ID]],customers!A:A,customers!I:I,,0)</f>
        <v>Yes</v>
      </c>
      <c r="Q872" t="str">
        <f>_xlfn.XLOOKUP(C873,customers!A:A,customers!B:B,"مش موجود")</f>
        <v>Peyter Matignon</v>
      </c>
    </row>
    <row r="873" spans="1:17" x14ac:dyDescent="0.25">
      <c r="A873" s="2" t="s">
        <v>5413</v>
      </c>
      <c r="B873" s="3">
        <v>43707</v>
      </c>
      <c r="C873" s="2" t="s">
        <v>5414</v>
      </c>
      <c r="D873" t="s">
        <v>6171</v>
      </c>
      <c r="E873" s="2">
        <v>2</v>
      </c>
      <c r="F873" s="2" t="str">
        <f>_xlfn.XLOOKUP(Orders[[#This Row],[Customer ID]],customers!A:A,customers!B:B)</f>
        <v>Peyter Matignon</v>
      </c>
      <c r="G873" s="2" t="str" cm="1">
        <f t="array" ref="G873">IF(_xlfn.XLOOKUP(C873,customers!A872:$A$1001,customers!C872:$C$1001,,0)=0,"",_xlfn.XLOOKUP(C873,customers!A872:$A$1001,customers!C872:$C$1001,,0))</f>
        <v>pmatignono7@harvard.edu</v>
      </c>
      <c r="H873" s="2" t="str" cm="1">
        <f t="array" ref="H873">_xlfn.XLOOKUP(C873,customers!A872:$A$1001,customers!G872:$G$1001,"Ireland",0)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13"/>
        <v>29.7</v>
      </c>
      <c r="N873" t="str" cm="1">
        <f t="array" ref="N873">_xlfn.IFS(I873="Rob","Robusta",I873="Exc","Excelsa",I873="Ara","Arabica",I873="Lib","Liberica")</f>
        <v>Excelsa</v>
      </c>
      <c r="O873" t="str" cm="1">
        <f t="array" ref="O873">_xlfn.IFS(J873="M","Midium",J873="L","Light",J873="D","Dark")</f>
        <v>Light</v>
      </c>
      <c r="P873" t="str">
        <f>_xlfn.XLOOKUP(Orders[[#This Row],[Customer ID]],customers!A:A,customers!I:I,,0)</f>
        <v>Yes</v>
      </c>
      <c r="Q873" t="str">
        <f>_xlfn.XLOOKUP(C874,customers!A:A,customers!B:B,"مش موجود")</f>
        <v>Claudie Weond</v>
      </c>
    </row>
    <row r="874" spans="1:17" x14ac:dyDescent="0.25">
      <c r="A874" s="2" t="s">
        <v>5421</v>
      </c>
      <c r="B874" s="3">
        <v>43521</v>
      </c>
      <c r="C874" s="2" t="s">
        <v>5422</v>
      </c>
      <c r="D874" t="s">
        <v>6155</v>
      </c>
      <c r="E874" s="2">
        <v>2</v>
      </c>
      <c r="F874" s="2" t="str">
        <f>_xlfn.XLOOKUP(Orders[[#This Row],[Customer ID]],customers!A:A,customers!B:B)</f>
        <v>Claudie Weond</v>
      </c>
      <c r="G874" s="2" t="str" cm="1">
        <f t="array" ref="G874">IF(_xlfn.XLOOKUP(C874,customers!A873:$A$1001,customers!C873:$C$1001,,0)=0,"",_xlfn.XLOOKUP(C874,customers!A873:$A$1001,customers!C873:$C$1001,,0))</f>
        <v>cweondo8@theglobeandmail.com</v>
      </c>
      <c r="H874" s="2" t="str" cm="1">
        <f t="array" ref="H874">_xlfn.XLOOKUP(C874,customers!A873:$A$1001,customers!G873:$G$1001,"Ireland",0)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13"/>
        <v>22.5</v>
      </c>
      <c r="N874" t="str" cm="1">
        <f t="array" ref="N874">_xlfn.IFS(I874="Rob","Robusta",I874="Exc","Excelsa",I874="Ara","Arabica",I874="Lib","Liberica")</f>
        <v>Arabica</v>
      </c>
      <c r="O874" t="str" cm="1">
        <f t="array" ref="O874">_xlfn.IFS(J874="M","Midium",J874="L","Light",J874="D","Dark")</f>
        <v>Midium</v>
      </c>
      <c r="P874" t="str">
        <f>_xlfn.XLOOKUP(Orders[[#This Row],[Customer ID]],customers!A:A,customers!I:I,,0)</f>
        <v>No</v>
      </c>
      <c r="Q874" t="str">
        <f>_xlfn.XLOOKUP(C875,customers!A:A,customers!B:B,"مش موجود")</f>
        <v>Modesty MacConnechie</v>
      </c>
    </row>
    <row r="875" spans="1:17" x14ac:dyDescent="0.25">
      <c r="A875" s="2" t="s">
        <v>5427</v>
      </c>
      <c r="B875" s="3">
        <v>43725</v>
      </c>
      <c r="C875" s="2" t="s">
        <v>5428</v>
      </c>
      <c r="D875" t="s">
        <v>6174</v>
      </c>
      <c r="E875" s="2">
        <v>4</v>
      </c>
      <c r="F875" s="2" t="str">
        <f>_xlfn.XLOOKUP(Orders[[#This Row],[Customer ID]],customers!A:A,customers!B:B)</f>
        <v>Modesty MacConnechie</v>
      </c>
      <c r="G875" s="2" t="str" cm="1">
        <f t="array" ref="G875">IF(_xlfn.XLOOKUP(C875,customers!A874:$A$1001,customers!C874:$C$1001,,0)=0,"",_xlfn.XLOOKUP(C875,customers!A874:$A$1001,customers!C874:$C$1001,,0))</f>
        <v>mmacconnechieo9@reuters.com</v>
      </c>
      <c r="H875" s="2" t="str" cm="1">
        <f t="array" ref="H875">_xlfn.XLOOKUP(C875,customers!A874:$A$1001,customers!G874:$G$1001,"Ireland",0)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13"/>
        <v>11.94</v>
      </c>
      <c r="N875" t="str" cm="1">
        <f t="array" ref="N875">_xlfn.IFS(I875="Rob","Robusta",I875="Exc","Excelsa",I875="Ara","Arabica",I875="Lib","Liberica")</f>
        <v>Robusta</v>
      </c>
      <c r="O875" t="str" cm="1">
        <f t="array" ref="O875">_xlfn.IFS(J875="M","Midium",J875="L","Light",J875="D","Dark")</f>
        <v>Midium</v>
      </c>
      <c r="P875" t="str">
        <f>_xlfn.XLOOKUP(Orders[[#This Row],[Customer ID]],customers!A:A,customers!I:I,,0)</f>
        <v>Yes</v>
      </c>
      <c r="Q875" t="str">
        <f>_xlfn.XLOOKUP(C876,customers!A:A,customers!B:B,"مش موجود")</f>
        <v>Jaquenette Skentelbery</v>
      </c>
    </row>
    <row r="876" spans="1:17" x14ac:dyDescent="0.25">
      <c r="A876" s="2" t="s">
        <v>5433</v>
      </c>
      <c r="B876" s="3">
        <v>43680</v>
      </c>
      <c r="C876" s="2" t="s">
        <v>5434</v>
      </c>
      <c r="D876" t="s">
        <v>6140</v>
      </c>
      <c r="E876" s="2">
        <v>2</v>
      </c>
      <c r="F876" s="2" t="str">
        <f>_xlfn.XLOOKUP(Orders[[#This Row],[Customer ID]],customers!A:A,customers!B:B)</f>
        <v>Jaquenette Skentelbery</v>
      </c>
      <c r="G876" s="2" t="str" cm="1">
        <f t="array" ref="G876">IF(_xlfn.XLOOKUP(C876,customers!A875:$A$1001,customers!C875:$C$1001,,0)=0,"",_xlfn.XLOOKUP(C876,customers!A875:$A$1001,customers!C875:$C$1001,,0))</f>
        <v>jskentelberyoa@paypal.com</v>
      </c>
      <c r="H876" s="2" t="str" cm="1">
        <f t="array" ref="H876">_xlfn.XLOOKUP(C876,customers!A875:$A$1001,customers!G875:$G$1001,"Ireland",0)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13"/>
        <v>25.9</v>
      </c>
      <c r="N876" t="str" cm="1">
        <f t="array" ref="N876">_xlfn.IFS(I876="Rob","Robusta",I876="Exc","Excelsa",I876="Ara","Arabica",I876="Lib","Liberica")</f>
        <v>Arabica</v>
      </c>
      <c r="O876" t="str" cm="1">
        <f t="array" ref="O876">_xlfn.IFS(J876="M","Midium",J876="L","Light",J876="D","Dark")</f>
        <v>Light</v>
      </c>
      <c r="P876" t="str">
        <f>_xlfn.XLOOKUP(Orders[[#This Row],[Customer ID]],customers!A:A,customers!I:I,,0)</f>
        <v>No</v>
      </c>
      <c r="Q876" t="str">
        <f>_xlfn.XLOOKUP(C877,customers!A:A,customers!B:B,"مش موجود")</f>
        <v>Orazio Comber</v>
      </c>
    </row>
    <row r="877" spans="1:17" x14ac:dyDescent="0.25">
      <c r="A877" s="2" t="s">
        <v>5439</v>
      </c>
      <c r="B877" s="3">
        <v>44253</v>
      </c>
      <c r="C877" s="2" t="s">
        <v>5440</v>
      </c>
      <c r="D877" t="s">
        <v>6160</v>
      </c>
      <c r="E877" s="2">
        <v>5</v>
      </c>
      <c r="F877" s="2" t="str">
        <f>_xlfn.XLOOKUP(Orders[[#This Row],[Customer ID]],customers!A:A,customers!B:B)</f>
        <v>Orazio Comber</v>
      </c>
      <c r="G877" s="2" t="str" cm="1">
        <f t="array" ref="G877">IF(_xlfn.XLOOKUP(C877,customers!A876:$A$1001,customers!C876:$C$1001,,0)=0,"",_xlfn.XLOOKUP(C877,customers!A876:$A$1001,customers!C876:$C$1001,,0))</f>
        <v>ocomberob@goo.gl</v>
      </c>
      <c r="H877" s="2" t="str" cm="1">
        <f t="array" ref="H877">_xlfn.XLOOKUP(C877,customers!A876:$A$1001,customers!G876:$G$1001,"Ireland",0)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13"/>
        <v>43.650000000000006</v>
      </c>
      <c r="N877" t="str" cm="1">
        <f t="array" ref="N877">_xlfn.IFS(I877="Rob","Robusta",I877="Exc","Excelsa",I877="Ara","Arabica",I877="Lib","Liberica")</f>
        <v>Liberica</v>
      </c>
      <c r="O877" t="str" cm="1">
        <f t="array" ref="O877">_xlfn.IFS(J877="M","Midium",J877="L","Light",J877="D","Dark")</f>
        <v>Midium</v>
      </c>
      <c r="P877" t="str">
        <f>_xlfn.XLOOKUP(Orders[[#This Row],[Customer ID]],customers!A:A,customers!I:I,,0)</f>
        <v>No</v>
      </c>
      <c r="Q877" t="str">
        <f>_xlfn.XLOOKUP(C878,customers!A:A,customers!B:B,"مش موجود")</f>
        <v>Orazio Comber</v>
      </c>
    </row>
    <row r="878" spans="1:17" x14ac:dyDescent="0.25">
      <c r="A878" s="2" t="s">
        <v>5439</v>
      </c>
      <c r="B878" s="3">
        <v>44253</v>
      </c>
      <c r="C878" s="2" t="s">
        <v>5440</v>
      </c>
      <c r="D878" t="s">
        <v>6180</v>
      </c>
      <c r="E878" s="2">
        <v>6</v>
      </c>
      <c r="F878" s="2" t="str">
        <f>_xlfn.XLOOKUP(Orders[[#This Row],[Customer ID]],customers!A:A,customers!B:B)</f>
        <v>Orazio Comber</v>
      </c>
      <c r="G878" s="2" t="str" cm="1">
        <f t="array" ref="G878">IF(_xlfn.XLOOKUP(C878,customers!A877:$A$1001,customers!C877:$C$1001,,0)=0,"",_xlfn.XLOOKUP(C878,customers!A877:$A$1001,customers!C877:$C$1001,,0))</f>
        <v>ocomberob@goo.gl</v>
      </c>
      <c r="H878" s="2" t="str" cm="1">
        <f t="array" ref="H878">_xlfn.XLOOKUP(C878,customers!A877:$A$1001,customers!G877:$G$1001,"Ireland",0)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13"/>
        <v>46.62</v>
      </c>
      <c r="N878" t="str" cm="1">
        <f t="array" ref="N878">_xlfn.IFS(I878="Rob","Robusta",I878="Exc","Excelsa",I878="Ara","Arabica",I878="Lib","Liberica")</f>
        <v>Arabica</v>
      </c>
      <c r="O878" t="str" cm="1">
        <f t="array" ref="O878">_xlfn.IFS(J878="M","Midium",J878="L","Light",J878="D","Dark")</f>
        <v>Light</v>
      </c>
      <c r="P878" t="str">
        <f>_xlfn.XLOOKUP(Orders[[#This Row],[Customer ID]],customers!A:A,customers!I:I,,0)</f>
        <v>No</v>
      </c>
      <c r="Q878" t="str">
        <f>_xlfn.XLOOKUP(C879,customers!A:A,customers!B:B,"مش موجود")</f>
        <v>Zachary Tramel</v>
      </c>
    </row>
    <row r="879" spans="1:17" x14ac:dyDescent="0.25">
      <c r="A879" s="2" t="s">
        <v>5450</v>
      </c>
      <c r="B879" s="3">
        <v>44411</v>
      </c>
      <c r="C879" s="2" t="s">
        <v>5451</v>
      </c>
      <c r="D879" t="s">
        <v>6161</v>
      </c>
      <c r="E879" s="2">
        <v>3</v>
      </c>
      <c r="F879" s="2" t="str">
        <f>_xlfn.XLOOKUP(Orders[[#This Row],[Customer ID]],customers!A:A,customers!B:B)</f>
        <v>Zachary Tramel</v>
      </c>
      <c r="G879" s="2" t="str" cm="1">
        <f t="array" ref="G879">IF(_xlfn.XLOOKUP(C879,customers!A878:$A$1001,customers!C878:$C$1001,,0)=0,"",_xlfn.XLOOKUP(C879,customers!A878:$A$1001,customers!C878:$C$1001,,0))</f>
        <v>ztramelod@netlog.com</v>
      </c>
      <c r="H879" s="2" t="str" cm="1">
        <f t="array" ref="H879">_xlfn.XLOOKUP(C879,customers!A878:$A$1001,customers!G878:$G$1001,"Ireland",0)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13"/>
        <v>28.53</v>
      </c>
      <c r="N879" t="str" cm="1">
        <f t="array" ref="N879">_xlfn.IFS(I879="Rob","Robusta",I879="Exc","Excelsa",I879="Ara","Arabica",I879="Lib","Liberica")</f>
        <v>Liberica</v>
      </c>
      <c r="O879" t="str" cm="1">
        <f t="array" ref="O879">_xlfn.IFS(J879="M","Midium",J879="L","Light",J879="D","Dark")</f>
        <v>Light</v>
      </c>
      <c r="P879" t="str">
        <f>_xlfn.XLOOKUP(Orders[[#This Row],[Customer ID]],customers!A:A,customers!I:I,,0)</f>
        <v>No</v>
      </c>
      <c r="Q879" t="str">
        <f>_xlfn.XLOOKUP(C880,customers!A:A,customers!B:B,"مش موجود")</f>
        <v>Izaak Primak</v>
      </c>
    </row>
    <row r="880" spans="1:17" x14ac:dyDescent="0.25">
      <c r="A880" s="2" t="s">
        <v>5456</v>
      </c>
      <c r="B880" s="3">
        <v>44323</v>
      </c>
      <c r="C880" s="2" t="s">
        <v>5457</v>
      </c>
      <c r="D880" t="s">
        <v>6142</v>
      </c>
      <c r="E880" s="2">
        <v>1</v>
      </c>
      <c r="F880" s="2" t="str">
        <f>_xlfn.XLOOKUP(Orders[[#This Row],[Customer ID]],customers!A:A,customers!B:B)</f>
        <v>Izaak Primak</v>
      </c>
      <c r="G880" s="2" t="str" cm="1">
        <f t="array" ref="G880">IF(_xlfn.XLOOKUP(C880,customers!A879:$A$1001,customers!C879:$C$1001,,0)=0,"",_xlfn.XLOOKUP(C880,customers!A879:$A$1001,customers!C879:$C$1001,,0))</f>
        <v/>
      </c>
      <c r="H880" s="2" t="str" cm="1">
        <f t="array" ref="H880">_xlfn.XLOOKUP(C880,customers!A879:$A$1001,customers!G879:$G$1001,"Ireland",0)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13"/>
        <v>27.484999999999996</v>
      </c>
      <c r="N880" t="str" cm="1">
        <f t="array" ref="N880">_xlfn.IFS(I880="Rob","Robusta",I880="Exc","Excelsa",I880="Ara","Arabica",I880="Lib","Liberica")</f>
        <v>Robusta</v>
      </c>
      <c r="O880" t="str" cm="1">
        <f t="array" ref="O880">_xlfn.IFS(J880="M","Midium",J880="L","Light",J880="D","Dark")</f>
        <v>Light</v>
      </c>
      <c r="P880" t="str">
        <f>_xlfn.XLOOKUP(Orders[[#This Row],[Customer ID]],customers!A:A,customers!I:I,,0)</f>
        <v>Yes</v>
      </c>
      <c r="Q880" t="str">
        <f>_xlfn.XLOOKUP(C881,customers!A:A,customers!B:B,"مش موجود")</f>
        <v>Brittani Thoresbie</v>
      </c>
    </row>
    <row r="881" spans="1:17" x14ac:dyDescent="0.25">
      <c r="A881" s="2" t="s">
        <v>5461</v>
      </c>
      <c r="B881" s="3">
        <v>43630</v>
      </c>
      <c r="C881" s="2" t="s">
        <v>5462</v>
      </c>
      <c r="D881" t="s">
        <v>6153</v>
      </c>
      <c r="E881" s="2">
        <v>3</v>
      </c>
      <c r="F881" s="2" t="str">
        <f>_xlfn.XLOOKUP(Orders[[#This Row],[Customer ID]],customers!A:A,customers!B:B)</f>
        <v>Brittani Thoresbie</v>
      </c>
      <c r="G881" s="2" t="str" cm="1">
        <f t="array" ref="G881">IF(_xlfn.XLOOKUP(C881,customers!A880:$A$1001,customers!C880:$C$1001,,0)=0,"",_xlfn.XLOOKUP(C881,customers!A880:$A$1001,customers!C880:$C$1001,,0))</f>
        <v/>
      </c>
      <c r="H881" s="2" t="str" cm="1">
        <f t="array" ref="H881">_xlfn.XLOOKUP(C881,customers!A880:$A$1001,customers!G880:$G$1001,"Ireland",0)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13"/>
        <v>10.935</v>
      </c>
      <c r="N881" t="str" cm="1">
        <f t="array" ref="N881">_xlfn.IFS(I881="Rob","Robusta",I881="Exc","Excelsa",I881="Ara","Arabica",I881="Lib","Liberica")</f>
        <v>Excelsa</v>
      </c>
      <c r="O881" t="str" cm="1">
        <f t="array" ref="O881">_xlfn.IFS(J881="M","Midium",J881="L","Light",J881="D","Dark")</f>
        <v>Dark</v>
      </c>
      <c r="P881" t="str">
        <f>_xlfn.XLOOKUP(Orders[[#This Row],[Customer ID]],customers!A:A,customers!I:I,,0)</f>
        <v>No</v>
      </c>
      <c r="Q881" t="str">
        <f>_xlfn.XLOOKUP(C882,customers!A:A,customers!B:B,"مش موجود")</f>
        <v>Constanta Hatfull</v>
      </c>
    </row>
    <row r="882" spans="1:17" x14ac:dyDescent="0.25">
      <c r="A882" s="2" t="s">
        <v>5466</v>
      </c>
      <c r="B882" s="3">
        <v>43790</v>
      </c>
      <c r="C882" s="2" t="s">
        <v>5467</v>
      </c>
      <c r="D882" t="s">
        <v>6178</v>
      </c>
      <c r="E882" s="2">
        <v>2</v>
      </c>
      <c r="F882" s="2" t="str">
        <f>_xlfn.XLOOKUP(Orders[[#This Row],[Customer ID]],customers!A:A,customers!B:B)</f>
        <v>Constanta Hatfull</v>
      </c>
      <c r="G882" s="2" t="str" cm="1">
        <f t="array" ref="G882">IF(_xlfn.XLOOKUP(C882,customers!A881:$A$1001,customers!C881:$C$1001,,0)=0,"",_xlfn.XLOOKUP(C882,customers!A881:$A$1001,customers!C881:$C$1001,,0))</f>
        <v>chatfullog@ebay.com</v>
      </c>
      <c r="H882" s="2" t="str" cm="1">
        <f t="array" ref="H882">_xlfn.XLOOKUP(C882,customers!A881:$A$1001,customers!G881:$G$1001,"Ireland",0)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13"/>
        <v>7.169999999999999</v>
      </c>
      <c r="N882" t="str" cm="1">
        <f t="array" ref="N882">_xlfn.IFS(I882="Rob","Robusta",I882="Exc","Excelsa",I882="Ara","Arabica",I882="Lib","Liberica")</f>
        <v>Robusta</v>
      </c>
      <c r="O882" t="str" cm="1">
        <f t="array" ref="O882">_xlfn.IFS(J882="M","Midium",J882="L","Light",J882="D","Dark")</f>
        <v>Light</v>
      </c>
      <c r="P882" t="str">
        <f>_xlfn.XLOOKUP(Orders[[#This Row],[Customer ID]],customers!A:A,customers!I:I,,0)</f>
        <v>No</v>
      </c>
      <c r="Q882" t="str">
        <f>_xlfn.XLOOKUP(C883,customers!A:A,customers!B:B,"مش موجود")</f>
        <v>Bobbe Castagneto</v>
      </c>
    </row>
    <row r="883" spans="1:17" x14ac:dyDescent="0.25">
      <c r="A883" s="2" t="s">
        <v>5472</v>
      </c>
      <c r="B883" s="3">
        <v>44286</v>
      </c>
      <c r="C883" s="2" t="s">
        <v>5473</v>
      </c>
      <c r="D883" t="s">
        <v>6167</v>
      </c>
      <c r="E883" s="2">
        <v>6</v>
      </c>
      <c r="F883" s="2" t="str">
        <f>_xlfn.XLOOKUP(Orders[[#This Row],[Customer ID]],customers!A:A,customers!B:B)</f>
        <v>Bobbe Castagneto</v>
      </c>
      <c r="G883" s="2" t="str" cm="1">
        <f t="array" ref="G883">IF(_xlfn.XLOOKUP(C883,customers!A882:$A$1001,customers!C882:$C$1001,,0)=0,"",_xlfn.XLOOKUP(C883,customers!A882:$A$1001,customers!C882:$C$1001,,0))</f>
        <v/>
      </c>
      <c r="H883" s="2" t="str" cm="1">
        <f t="array" ref="H883">_xlfn.XLOOKUP(C883,customers!A882:$A$1001,customers!G882:$G$1001,"Ireland",0)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13"/>
        <v>23.31</v>
      </c>
      <c r="N883" t="str" cm="1">
        <f t="array" ref="N883">_xlfn.IFS(I883="Rob","Robusta",I883="Exc","Excelsa",I883="Ara","Arabica",I883="Lib","Liberica")</f>
        <v>Arabica</v>
      </c>
      <c r="O883" t="str" cm="1">
        <f t="array" ref="O883">_xlfn.IFS(J883="M","Midium",J883="L","Light",J883="D","Dark")</f>
        <v>Light</v>
      </c>
      <c r="P883" t="str">
        <f>_xlfn.XLOOKUP(Orders[[#This Row],[Customer ID]],customers!A:A,customers!I:I,,0)</f>
        <v>Yes</v>
      </c>
      <c r="Q883" t="str">
        <f>_xlfn.XLOOKUP(C884,customers!A:A,customers!B:B,"مش موجود")</f>
        <v>Kippie Marrison</v>
      </c>
    </row>
    <row r="884" spans="1:17" x14ac:dyDescent="0.25">
      <c r="A884" s="2" t="s">
        <v>5477</v>
      </c>
      <c r="B884" s="3">
        <v>43647</v>
      </c>
      <c r="C884" s="2" t="s">
        <v>5526</v>
      </c>
      <c r="D884" t="s">
        <v>6168</v>
      </c>
      <c r="E884" s="2">
        <v>5</v>
      </c>
      <c r="F884" s="2" t="str">
        <f>_xlfn.XLOOKUP(Orders[[#This Row],[Customer ID]],customers!A:A,customers!B:B)</f>
        <v>Kippie Marrison</v>
      </c>
      <c r="G884" s="2" t="str" cm="1">
        <f t="array" ref="G884">IF(_xlfn.XLOOKUP(C884,customers!A883:$A$1001,customers!C883:$C$1001,,0)=0,"",_xlfn.XLOOKUP(C884,customers!A883:$A$1001,customers!C883:$C$1001,,0))</f>
        <v>kmarrisonoq@dropbox.com</v>
      </c>
      <c r="H884" s="2" t="str" cm="1">
        <f t="array" ref="H884">_xlfn.XLOOKUP(C884,customers!A883:$A$1001,customers!G883:$G$1001,"Ireland",0)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13"/>
        <v>114.42499999999998</v>
      </c>
      <c r="N884" t="str" cm="1">
        <f t="array" ref="N884">_xlfn.IFS(I884="Rob","Robusta",I884="Exc","Excelsa",I884="Ara","Arabica",I884="Lib","Liberica")</f>
        <v>Arabica</v>
      </c>
      <c r="O884" t="str" cm="1">
        <f t="array" ref="O884">_xlfn.IFS(J884="M","Midium",J884="L","Light",J884="D","Dark")</f>
        <v>Dark</v>
      </c>
      <c r="P884" t="str">
        <f>_xlfn.XLOOKUP(Orders[[#This Row],[Customer ID]],customers!A:A,customers!I:I,,0)</f>
        <v>Yes</v>
      </c>
      <c r="Q884" t="str">
        <f>_xlfn.XLOOKUP(C885,customers!A:A,customers!B:B,"مش موجود")</f>
        <v>Lindon Agnolo</v>
      </c>
    </row>
    <row r="885" spans="1:17" x14ac:dyDescent="0.25">
      <c r="A885" s="2" t="s">
        <v>5483</v>
      </c>
      <c r="B885" s="3">
        <v>43956</v>
      </c>
      <c r="C885" s="2" t="s">
        <v>5484</v>
      </c>
      <c r="D885" t="s">
        <v>6175</v>
      </c>
      <c r="E885" s="2">
        <v>3</v>
      </c>
      <c r="F885" s="2" t="str">
        <f>_xlfn.XLOOKUP(Orders[[#This Row],[Customer ID]],customers!A:A,customers!B:B)</f>
        <v>Lindon Agnolo</v>
      </c>
      <c r="G885" s="2" t="str" cm="1">
        <f t="array" ref="G885">IF(_xlfn.XLOOKUP(C885,customers!A884:$A$1001,customers!C884:$C$1001,,0)=0,"",_xlfn.XLOOKUP(C885,customers!A884:$A$1001,customers!C884:$C$1001,,0))</f>
        <v>lagnolooj@pinterest.com</v>
      </c>
      <c r="H885" s="2" t="str" cm="1">
        <f t="array" ref="H885">_xlfn.XLOOKUP(C885,customers!A884:$A$1001,customers!G884:$G$1001,"Ireland",0)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13"/>
        <v>77.624999999999986</v>
      </c>
      <c r="N885" t="str" cm="1">
        <f t="array" ref="N885">_xlfn.IFS(I885="Rob","Robusta",I885="Exc","Excelsa",I885="Ara","Arabica",I885="Lib","Liberica")</f>
        <v>Arabica</v>
      </c>
      <c r="O885" t="str" cm="1">
        <f t="array" ref="O885">_xlfn.IFS(J885="M","Midium",J885="L","Light",J885="D","Dark")</f>
        <v>Midium</v>
      </c>
      <c r="P885" t="str">
        <f>_xlfn.XLOOKUP(Orders[[#This Row],[Customer ID]],customers!A:A,customers!I:I,,0)</f>
        <v>Yes</v>
      </c>
      <c r="Q885" t="str">
        <f>_xlfn.XLOOKUP(C886,customers!A:A,customers!B:B,"مش موجود")</f>
        <v>Delainey Kiddy</v>
      </c>
    </row>
    <row r="886" spans="1:17" x14ac:dyDescent="0.25">
      <c r="A886" s="2" t="s">
        <v>5489</v>
      </c>
      <c r="B886" s="3">
        <v>43941</v>
      </c>
      <c r="C886" s="2" t="s">
        <v>5490</v>
      </c>
      <c r="D886" t="s">
        <v>6172</v>
      </c>
      <c r="E886" s="2">
        <v>1</v>
      </c>
      <c r="F886" s="2" t="str">
        <f>_xlfn.XLOOKUP(Orders[[#This Row],[Customer ID]],customers!A:A,customers!B:B)</f>
        <v>Delainey Kiddy</v>
      </c>
      <c r="G886" s="2" t="str" cm="1">
        <f t="array" ref="G886">IF(_xlfn.XLOOKUP(C886,customers!A885:$A$1001,customers!C885:$C$1001,,0)=0,"",_xlfn.XLOOKUP(C886,customers!A885:$A$1001,customers!C885:$C$1001,,0))</f>
        <v>dkiddyok@fda.gov</v>
      </c>
      <c r="H886" s="2" t="str" cm="1">
        <f t="array" ref="H886">_xlfn.XLOOKUP(C886,customers!A885:$A$1001,customers!G885:$G$1001,"Ireland",0)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13"/>
        <v>5.3699999999999992</v>
      </c>
      <c r="N886" t="str" cm="1">
        <f t="array" ref="N886">_xlfn.IFS(I886="Rob","Robusta",I886="Exc","Excelsa",I886="Ara","Arabica",I886="Lib","Liberica")</f>
        <v>Robusta</v>
      </c>
      <c r="O886" t="str" cm="1">
        <f t="array" ref="O886">_xlfn.IFS(J886="M","Midium",J886="L","Light",J886="D","Dark")</f>
        <v>Dark</v>
      </c>
      <c r="P886" t="str">
        <f>_xlfn.XLOOKUP(Orders[[#This Row],[Customer ID]],customers!A:A,customers!I:I,,0)</f>
        <v>Yes</v>
      </c>
      <c r="Q886" t="str">
        <f>_xlfn.XLOOKUP(C887,customers!A:A,customers!B:B,"مش موجود")</f>
        <v>Helli Petroulis</v>
      </c>
    </row>
    <row r="887" spans="1:17" x14ac:dyDescent="0.25">
      <c r="A887" s="2" t="s">
        <v>5495</v>
      </c>
      <c r="B887" s="3">
        <v>43664</v>
      </c>
      <c r="C887" s="2" t="s">
        <v>5496</v>
      </c>
      <c r="D887" t="s">
        <v>6149</v>
      </c>
      <c r="E887" s="2">
        <v>6</v>
      </c>
      <c r="F887" s="2" t="str">
        <f>_xlfn.XLOOKUP(Orders[[#This Row],[Customer ID]],customers!A:A,customers!B:B)</f>
        <v>Helli Petroulis</v>
      </c>
      <c r="G887" s="2" t="str" cm="1">
        <f t="array" ref="G887">IF(_xlfn.XLOOKUP(C887,customers!A886:$A$1001,customers!C886:$C$1001,,0)=0,"",_xlfn.XLOOKUP(C887,customers!A886:$A$1001,customers!C886:$C$1001,,0))</f>
        <v>hpetroulisol@state.tx.us</v>
      </c>
      <c r="H887" s="2" t="str" cm="1">
        <f t="array" ref="H887">_xlfn.XLOOKUP(C887,customers!A886:$A$1001,customers!G886:$G$1001,"Ireland",0)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13"/>
        <v>123.50999999999999</v>
      </c>
      <c r="N887" t="str" cm="1">
        <f t="array" ref="N887">_xlfn.IFS(I887="Rob","Robusta",I887="Exc","Excelsa",I887="Ara","Arabica",I887="Lib","Liberica")</f>
        <v>Robusta</v>
      </c>
      <c r="O887" t="str" cm="1">
        <f t="array" ref="O887">_xlfn.IFS(J887="M","Midium",J887="L","Light",J887="D","Dark")</f>
        <v>Dark</v>
      </c>
      <c r="P887" t="str">
        <f>_xlfn.XLOOKUP(Orders[[#This Row],[Customer ID]],customers!A:A,customers!I:I,,0)</f>
        <v>No</v>
      </c>
      <c r="Q887" t="str">
        <f>_xlfn.XLOOKUP(C888,customers!A:A,customers!B:B,"مش موجود")</f>
        <v>Marty Scholl</v>
      </c>
    </row>
    <row r="888" spans="1:17" x14ac:dyDescent="0.25">
      <c r="A888" s="2" t="s">
        <v>5501</v>
      </c>
      <c r="B888" s="3">
        <v>44518</v>
      </c>
      <c r="C888" s="2" t="s">
        <v>5502</v>
      </c>
      <c r="D888" t="s">
        <v>6160</v>
      </c>
      <c r="E888" s="2">
        <v>2</v>
      </c>
      <c r="F888" s="2" t="str">
        <f>_xlfn.XLOOKUP(Orders[[#This Row],[Customer ID]],customers!A:A,customers!B:B)</f>
        <v>Marty Scholl</v>
      </c>
      <c r="G888" s="2" t="str" cm="1">
        <f t="array" ref="G888">IF(_xlfn.XLOOKUP(C888,customers!A887:$A$1001,customers!C887:$C$1001,,0)=0,"",_xlfn.XLOOKUP(C888,customers!A887:$A$1001,customers!C887:$C$1001,,0))</f>
        <v>mschollom@taobao.com</v>
      </c>
      <c r="H888" s="2" t="str" cm="1">
        <f t="array" ref="H888">_xlfn.XLOOKUP(C888,customers!A887:$A$1001,customers!G887:$G$1001,"Ireland",0)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13"/>
        <v>17.46</v>
      </c>
      <c r="N888" t="str" cm="1">
        <f t="array" ref="N888">_xlfn.IFS(I888="Rob","Robusta",I888="Exc","Excelsa",I888="Ara","Arabica",I888="Lib","Liberica")</f>
        <v>Liberica</v>
      </c>
      <c r="O888" t="str" cm="1">
        <f t="array" ref="O888">_xlfn.IFS(J888="M","Midium",J888="L","Light",J888="D","Dark")</f>
        <v>Midium</v>
      </c>
      <c r="P888" t="str">
        <f>_xlfn.XLOOKUP(Orders[[#This Row],[Customer ID]],customers!A:A,customers!I:I,,0)</f>
        <v>No</v>
      </c>
      <c r="Q888" t="str">
        <f>_xlfn.XLOOKUP(C889,customers!A:A,customers!B:B,"مش موجود")</f>
        <v>Kienan Ferson</v>
      </c>
    </row>
    <row r="889" spans="1:17" x14ac:dyDescent="0.25">
      <c r="A889" s="2" t="s">
        <v>5507</v>
      </c>
      <c r="B889" s="3">
        <v>44002</v>
      </c>
      <c r="C889" s="2" t="s">
        <v>5508</v>
      </c>
      <c r="D889" t="s">
        <v>6184</v>
      </c>
      <c r="E889" s="2">
        <v>3</v>
      </c>
      <c r="F889" s="2" t="str">
        <f>_xlfn.XLOOKUP(Orders[[#This Row],[Customer ID]],customers!A:A,customers!B:B)</f>
        <v>Kienan Ferson</v>
      </c>
      <c r="G889" s="2" t="str" cm="1">
        <f t="array" ref="G889">IF(_xlfn.XLOOKUP(C889,customers!A888:$A$1001,customers!C888:$C$1001,,0)=0,"",_xlfn.XLOOKUP(C889,customers!A888:$A$1001,customers!C888:$C$1001,,0))</f>
        <v>kfersonon@g.co</v>
      </c>
      <c r="H889" s="2" t="str" cm="1">
        <f t="array" ref="H889">_xlfn.XLOOKUP(C889,customers!A888:$A$1001,customers!G888:$G$1001,"Ireland",0)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13"/>
        <v>13.365</v>
      </c>
      <c r="N889" t="str" cm="1">
        <f t="array" ref="N889">_xlfn.IFS(I889="Rob","Robusta",I889="Exc","Excelsa",I889="Ara","Arabica",I889="Lib","Liberica")</f>
        <v>Excelsa</v>
      </c>
      <c r="O889" t="str" cm="1">
        <f t="array" ref="O889">_xlfn.IFS(J889="M","Midium",J889="L","Light",J889="D","Dark")</f>
        <v>Light</v>
      </c>
      <c r="P889" t="str">
        <f>_xlfn.XLOOKUP(Orders[[#This Row],[Customer ID]],customers!A:A,customers!I:I,,0)</f>
        <v>No</v>
      </c>
      <c r="Q889" t="str">
        <f>_xlfn.XLOOKUP(C890,customers!A:A,customers!B:B,"مش موجود")</f>
        <v>Blake Kelloway</v>
      </c>
    </row>
    <row r="890" spans="1:17" x14ac:dyDescent="0.25">
      <c r="A890" s="2" t="s">
        <v>5513</v>
      </c>
      <c r="B890" s="3">
        <v>44292</v>
      </c>
      <c r="C890" s="2" t="s">
        <v>5514</v>
      </c>
      <c r="D890" t="s">
        <v>6167</v>
      </c>
      <c r="E890" s="2">
        <v>2</v>
      </c>
      <c r="F890" s="2" t="str">
        <f>_xlfn.XLOOKUP(Orders[[#This Row],[Customer ID]],customers!A:A,customers!B:B)</f>
        <v>Blake Kelloway</v>
      </c>
      <c r="G890" s="2" t="str" cm="1">
        <f t="array" ref="G890">IF(_xlfn.XLOOKUP(C890,customers!A889:$A$1001,customers!C889:$C$1001,,0)=0,"",_xlfn.XLOOKUP(C890,customers!A889:$A$1001,customers!C889:$C$1001,,0))</f>
        <v>bkellowayoo@omniture.com</v>
      </c>
      <c r="H890" s="2" t="str" cm="1">
        <f t="array" ref="H890">_xlfn.XLOOKUP(C890,customers!A889:$A$1001,customers!G889:$G$1001,"Ireland",0)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13"/>
        <v>7.77</v>
      </c>
      <c r="N890" t="str" cm="1">
        <f t="array" ref="N890">_xlfn.IFS(I890="Rob","Robusta",I890="Exc","Excelsa",I890="Ara","Arabica",I890="Lib","Liberica")</f>
        <v>Arabica</v>
      </c>
      <c r="O890" t="str" cm="1">
        <f t="array" ref="O890">_xlfn.IFS(J890="M","Midium",J890="L","Light",J890="D","Dark")</f>
        <v>Light</v>
      </c>
      <c r="P890" t="str">
        <f>_xlfn.XLOOKUP(Orders[[#This Row],[Customer ID]],customers!A:A,customers!I:I,,0)</f>
        <v>Yes</v>
      </c>
      <c r="Q890" t="str">
        <f>_xlfn.XLOOKUP(C891,customers!A:A,customers!B:B,"مش موجود")</f>
        <v>Scarlett Oliffe</v>
      </c>
    </row>
    <row r="891" spans="1:17" x14ac:dyDescent="0.25">
      <c r="A891" s="2" t="s">
        <v>5519</v>
      </c>
      <c r="B891" s="3">
        <v>43633</v>
      </c>
      <c r="C891" s="2" t="s">
        <v>5520</v>
      </c>
      <c r="D891" t="s">
        <v>6163</v>
      </c>
      <c r="E891" s="2">
        <v>1</v>
      </c>
      <c r="F891" s="2" t="str">
        <f>_xlfn.XLOOKUP(Orders[[#This Row],[Customer ID]],customers!A:A,customers!B:B)</f>
        <v>Scarlett Oliffe</v>
      </c>
      <c r="G891" s="2" t="str" cm="1">
        <f t="array" ref="G891">IF(_xlfn.XLOOKUP(C891,customers!A890:$A$1001,customers!C890:$C$1001,,0)=0,"",_xlfn.XLOOKUP(C891,customers!A890:$A$1001,customers!C890:$C$1001,,0))</f>
        <v>soliffeop@yellowbook.com</v>
      </c>
      <c r="H891" s="2" t="str" cm="1">
        <f t="array" ref="H891">_xlfn.XLOOKUP(C891,customers!A890:$A$1001,customers!G890:$G$1001,"Ireland",0)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13"/>
        <v>2.6849999999999996</v>
      </c>
      <c r="N891" t="str" cm="1">
        <f t="array" ref="N891">_xlfn.IFS(I891="Rob","Robusta",I891="Exc","Excelsa",I891="Ara","Arabica",I891="Lib","Liberica")</f>
        <v>Robusta</v>
      </c>
      <c r="O891" t="str" cm="1">
        <f t="array" ref="O891">_xlfn.IFS(J891="M","Midium",J891="L","Light",J891="D","Dark")</f>
        <v>Dark</v>
      </c>
      <c r="P891" t="str">
        <f>_xlfn.XLOOKUP(Orders[[#This Row],[Customer ID]],customers!A:A,customers!I:I,,0)</f>
        <v>Yes</v>
      </c>
      <c r="Q891" t="str">
        <f>_xlfn.XLOOKUP(C892,customers!A:A,customers!B:B,"مش موجود")</f>
        <v>Kippie Marrison</v>
      </c>
    </row>
    <row r="892" spans="1:17" x14ac:dyDescent="0.25">
      <c r="A892" s="2" t="s">
        <v>5525</v>
      </c>
      <c r="B892" s="3">
        <v>44646</v>
      </c>
      <c r="C892" s="2" t="s">
        <v>5526</v>
      </c>
      <c r="D892" t="s">
        <v>6149</v>
      </c>
      <c r="E892" s="2">
        <v>1</v>
      </c>
      <c r="F892" s="2" t="str">
        <f>_xlfn.XLOOKUP(Orders[[#This Row],[Customer ID]],customers!A:A,customers!B:B)</f>
        <v>Kippie Marrison</v>
      </c>
      <c r="G892" s="2" t="str" cm="1">
        <f t="array" ref="G892">IF(_xlfn.XLOOKUP(C892,customers!A891:$A$1001,customers!C891:$C$1001,,0)=0,"",_xlfn.XLOOKUP(C892,customers!A891:$A$1001,customers!C891:$C$1001,,0))</f>
        <v>kmarrisonoq@dropbox.com</v>
      </c>
      <c r="H892" s="2" t="str" cm="1">
        <f t="array" ref="H892">_xlfn.XLOOKUP(C892,customers!A891:$A$1001,customers!G891:$G$1001,"Ireland",0)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13"/>
        <v>20.584999999999997</v>
      </c>
      <c r="N892" t="str" cm="1">
        <f t="array" ref="N892">_xlfn.IFS(I892="Rob","Robusta",I892="Exc","Excelsa",I892="Ara","Arabica",I892="Lib","Liberica")</f>
        <v>Robusta</v>
      </c>
      <c r="O892" t="str" cm="1">
        <f t="array" ref="O892">_xlfn.IFS(J892="M","Midium",J892="L","Light",J892="D","Dark")</f>
        <v>Dark</v>
      </c>
      <c r="P892" t="str">
        <f>_xlfn.XLOOKUP(Orders[[#This Row],[Customer ID]],customers!A:A,customers!I:I,,0)</f>
        <v>Yes</v>
      </c>
      <c r="Q892" t="str">
        <f>_xlfn.XLOOKUP(C893,customers!A:A,customers!B:B,"مش موجود")</f>
        <v>Celestia Dolohunty</v>
      </c>
    </row>
    <row r="893" spans="1:17" x14ac:dyDescent="0.25">
      <c r="A893" s="2" t="s">
        <v>5531</v>
      </c>
      <c r="B893" s="3">
        <v>44469</v>
      </c>
      <c r="C893" s="2" t="s">
        <v>5532</v>
      </c>
      <c r="D893" t="s">
        <v>6168</v>
      </c>
      <c r="E893" s="2">
        <v>5</v>
      </c>
      <c r="F893" s="2" t="str">
        <f>_xlfn.XLOOKUP(Orders[[#This Row],[Customer ID]],customers!A:A,customers!B:B)</f>
        <v>Celestia Dolohunty</v>
      </c>
      <c r="G893" s="2" t="str" cm="1">
        <f t="array" ref="G893">IF(_xlfn.XLOOKUP(C893,customers!A892:$A$1001,customers!C892:$C$1001,,0)=0,"",_xlfn.XLOOKUP(C893,customers!A892:$A$1001,customers!C892:$C$1001,,0))</f>
        <v>cdolohuntyor@dailymail.co.uk</v>
      </c>
      <c r="H893" s="2" t="str" cm="1">
        <f t="array" ref="H893">_xlfn.XLOOKUP(C893,customers!A892:$A$1001,customers!G892:$G$1001,"Ireland",0)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13"/>
        <v>114.42499999999998</v>
      </c>
      <c r="N893" t="str" cm="1">
        <f t="array" ref="N893">_xlfn.IFS(I893="Rob","Robusta",I893="Exc","Excelsa",I893="Ara","Arabica",I893="Lib","Liberica")</f>
        <v>Arabica</v>
      </c>
      <c r="O893" t="str" cm="1">
        <f t="array" ref="O893">_xlfn.IFS(J893="M","Midium",J893="L","Light",J893="D","Dark")</f>
        <v>Dark</v>
      </c>
      <c r="P893" t="str">
        <f>_xlfn.XLOOKUP(Orders[[#This Row],[Customer ID]],customers!A:A,customers!I:I,,0)</f>
        <v>Yes</v>
      </c>
      <c r="Q893" t="str">
        <f>_xlfn.XLOOKUP(C894,customers!A:A,customers!B:B,"مش موجود")</f>
        <v>Patsy Vasilenko</v>
      </c>
    </row>
    <row r="894" spans="1:17" x14ac:dyDescent="0.25">
      <c r="A894" s="2" t="s">
        <v>5537</v>
      </c>
      <c r="B894" s="3">
        <v>43635</v>
      </c>
      <c r="C894" s="2" t="s">
        <v>5538</v>
      </c>
      <c r="D894" t="s">
        <v>6156</v>
      </c>
      <c r="E894" s="2">
        <v>5</v>
      </c>
      <c r="F894" s="2" t="str">
        <f>_xlfn.XLOOKUP(Orders[[#This Row],[Customer ID]],customers!A:A,customers!B:B)</f>
        <v>Patsy Vasilenko</v>
      </c>
      <c r="G894" s="2" t="str" cm="1">
        <f t="array" ref="G894">IF(_xlfn.XLOOKUP(C894,customers!A893:$A$1001,customers!C893:$C$1001,,0)=0,"",_xlfn.XLOOKUP(C894,customers!A893:$A$1001,customers!C893:$C$1001,,0))</f>
        <v>pvasilenkoos@addtoany.com</v>
      </c>
      <c r="H894" s="2" t="str" cm="1">
        <f t="array" ref="H894">_xlfn.XLOOKUP(C894,customers!A893:$A$1001,customers!G893:$G$1001,"Ireland",0)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13"/>
        <v>20.625</v>
      </c>
      <c r="N894" t="str" cm="1">
        <f t="array" ref="N894">_xlfn.IFS(I894="Rob","Robusta",I894="Exc","Excelsa",I894="Ara","Arabica",I894="Lib","Liberica")</f>
        <v>Excelsa</v>
      </c>
      <c r="O894" t="str" cm="1">
        <f t="array" ref="O894">_xlfn.IFS(J894="M","Midium",J894="L","Light",J894="D","Dark")</f>
        <v>Midium</v>
      </c>
      <c r="P894" t="str">
        <f>_xlfn.XLOOKUP(Orders[[#This Row],[Customer ID]],customers!A:A,customers!I:I,,0)</f>
        <v>No</v>
      </c>
      <c r="Q894" t="str">
        <f>_xlfn.XLOOKUP(C895,customers!A:A,customers!B:B,"مش موجود")</f>
        <v>Raphaela Schankelborg</v>
      </c>
    </row>
    <row r="895" spans="1:17" x14ac:dyDescent="0.25">
      <c r="A895" s="2" t="s">
        <v>5543</v>
      </c>
      <c r="B895" s="3">
        <v>44651</v>
      </c>
      <c r="C895" s="2" t="s">
        <v>5544</v>
      </c>
      <c r="D895" t="s">
        <v>6161</v>
      </c>
      <c r="E895" s="2">
        <v>6</v>
      </c>
      <c r="F895" s="2" t="str">
        <f>_xlfn.XLOOKUP(Orders[[#This Row],[Customer ID]],customers!A:A,customers!B:B)</f>
        <v>Raphaela Schankelborg</v>
      </c>
      <c r="G895" s="2" t="str" cm="1">
        <f t="array" ref="G895">IF(_xlfn.XLOOKUP(C895,customers!A894:$A$1001,customers!C894:$C$1001,,0)=0,"",_xlfn.XLOOKUP(C895,customers!A894:$A$1001,customers!C894:$C$1001,,0))</f>
        <v>rschankelborgot@ameblo.jp</v>
      </c>
      <c r="H895" s="2" t="str" cm="1">
        <f t="array" ref="H895">_xlfn.XLOOKUP(C895,customers!A894:$A$1001,customers!G894:$G$1001,"Ireland",0)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13"/>
        <v>57.06</v>
      </c>
      <c r="N895" t="str" cm="1">
        <f t="array" ref="N895">_xlfn.IFS(I895="Rob","Robusta",I895="Exc","Excelsa",I895="Ara","Arabica",I895="Lib","Liberica")</f>
        <v>Liberica</v>
      </c>
      <c r="O895" t="str" cm="1">
        <f t="array" ref="O895">_xlfn.IFS(J895="M","Midium",J895="L","Light",J895="D","Dark")</f>
        <v>Light</v>
      </c>
      <c r="P895" t="str">
        <f>_xlfn.XLOOKUP(Orders[[#This Row],[Customer ID]],customers!A:A,customers!I:I,,0)</f>
        <v>Yes</v>
      </c>
      <c r="Q895" t="str">
        <f>_xlfn.XLOOKUP(C896,customers!A:A,customers!B:B,"مش موجود")</f>
        <v>Sharity Wickens</v>
      </c>
    </row>
    <row r="896" spans="1:17" x14ac:dyDescent="0.25">
      <c r="A896" s="2" t="s">
        <v>5548</v>
      </c>
      <c r="B896" s="3">
        <v>44016</v>
      </c>
      <c r="C896" s="2" t="s">
        <v>5549</v>
      </c>
      <c r="D896" t="s">
        <v>6149</v>
      </c>
      <c r="E896" s="2">
        <v>4</v>
      </c>
      <c r="F896" s="2" t="str">
        <f>_xlfn.XLOOKUP(Orders[[#This Row],[Customer ID]],customers!A:A,customers!B:B)</f>
        <v>Sharity Wickens</v>
      </c>
      <c r="G896" s="2" t="str" cm="1">
        <f t="array" ref="G896">IF(_xlfn.XLOOKUP(C896,customers!A895:$A$1001,customers!C895:$C$1001,,0)=0,"",_xlfn.XLOOKUP(C896,customers!A895:$A$1001,customers!C895:$C$1001,,0))</f>
        <v/>
      </c>
      <c r="H896" s="2" t="str" cm="1">
        <f t="array" ref="H896">_xlfn.XLOOKUP(C896,customers!A895:$A$1001,customers!G895:$G$1001,"Ireland",0)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13"/>
        <v>82.339999999999989</v>
      </c>
      <c r="N896" t="str" cm="1">
        <f t="array" ref="N896">_xlfn.IFS(I896="Rob","Robusta",I896="Exc","Excelsa",I896="Ara","Arabica",I896="Lib","Liberica")</f>
        <v>Robusta</v>
      </c>
      <c r="O896" t="str" cm="1">
        <f t="array" ref="O896">_xlfn.IFS(J896="M","Midium",J896="L","Light",J896="D","Dark")</f>
        <v>Dark</v>
      </c>
      <c r="P896" t="str">
        <f>_xlfn.XLOOKUP(Orders[[#This Row],[Customer ID]],customers!A:A,customers!I:I,,0)</f>
        <v>Yes</v>
      </c>
      <c r="Q896" t="str">
        <f>_xlfn.XLOOKUP(C897,customers!A:A,customers!B:B,"مش موجود")</f>
        <v>Derick Snow</v>
      </c>
    </row>
    <row r="897" spans="1:17" x14ac:dyDescent="0.25">
      <c r="A897" s="2" t="s">
        <v>5553</v>
      </c>
      <c r="B897" s="3">
        <v>44521</v>
      </c>
      <c r="C897" s="2" t="s">
        <v>5554</v>
      </c>
      <c r="D897" t="s">
        <v>6166</v>
      </c>
      <c r="E897" s="2">
        <v>5</v>
      </c>
      <c r="F897" s="2" t="str">
        <f>_xlfn.XLOOKUP(Orders[[#This Row],[Customer ID]],customers!A:A,customers!B:B)</f>
        <v>Derick Snow</v>
      </c>
      <c r="G897" s="2" t="str" cm="1">
        <f t="array" ref="G897">IF(_xlfn.XLOOKUP(C897,customers!A896:$A$1001,customers!C896:$C$1001,,0)=0,"",_xlfn.XLOOKUP(C897,customers!A896:$A$1001,customers!C896:$C$1001,,0))</f>
        <v/>
      </c>
      <c r="H897" s="2" t="str" cm="1">
        <f t="array" ref="H897">_xlfn.XLOOKUP(C897,customers!A896:$A$1001,customers!G896:$G$1001,"Ireland",0)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13"/>
        <v>158.12499999999997</v>
      </c>
      <c r="N897" t="str" cm="1">
        <f t="array" ref="N897">_xlfn.IFS(I897="Rob","Robusta",I897="Exc","Excelsa",I897="Ara","Arabica",I897="Lib","Liberica")</f>
        <v>Excelsa</v>
      </c>
      <c r="O897" t="str" cm="1">
        <f t="array" ref="O897">_xlfn.IFS(J897="M","Midium",J897="L","Light",J897="D","Dark")</f>
        <v>Midium</v>
      </c>
      <c r="P897" t="str">
        <f>_xlfn.XLOOKUP(Orders[[#This Row],[Customer ID]],customers!A:A,customers!I:I,,0)</f>
        <v>No</v>
      </c>
      <c r="Q897" t="str">
        <f>_xlfn.XLOOKUP(C898,customers!A:A,customers!B:B,"مش موجود")</f>
        <v>Baxy Cargen</v>
      </c>
    </row>
    <row r="898" spans="1:17" x14ac:dyDescent="0.25">
      <c r="A898" s="2" t="s">
        <v>5558</v>
      </c>
      <c r="B898" s="3">
        <v>44347</v>
      </c>
      <c r="C898" s="2" t="s">
        <v>5559</v>
      </c>
      <c r="D898" t="s">
        <v>6172</v>
      </c>
      <c r="E898" s="2">
        <v>6</v>
      </c>
      <c r="F898" s="2" t="str">
        <f>_xlfn.XLOOKUP(Orders[[#This Row],[Customer ID]],customers!A:A,customers!B:B)</f>
        <v>Baxy Cargen</v>
      </c>
      <c r="G898" s="2" t="str" cm="1">
        <f t="array" ref="G898">IF(_xlfn.XLOOKUP(C898,customers!A897:$A$1001,customers!C897:$C$1001,,0)=0,"",_xlfn.XLOOKUP(C898,customers!A897:$A$1001,customers!C897:$C$1001,,0))</f>
        <v>bcargenow@geocities.jp</v>
      </c>
      <c r="H898" s="2" t="str" cm="1">
        <f t="array" ref="H898">_xlfn.XLOOKUP(C898,customers!A897:$A$1001,customers!G897:$G$1001,"Ireland",0)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13"/>
        <v>32.22</v>
      </c>
      <c r="N898" t="str" cm="1">
        <f t="array" ref="N898">_xlfn.IFS(I898="Rob","Robusta",I898="Exc","Excelsa",I898="Ara","Arabica",I898="Lib","Liberica")</f>
        <v>Robusta</v>
      </c>
      <c r="O898" t="str" cm="1">
        <f t="array" ref="O898">_xlfn.IFS(J898="M","Midium",J898="L","Light",J898="D","Dark")</f>
        <v>Dark</v>
      </c>
      <c r="P898" t="str">
        <f>_xlfn.XLOOKUP(Orders[[#This Row],[Customer ID]],customers!A:A,customers!I:I,,0)</f>
        <v>Yes</v>
      </c>
      <c r="Q898" t="str">
        <f>_xlfn.XLOOKUP(C899,customers!A:A,customers!B:B,"مش موجود")</f>
        <v>Ryann Stickler</v>
      </c>
    </row>
    <row r="899" spans="1:17" x14ac:dyDescent="0.25">
      <c r="A899" s="2" t="s">
        <v>5564</v>
      </c>
      <c r="B899" s="3">
        <v>43932</v>
      </c>
      <c r="C899" s="2" t="s">
        <v>5565</v>
      </c>
      <c r="D899" t="s">
        <v>6183</v>
      </c>
      <c r="E899" s="2">
        <v>2</v>
      </c>
      <c r="F899" s="2" t="str">
        <f>_xlfn.XLOOKUP(Orders[[#This Row],[Customer ID]],customers!A:A,customers!B:B)</f>
        <v>Ryann Stickler</v>
      </c>
      <c r="G899" s="2" t="str" cm="1">
        <f t="array" ref="G899">IF(_xlfn.XLOOKUP(C899,customers!A898:$A$1001,customers!C898:$C$1001,,0)=0,"",_xlfn.XLOOKUP(C899,customers!A898:$A$1001,customers!C898:$C$1001,,0))</f>
        <v>rsticklerox@printfriendly.com</v>
      </c>
      <c r="H899" s="2" t="str" cm="1">
        <f t="array" ref="H899">_xlfn.XLOOKUP(C899,customers!A898:$A$1001,customers!G898:$G$1001,"Ireland",0)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14">L899*E899</f>
        <v>24.3</v>
      </c>
      <c r="N899" t="str" cm="1">
        <f t="array" ref="N899">_xlfn.IFS(I899="Rob","Robusta",I899="Exc","Excelsa",I899="Ara","Arabica",I899="Lib","Liberica")</f>
        <v>Excelsa</v>
      </c>
      <c r="O899" t="str" cm="1">
        <f t="array" ref="O899">_xlfn.IFS(J899="M","Midium",J899="L","Light",J899="D","Dark")</f>
        <v>Dark</v>
      </c>
      <c r="P899" t="str">
        <f>_xlfn.XLOOKUP(Orders[[#This Row],[Customer ID]],customers!A:A,customers!I:I,,0)</f>
        <v>No</v>
      </c>
      <c r="Q899" t="str">
        <f>_xlfn.XLOOKUP(C900,customers!A:A,customers!B:B,"مش موجود")</f>
        <v>Daryn Cassius</v>
      </c>
    </row>
    <row r="900" spans="1:17" x14ac:dyDescent="0.25">
      <c r="A900" s="2" t="s">
        <v>5570</v>
      </c>
      <c r="B900" s="3">
        <v>44089</v>
      </c>
      <c r="C900" s="2" t="s">
        <v>5571</v>
      </c>
      <c r="D900" t="s">
        <v>6173</v>
      </c>
      <c r="E900" s="2">
        <v>5</v>
      </c>
      <c r="F900" s="2" t="str">
        <f>_xlfn.XLOOKUP(Orders[[#This Row],[Customer ID]],customers!A:A,customers!B:B)</f>
        <v>Daryn Cassius</v>
      </c>
      <c r="G900" s="2" t="str" cm="1">
        <f t="array" ref="G900">IF(_xlfn.XLOOKUP(C900,customers!A899:$A$1001,customers!C899:$C$1001,,0)=0,"",_xlfn.XLOOKUP(C900,customers!A899:$A$1001,customers!C899:$C$1001,,0))</f>
        <v/>
      </c>
      <c r="H900" s="2" t="str" cm="1">
        <f t="array" ref="H900">_xlfn.XLOOKUP(C900,customers!A899:$A$1001,customers!G899:$G$1001,"Ireland",0)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14"/>
        <v>35.849999999999994</v>
      </c>
      <c r="N900" t="str" cm="1">
        <f t="array" ref="N900">_xlfn.IFS(I900="Rob","Robusta",I900="Exc","Excelsa",I900="Ara","Arabica",I900="Lib","Liberica")</f>
        <v>Robusta</v>
      </c>
      <c r="O900" t="str" cm="1">
        <f t="array" ref="O900">_xlfn.IFS(J900="M","Midium",J900="L","Light",J900="D","Dark")</f>
        <v>Light</v>
      </c>
      <c r="P900" t="str">
        <f>_xlfn.XLOOKUP(Orders[[#This Row],[Customer ID]],customers!A:A,customers!I:I,,0)</f>
        <v>No</v>
      </c>
      <c r="Q900" t="str">
        <f>_xlfn.XLOOKUP(C901,customers!A:A,customers!B:B,"مش موجود")</f>
        <v>Derick Snow</v>
      </c>
    </row>
    <row r="901" spans="1:17" x14ac:dyDescent="0.25">
      <c r="A901" s="2" t="s">
        <v>5575</v>
      </c>
      <c r="B901" s="3">
        <v>44523</v>
      </c>
      <c r="C901" s="2" t="s">
        <v>5554</v>
      </c>
      <c r="D901" t="s">
        <v>6162</v>
      </c>
      <c r="E901" s="2">
        <v>5</v>
      </c>
      <c r="F901" s="2" t="str">
        <f>_xlfn.XLOOKUP(Orders[[#This Row],[Customer ID]],customers!A:A,customers!B:B)</f>
        <v>Derick Snow</v>
      </c>
      <c r="G901" s="2" t="e" cm="1">
        <f t="array" ref="G901">IF(_xlfn.XLOOKUP(C901,customers!A900:$A$1001,customers!C900:$C$1001,,0)=0,"",_xlfn.XLOOKUP(C901,customers!A900:$A$1001,customers!C900:$C$1001,,0))</f>
        <v>#N/A</v>
      </c>
      <c r="H901" s="2" t="str" cm="1">
        <f t="array" ref="H901">_xlfn.XLOOKUP(C901,customers!A900:$A$1001,customers!G900:$G$1001,"Ireland",0)</f>
        <v>Ireland</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14"/>
        <v>72.75</v>
      </c>
      <c r="N901" t="str" cm="1">
        <f t="array" ref="N901">_xlfn.IFS(I901="Rob","Robusta",I901="Exc","Excelsa",I901="Ara","Arabica",I901="Lib","Liberica")</f>
        <v>Liberica</v>
      </c>
      <c r="O901" t="str" cm="1">
        <f t="array" ref="O901">_xlfn.IFS(J901="M","Midium",J901="L","Light",J901="D","Dark")</f>
        <v>Midium</v>
      </c>
      <c r="P901" t="str">
        <f>_xlfn.XLOOKUP(Orders[[#This Row],[Customer ID]],customers!A:A,customers!I:I,,0)</f>
        <v>No</v>
      </c>
      <c r="Q901" t="str">
        <f>_xlfn.XLOOKUP(C902,customers!A:A,customers!B:B,"مش موجود")</f>
        <v>Skelly Dolohunty</v>
      </c>
    </row>
    <row r="902" spans="1:17" x14ac:dyDescent="0.25">
      <c r="A902" s="2" t="s">
        <v>5580</v>
      </c>
      <c r="B902" s="3">
        <v>44584</v>
      </c>
      <c r="C902" s="2" t="s">
        <v>5581</v>
      </c>
      <c r="D902" t="s">
        <v>6170</v>
      </c>
      <c r="E902" s="2">
        <v>3</v>
      </c>
      <c r="F902" s="2" t="str">
        <f>_xlfn.XLOOKUP(Orders[[#This Row],[Customer ID]],customers!A:A,customers!B:B)</f>
        <v>Skelly Dolohunty</v>
      </c>
      <c r="G902" s="2" t="str" cm="1">
        <f t="array" ref="G902">IF(_xlfn.XLOOKUP(C902,customers!A901:$A$1001,customers!C901:$C$1001,,0)=0,"",_xlfn.XLOOKUP(C902,customers!A901:$A$1001,customers!C901:$C$1001,,0))</f>
        <v/>
      </c>
      <c r="H902" s="2" t="str" cm="1">
        <f t="array" ref="H902">_xlfn.XLOOKUP(C902,customers!A901:$A$1001,customers!G901:$G$1001,"Ireland",0)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14"/>
        <v>47.55</v>
      </c>
      <c r="N902" t="str" cm="1">
        <f t="array" ref="N902">_xlfn.IFS(I902="Rob","Robusta",I902="Exc","Excelsa",I902="Ara","Arabica",I902="Lib","Liberica")</f>
        <v>Liberica</v>
      </c>
      <c r="O902" t="str" cm="1">
        <f t="array" ref="O902">_xlfn.IFS(J902="M","Midium",J902="L","Light",J902="D","Dark")</f>
        <v>Light</v>
      </c>
      <c r="P902" t="str">
        <f>_xlfn.XLOOKUP(Orders[[#This Row],[Customer ID]],customers!A:A,customers!I:I,,0)</f>
        <v>No</v>
      </c>
      <c r="Q902" t="str">
        <f>_xlfn.XLOOKUP(C903,customers!A:A,customers!B:B,"مش موجود")</f>
        <v>Drake Jevon</v>
      </c>
    </row>
    <row r="903" spans="1:17" x14ac:dyDescent="0.25">
      <c r="A903" s="2" t="s">
        <v>5585</v>
      </c>
      <c r="B903" s="3">
        <v>44223</v>
      </c>
      <c r="C903" s="2" t="s">
        <v>5586</v>
      </c>
      <c r="D903" t="s">
        <v>6178</v>
      </c>
      <c r="E903" s="2">
        <v>1</v>
      </c>
      <c r="F903" s="2" t="str">
        <f>_xlfn.XLOOKUP(Orders[[#This Row],[Customer ID]],customers!A:A,customers!B:B)</f>
        <v>Drake Jevon</v>
      </c>
      <c r="G903" s="2" t="str" cm="1">
        <f t="array" ref="G903">IF(_xlfn.XLOOKUP(C903,customers!A902:$A$1001,customers!C902:$C$1001,,0)=0,"",_xlfn.XLOOKUP(C903,customers!A902:$A$1001,customers!C902:$C$1001,,0))</f>
        <v>djevonp1@ibm.com</v>
      </c>
      <c r="H903" s="2" t="str" cm="1">
        <f t="array" ref="H903">_xlfn.XLOOKUP(C903,customers!A902:$A$1001,customers!G902:$G$1001,"Ireland",0)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14"/>
        <v>3.5849999999999995</v>
      </c>
      <c r="N903" t="str" cm="1">
        <f t="array" ref="N903">_xlfn.IFS(I903="Rob","Robusta",I903="Exc","Excelsa",I903="Ara","Arabica",I903="Lib","Liberica")</f>
        <v>Robusta</v>
      </c>
      <c r="O903" t="str" cm="1">
        <f t="array" ref="O903">_xlfn.IFS(J903="M","Midium",J903="L","Light",J903="D","Dark")</f>
        <v>Light</v>
      </c>
      <c r="P903" t="str">
        <f>_xlfn.XLOOKUP(Orders[[#This Row],[Customer ID]],customers!A:A,customers!I:I,,0)</f>
        <v>Yes</v>
      </c>
      <c r="Q903" t="str">
        <f>_xlfn.XLOOKUP(C904,customers!A:A,customers!B:B,"مش موجود")</f>
        <v>Hall Ranner</v>
      </c>
    </row>
    <row r="904" spans="1:17" x14ac:dyDescent="0.25">
      <c r="A904" s="2" t="s">
        <v>5591</v>
      </c>
      <c r="B904" s="3">
        <v>43640</v>
      </c>
      <c r="C904" s="2" t="s">
        <v>5592</v>
      </c>
      <c r="D904" t="s">
        <v>6166</v>
      </c>
      <c r="E904" s="2">
        <v>5</v>
      </c>
      <c r="F904" s="2" t="str">
        <f>_xlfn.XLOOKUP(Orders[[#This Row],[Customer ID]],customers!A:A,customers!B:B)</f>
        <v>Hall Ranner</v>
      </c>
      <c r="G904" s="2" t="str" cm="1">
        <f t="array" ref="G904">IF(_xlfn.XLOOKUP(C904,customers!A903:$A$1001,customers!C903:$C$1001,,0)=0,"",_xlfn.XLOOKUP(C904,customers!A903:$A$1001,customers!C903:$C$1001,,0))</f>
        <v>hrannerp2@omniture.com</v>
      </c>
      <c r="H904" s="2" t="str" cm="1">
        <f t="array" ref="H904">_xlfn.XLOOKUP(C904,customers!A903:$A$1001,customers!G903:$G$1001,"Ireland",0)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14"/>
        <v>158.12499999999997</v>
      </c>
      <c r="N904" t="str" cm="1">
        <f t="array" ref="N904">_xlfn.IFS(I904="Rob","Robusta",I904="Exc","Excelsa",I904="Ara","Arabica",I904="Lib","Liberica")</f>
        <v>Excelsa</v>
      </c>
      <c r="O904" t="str" cm="1">
        <f t="array" ref="O904">_xlfn.IFS(J904="M","Midium",J904="L","Light",J904="D","Dark")</f>
        <v>Midium</v>
      </c>
      <c r="P904" t="str">
        <f>_xlfn.XLOOKUP(Orders[[#This Row],[Customer ID]],customers!A:A,customers!I:I,,0)</f>
        <v>No</v>
      </c>
      <c r="Q904" t="str">
        <f>_xlfn.XLOOKUP(C905,customers!A:A,customers!B:B,"مش موجود")</f>
        <v>Berkly Imrie</v>
      </c>
    </row>
    <row r="905" spans="1:17" x14ac:dyDescent="0.25">
      <c r="A905" s="2" t="s">
        <v>5597</v>
      </c>
      <c r="B905" s="3">
        <v>43905</v>
      </c>
      <c r="C905" s="2" t="s">
        <v>5598</v>
      </c>
      <c r="D905" t="s">
        <v>6160</v>
      </c>
      <c r="E905" s="2">
        <v>2</v>
      </c>
      <c r="F905" s="2" t="str">
        <f>_xlfn.XLOOKUP(Orders[[#This Row],[Customer ID]],customers!A:A,customers!B:B)</f>
        <v>Berkly Imrie</v>
      </c>
      <c r="G905" s="2" t="str" cm="1">
        <f t="array" ref="G905">IF(_xlfn.XLOOKUP(C905,customers!A904:$A$1001,customers!C904:$C$1001,,0)=0,"",_xlfn.XLOOKUP(C905,customers!A904:$A$1001,customers!C904:$C$1001,,0))</f>
        <v>bimriep3@addtoany.com</v>
      </c>
      <c r="H905" s="2" t="str" cm="1">
        <f t="array" ref="H905">_xlfn.XLOOKUP(C905,customers!A904:$A$1001,customers!G904:$G$1001,"Ireland",0)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14"/>
        <v>17.46</v>
      </c>
      <c r="N905" t="str" cm="1">
        <f t="array" ref="N905">_xlfn.IFS(I905="Rob","Robusta",I905="Exc","Excelsa",I905="Ara","Arabica",I905="Lib","Liberica")</f>
        <v>Liberica</v>
      </c>
      <c r="O905" t="str" cm="1">
        <f t="array" ref="O905">_xlfn.IFS(J905="M","Midium",J905="L","Light",J905="D","Dark")</f>
        <v>Midium</v>
      </c>
      <c r="P905" t="str">
        <f>_xlfn.XLOOKUP(Orders[[#This Row],[Customer ID]],customers!A:A,customers!I:I,,0)</f>
        <v>No</v>
      </c>
      <c r="Q905" t="str">
        <f>_xlfn.XLOOKUP(C906,customers!A:A,customers!B:B,"مش موجود")</f>
        <v>Dorey Sopper</v>
      </c>
    </row>
    <row r="906" spans="1:17" x14ac:dyDescent="0.25">
      <c r="A906" s="2" t="s">
        <v>5603</v>
      </c>
      <c r="B906" s="3">
        <v>44463</v>
      </c>
      <c r="C906" s="2" t="s">
        <v>5604</v>
      </c>
      <c r="D906" t="s">
        <v>6182</v>
      </c>
      <c r="E906" s="2">
        <v>5</v>
      </c>
      <c r="F906" s="2" t="str">
        <f>_xlfn.XLOOKUP(Orders[[#This Row],[Customer ID]],customers!A:A,customers!B:B)</f>
        <v>Dorey Sopper</v>
      </c>
      <c r="G906" s="2" t="str" cm="1">
        <f t="array" ref="G906">IF(_xlfn.XLOOKUP(C906,customers!A905:$A$1001,customers!C905:$C$1001,,0)=0,"",_xlfn.XLOOKUP(C906,customers!A905:$A$1001,customers!C905:$C$1001,,0))</f>
        <v>dsopperp4@eventbrite.com</v>
      </c>
      <c r="H906" s="2" t="str" cm="1">
        <f t="array" ref="H906">_xlfn.XLOOKUP(C906,customers!A905:$A$1001,customers!G905:$G$1001,"Ireland",0)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14"/>
        <v>148.92499999999998</v>
      </c>
      <c r="N906" t="str" cm="1">
        <f t="array" ref="N906">_xlfn.IFS(I906="Rob","Robusta",I906="Exc","Excelsa",I906="Ara","Arabica",I906="Lib","Liberica")</f>
        <v>Arabica</v>
      </c>
      <c r="O906" t="str" cm="1">
        <f t="array" ref="O906">_xlfn.IFS(J906="M","Midium",J906="L","Light",J906="D","Dark")</f>
        <v>Light</v>
      </c>
      <c r="P906" t="str">
        <f>_xlfn.XLOOKUP(Orders[[#This Row],[Customer ID]],customers!A:A,customers!I:I,,0)</f>
        <v>No</v>
      </c>
      <c r="Q906" t="str">
        <f>_xlfn.XLOOKUP(C907,customers!A:A,customers!B:B,"مش موجود")</f>
        <v>Darcy Lochran</v>
      </c>
    </row>
    <row r="907" spans="1:17" x14ac:dyDescent="0.25">
      <c r="A907" s="2" t="s">
        <v>5609</v>
      </c>
      <c r="B907" s="3">
        <v>43560</v>
      </c>
      <c r="C907" s="2" t="s">
        <v>5610</v>
      </c>
      <c r="D907" t="s">
        <v>6157</v>
      </c>
      <c r="E907" s="2">
        <v>6</v>
      </c>
      <c r="F907" s="2" t="str">
        <f>_xlfn.XLOOKUP(Orders[[#This Row],[Customer ID]],customers!A:A,customers!B:B)</f>
        <v>Darcy Lochran</v>
      </c>
      <c r="G907" s="2" t="str" cm="1">
        <f t="array" ref="G907">IF(_xlfn.XLOOKUP(C907,customers!A906:$A$1001,customers!C906:$C$1001,,0)=0,"",_xlfn.XLOOKUP(C907,customers!A906:$A$1001,customers!C906:$C$1001,,0))</f>
        <v/>
      </c>
      <c r="H907" s="2" t="str" cm="1">
        <f t="array" ref="H907">_xlfn.XLOOKUP(C907,customers!A906:$A$1001,customers!G906:$G$1001,"Ireland",0)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14"/>
        <v>40.5</v>
      </c>
      <c r="N907" t="str" cm="1">
        <f t="array" ref="N907">_xlfn.IFS(I907="Rob","Robusta",I907="Exc","Excelsa",I907="Ara","Arabica",I907="Lib","Liberica")</f>
        <v>Arabica</v>
      </c>
      <c r="O907" t="str" cm="1">
        <f t="array" ref="O907">_xlfn.IFS(J907="M","Midium",J907="L","Light",J907="D","Dark")</f>
        <v>Midium</v>
      </c>
      <c r="P907" t="str">
        <f>_xlfn.XLOOKUP(Orders[[#This Row],[Customer ID]],customers!A:A,customers!I:I,,0)</f>
        <v>Yes</v>
      </c>
      <c r="Q907" t="str">
        <f>_xlfn.XLOOKUP(C908,customers!A:A,customers!B:B,"مش موجود")</f>
        <v>Lauritz Ledgley</v>
      </c>
    </row>
    <row r="908" spans="1:17" x14ac:dyDescent="0.25">
      <c r="A908" s="2" t="s">
        <v>5614</v>
      </c>
      <c r="B908" s="3">
        <v>44588</v>
      </c>
      <c r="C908" s="2" t="s">
        <v>5615</v>
      </c>
      <c r="D908" t="s">
        <v>6157</v>
      </c>
      <c r="E908" s="2">
        <v>4</v>
      </c>
      <c r="F908" s="2" t="str">
        <f>_xlfn.XLOOKUP(Orders[[#This Row],[Customer ID]],customers!A:A,customers!B:B)</f>
        <v>Lauritz Ledgley</v>
      </c>
      <c r="G908" s="2" t="str" cm="1">
        <f t="array" ref="G908">IF(_xlfn.XLOOKUP(C908,customers!A907:$A$1001,customers!C907:$C$1001,,0)=0,"",_xlfn.XLOOKUP(C908,customers!A907:$A$1001,customers!C907:$C$1001,,0))</f>
        <v>lledgleyp6@de.vu</v>
      </c>
      <c r="H908" s="2" t="str" cm="1">
        <f t="array" ref="H908">_xlfn.XLOOKUP(C908,customers!A907:$A$1001,customers!G907:$G$1001,"Ireland",0)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14"/>
        <v>27</v>
      </c>
      <c r="N908" t="str" cm="1">
        <f t="array" ref="N908">_xlfn.IFS(I908="Rob","Robusta",I908="Exc","Excelsa",I908="Ara","Arabica",I908="Lib","Liberica")</f>
        <v>Arabica</v>
      </c>
      <c r="O908" t="str" cm="1">
        <f t="array" ref="O908">_xlfn.IFS(J908="M","Midium",J908="L","Light",J908="D","Dark")</f>
        <v>Midium</v>
      </c>
      <c r="P908" t="str">
        <f>_xlfn.XLOOKUP(Orders[[#This Row],[Customer ID]],customers!A:A,customers!I:I,,0)</f>
        <v>Yes</v>
      </c>
      <c r="Q908" t="str">
        <f>_xlfn.XLOOKUP(C909,customers!A:A,customers!B:B,"مش موجود")</f>
        <v>Tawnya Menary</v>
      </c>
    </row>
    <row r="909" spans="1:17" x14ac:dyDescent="0.25">
      <c r="A909" s="2" t="s">
        <v>5620</v>
      </c>
      <c r="B909" s="3">
        <v>44449</v>
      </c>
      <c r="C909" s="2" t="s">
        <v>5621</v>
      </c>
      <c r="D909" t="s">
        <v>6143</v>
      </c>
      <c r="E909" s="2">
        <v>3</v>
      </c>
      <c r="F909" s="2" t="str">
        <f>_xlfn.XLOOKUP(Orders[[#This Row],[Customer ID]],customers!A:A,customers!B:B)</f>
        <v>Tawnya Menary</v>
      </c>
      <c r="G909" s="2" t="str" cm="1">
        <f t="array" ref="G909">IF(_xlfn.XLOOKUP(C909,customers!A908:$A$1001,customers!C908:$C$1001,,0)=0,"",_xlfn.XLOOKUP(C909,customers!A908:$A$1001,customers!C908:$C$1001,,0))</f>
        <v>tmenaryp7@phoca.cz</v>
      </c>
      <c r="H909" s="2" t="str" cm="1">
        <f t="array" ref="H909">_xlfn.XLOOKUP(C909,customers!A908:$A$1001,customers!G908:$G$1001,"Ireland",0)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14"/>
        <v>38.849999999999994</v>
      </c>
      <c r="N909" t="str" cm="1">
        <f t="array" ref="N909">_xlfn.IFS(I909="Rob","Robusta",I909="Exc","Excelsa",I909="Ara","Arabica",I909="Lib","Liberica")</f>
        <v>Liberica</v>
      </c>
      <c r="O909" t="str" cm="1">
        <f t="array" ref="O909">_xlfn.IFS(J909="M","Midium",J909="L","Light",J909="D","Dark")</f>
        <v>Dark</v>
      </c>
      <c r="P909" t="str">
        <f>_xlfn.XLOOKUP(Orders[[#This Row],[Customer ID]],customers!A:A,customers!I:I,,0)</f>
        <v>No</v>
      </c>
      <c r="Q909" t="str">
        <f>_xlfn.XLOOKUP(C910,customers!A:A,customers!B:B,"مش موجود")</f>
        <v>Gustaf Ciccotti</v>
      </c>
    </row>
    <row r="910" spans="1:17" x14ac:dyDescent="0.25">
      <c r="A910" s="2" t="s">
        <v>5626</v>
      </c>
      <c r="B910" s="3">
        <v>43836</v>
      </c>
      <c r="C910" s="2" t="s">
        <v>5627</v>
      </c>
      <c r="D910" t="s">
        <v>6179</v>
      </c>
      <c r="E910" s="2">
        <v>5</v>
      </c>
      <c r="F910" s="2" t="str">
        <f>_xlfn.XLOOKUP(Orders[[#This Row],[Customer ID]],customers!A:A,customers!B:B)</f>
        <v>Gustaf Ciccotti</v>
      </c>
      <c r="G910" s="2" t="str" cm="1">
        <f t="array" ref="G910">IF(_xlfn.XLOOKUP(C910,customers!A909:$A$1001,customers!C909:$C$1001,,0)=0,"",_xlfn.XLOOKUP(C910,customers!A909:$A$1001,customers!C909:$C$1001,,0))</f>
        <v>gciccottip8@so-net.ne.jp</v>
      </c>
      <c r="H910" s="2" t="str" cm="1">
        <f t="array" ref="H910">_xlfn.XLOOKUP(C910,customers!A909:$A$1001,customers!G909:$G$1001,"Ireland",0)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14"/>
        <v>59.75</v>
      </c>
      <c r="N910" t="str" cm="1">
        <f t="array" ref="N910">_xlfn.IFS(I910="Rob","Robusta",I910="Exc","Excelsa",I910="Ara","Arabica",I910="Lib","Liberica")</f>
        <v>Robusta</v>
      </c>
      <c r="O910" t="str" cm="1">
        <f t="array" ref="O910">_xlfn.IFS(J910="M","Midium",J910="L","Light",J910="D","Dark")</f>
        <v>Light</v>
      </c>
      <c r="P910" t="str">
        <f>_xlfn.XLOOKUP(Orders[[#This Row],[Customer ID]],customers!A:A,customers!I:I,,0)</f>
        <v>No</v>
      </c>
      <c r="Q910" t="str">
        <f>_xlfn.XLOOKUP(C911,customers!A:A,customers!B:B,"مش موجود")</f>
        <v>Bobbe Renner</v>
      </c>
    </row>
    <row r="911" spans="1:17" x14ac:dyDescent="0.25">
      <c r="A911" s="2" t="s">
        <v>5632</v>
      </c>
      <c r="B911" s="3">
        <v>44635</v>
      </c>
      <c r="C911" s="2" t="s">
        <v>5633</v>
      </c>
      <c r="D911" t="s">
        <v>6178</v>
      </c>
      <c r="E911" s="2">
        <v>3</v>
      </c>
      <c r="F911" s="2" t="str">
        <f>_xlfn.XLOOKUP(Orders[[#This Row],[Customer ID]],customers!A:A,customers!B:B)</f>
        <v>Bobbe Renner</v>
      </c>
      <c r="G911" s="2" t="str" cm="1">
        <f t="array" ref="G911">IF(_xlfn.XLOOKUP(C911,customers!A910:$A$1001,customers!C910:$C$1001,,0)=0,"",_xlfn.XLOOKUP(C911,customers!A910:$A$1001,customers!C910:$C$1001,,0))</f>
        <v/>
      </c>
      <c r="H911" s="2" t="str" cm="1">
        <f t="array" ref="H911">_xlfn.XLOOKUP(C911,customers!A910:$A$1001,customers!G910:$G$1001,"Ireland",0)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14"/>
        <v>10.754999999999999</v>
      </c>
      <c r="N911" t="str" cm="1">
        <f t="array" ref="N911">_xlfn.IFS(I911="Rob","Robusta",I911="Exc","Excelsa",I911="Ara","Arabica",I911="Lib","Liberica")</f>
        <v>Robusta</v>
      </c>
      <c r="O911" t="str" cm="1">
        <f t="array" ref="O911">_xlfn.IFS(J911="M","Midium",J911="L","Light",J911="D","Dark")</f>
        <v>Light</v>
      </c>
      <c r="P911" t="str">
        <f>_xlfn.XLOOKUP(Orders[[#This Row],[Customer ID]],customers!A:A,customers!I:I,,0)</f>
        <v>No</v>
      </c>
      <c r="Q911" t="str">
        <f>_xlfn.XLOOKUP(C912,customers!A:A,customers!B:B,"مش موجود")</f>
        <v>Wilton Jallin</v>
      </c>
    </row>
    <row r="912" spans="1:17" x14ac:dyDescent="0.25">
      <c r="A912" s="2" t="s">
        <v>5637</v>
      </c>
      <c r="B912" s="3">
        <v>44447</v>
      </c>
      <c r="C912" s="2" t="s">
        <v>5638</v>
      </c>
      <c r="D912" t="s">
        <v>6168</v>
      </c>
      <c r="E912" s="2">
        <v>4</v>
      </c>
      <c r="F912" s="2" t="str">
        <f>_xlfn.XLOOKUP(Orders[[#This Row],[Customer ID]],customers!A:A,customers!B:B)</f>
        <v>Wilton Jallin</v>
      </c>
      <c r="G912" s="2" t="str" cm="1">
        <f t="array" ref="G912">IF(_xlfn.XLOOKUP(C912,customers!A911:$A$1001,customers!C911:$C$1001,,0)=0,"",_xlfn.XLOOKUP(C912,customers!A911:$A$1001,customers!C911:$C$1001,,0))</f>
        <v>wjallinpa@pcworld.com</v>
      </c>
      <c r="H912" s="2" t="str" cm="1">
        <f t="array" ref="H912">_xlfn.XLOOKUP(C912,customers!A911:$A$1001,customers!G911:$G$1001,"Ireland",0)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14"/>
        <v>91.539999999999992</v>
      </c>
      <c r="N912" t="str" cm="1">
        <f t="array" ref="N912">_xlfn.IFS(I912="Rob","Robusta",I912="Exc","Excelsa",I912="Ara","Arabica",I912="Lib","Liberica")</f>
        <v>Arabica</v>
      </c>
      <c r="O912" t="str" cm="1">
        <f t="array" ref="O912">_xlfn.IFS(J912="M","Midium",J912="L","Light",J912="D","Dark")</f>
        <v>Dark</v>
      </c>
      <c r="P912" t="str">
        <f>_xlfn.XLOOKUP(Orders[[#This Row],[Customer ID]],customers!A:A,customers!I:I,,0)</f>
        <v>No</v>
      </c>
      <c r="Q912" t="str">
        <f>_xlfn.XLOOKUP(C913,customers!A:A,customers!B:B,"مش موجود")</f>
        <v>Mindy Bogey</v>
      </c>
    </row>
    <row r="913" spans="1:17" x14ac:dyDescent="0.25">
      <c r="A913" s="2" t="s">
        <v>5643</v>
      </c>
      <c r="B913" s="3">
        <v>44511</v>
      </c>
      <c r="C913" s="2" t="s">
        <v>5644</v>
      </c>
      <c r="D913" t="s">
        <v>6155</v>
      </c>
      <c r="E913" s="2">
        <v>4</v>
      </c>
      <c r="F913" s="2" t="str">
        <f>_xlfn.XLOOKUP(Orders[[#This Row],[Customer ID]],customers!A:A,customers!B:B)</f>
        <v>Mindy Bogey</v>
      </c>
      <c r="G913" s="2" t="str" cm="1">
        <f t="array" ref="G913">IF(_xlfn.XLOOKUP(C913,customers!A912:$A$1001,customers!C912:$C$1001,,0)=0,"",_xlfn.XLOOKUP(C913,customers!A912:$A$1001,customers!C912:$C$1001,,0))</f>
        <v>mbogeypb@thetimes.co.uk</v>
      </c>
      <c r="H913" s="2" t="str" cm="1">
        <f t="array" ref="H913">_xlfn.XLOOKUP(C913,customers!A912:$A$1001,customers!G912:$G$1001,"Ireland",0)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14"/>
        <v>45</v>
      </c>
      <c r="N913" t="str" cm="1">
        <f t="array" ref="N913">_xlfn.IFS(I913="Rob","Robusta",I913="Exc","Excelsa",I913="Ara","Arabica",I913="Lib","Liberica")</f>
        <v>Arabica</v>
      </c>
      <c r="O913" t="str" cm="1">
        <f t="array" ref="O913">_xlfn.IFS(J913="M","Midium",J913="L","Light",J913="D","Dark")</f>
        <v>Midium</v>
      </c>
      <c r="P913" t="str">
        <f>_xlfn.XLOOKUP(Orders[[#This Row],[Customer ID]],customers!A:A,customers!I:I,,0)</f>
        <v>Yes</v>
      </c>
      <c r="Q913" t="str">
        <f>_xlfn.XLOOKUP(C914,customers!A:A,customers!B:B,"مش موجود")</f>
        <v>Paulie Fonzone</v>
      </c>
    </row>
    <row r="914" spans="1:17" x14ac:dyDescent="0.25">
      <c r="A914" s="2" t="s">
        <v>5649</v>
      </c>
      <c r="B914" s="3">
        <v>43726</v>
      </c>
      <c r="C914" s="2" t="s">
        <v>5650</v>
      </c>
      <c r="D914" t="s">
        <v>6151</v>
      </c>
      <c r="E914" s="2">
        <v>6</v>
      </c>
      <c r="F914" s="2" t="str">
        <f>_xlfn.XLOOKUP(Orders[[#This Row],[Customer ID]],customers!A:A,customers!B:B)</f>
        <v>Paulie Fonzone</v>
      </c>
      <c r="G914" s="2" t="str" cm="1">
        <f t="array" ref="G914">IF(_xlfn.XLOOKUP(C914,customers!A913:$A$1001,customers!C913:$C$1001,,0)=0,"",_xlfn.XLOOKUP(C914,customers!A913:$A$1001,customers!C913:$C$1001,,0))</f>
        <v/>
      </c>
      <c r="H914" s="2" t="str" cm="1">
        <f t="array" ref="H914">_xlfn.XLOOKUP(C914,customers!A913:$A$1001,customers!G913:$G$1001,"Ireland",0)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14"/>
        <v>137.31</v>
      </c>
      <c r="N914" t="str" cm="1">
        <f t="array" ref="N914">_xlfn.IFS(I914="Rob","Robusta",I914="Exc","Excelsa",I914="Ara","Arabica",I914="Lib","Liberica")</f>
        <v>Robusta</v>
      </c>
      <c r="O914" t="str" cm="1">
        <f t="array" ref="O914">_xlfn.IFS(J914="M","Midium",J914="L","Light",J914="D","Dark")</f>
        <v>Midium</v>
      </c>
      <c r="P914" t="str">
        <f>_xlfn.XLOOKUP(Orders[[#This Row],[Customer ID]],customers!A:A,customers!I:I,,0)</f>
        <v>Yes</v>
      </c>
      <c r="Q914" t="str">
        <f>_xlfn.XLOOKUP(C915,customers!A:A,customers!B:B,"مش موجود")</f>
        <v>Merrile Cobbledick</v>
      </c>
    </row>
    <row r="915" spans="1:17" x14ac:dyDescent="0.25">
      <c r="A915" s="2" t="s">
        <v>5654</v>
      </c>
      <c r="B915" s="3">
        <v>44406</v>
      </c>
      <c r="C915" s="2" t="s">
        <v>5655</v>
      </c>
      <c r="D915" t="s">
        <v>6157</v>
      </c>
      <c r="E915" s="2">
        <v>1</v>
      </c>
      <c r="F915" s="2" t="str">
        <f>_xlfn.XLOOKUP(Orders[[#This Row],[Customer ID]],customers!A:A,customers!B:B)</f>
        <v>Merrile Cobbledick</v>
      </c>
      <c r="G915" s="2" t="str" cm="1">
        <f t="array" ref="G915">IF(_xlfn.XLOOKUP(C915,customers!A914:$A$1001,customers!C914:$C$1001,,0)=0,"",_xlfn.XLOOKUP(C915,customers!A914:$A$1001,customers!C914:$C$1001,,0))</f>
        <v>mcobbledickpd@ucsd.edu</v>
      </c>
      <c r="H915" s="2" t="str" cm="1">
        <f t="array" ref="H915">_xlfn.XLOOKUP(C915,customers!A914:$A$1001,customers!G914:$G$1001,"Ireland",0)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14"/>
        <v>6.75</v>
      </c>
      <c r="N915" t="str" cm="1">
        <f t="array" ref="N915">_xlfn.IFS(I915="Rob","Robusta",I915="Exc","Excelsa",I915="Ara","Arabica",I915="Lib","Liberica")</f>
        <v>Arabica</v>
      </c>
      <c r="O915" t="str" cm="1">
        <f t="array" ref="O915">_xlfn.IFS(J915="M","Midium",J915="L","Light",J915="D","Dark")</f>
        <v>Midium</v>
      </c>
      <c r="P915" t="str">
        <f>_xlfn.XLOOKUP(Orders[[#This Row],[Customer ID]],customers!A:A,customers!I:I,,0)</f>
        <v>No</v>
      </c>
      <c r="Q915" t="str">
        <f>_xlfn.XLOOKUP(C916,customers!A:A,customers!B:B,"مش موجود")</f>
        <v>Antonius Lewry</v>
      </c>
    </row>
    <row r="916" spans="1:17" x14ac:dyDescent="0.25">
      <c r="A916" s="2" t="s">
        <v>5660</v>
      </c>
      <c r="B916" s="3">
        <v>44640</v>
      </c>
      <c r="C916" s="2" t="s">
        <v>5661</v>
      </c>
      <c r="D916" t="s">
        <v>6155</v>
      </c>
      <c r="E916" s="2">
        <v>4</v>
      </c>
      <c r="F916" s="2" t="str">
        <f>_xlfn.XLOOKUP(Orders[[#This Row],[Customer ID]],customers!A:A,customers!B:B)</f>
        <v>Antonius Lewry</v>
      </c>
      <c r="G916" s="2" t="str" cm="1">
        <f t="array" ref="G916">IF(_xlfn.XLOOKUP(C916,customers!A915:$A$1001,customers!C915:$C$1001,,0)=0,"",_xlfn.XLOOKUP(C916,customers!A915:$A$1001,customers!C915:$C$1001,,0))</f>
        <v>alewrype@whitehouse.gov</v>
      </c>
      <c r="H916" s="2" t="str" cm="1">
        <f t="array" ref="H916">_xlfn.XLOOKUP(C916,customers!A915:$A$1001,customers!G915:$G$1001,"Ireland",0)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14"/>
        <v>45</v>
      </c>
      <c r="N916" t="str" cm="1">
        <f t="array" ref="N916">_xlfn.IFS(I916="Rob","Robusta",I916="Exc","Excelsa",I916="Ara","Arabica",I916="Lib","Liberica")</f>
        <v>Arabica</v>
      </c>
      <c r="O916" t="str" cm="1">
        <f t="array" ref="O916">_xlfn.IFS(J916="M","Midium",J916="L","Light",J916="D","Dark")</f>
        <v>Midium</v>
      </c>
      <c r="P916" t="str">
        <f>_xlfn.XLOOKUP(Orders[[#This Row],[Customer ID]],customers!A:A,customers!I:I,,0)</f>
        <v>No</v>
      </c>
      <c r="Q916" t="str">
        <f>_xlfn.XLOOKUP(C917,customers!A:A,customers!B:B,"مش موجود")</f>
        <v>Isis Hessel</v>
      </c>
    </row>
    <row r="917" spans="1:17" x14ac:dyDescent="0.25">
      <c r="A917" s="2" t="s">
        <v>5666</v>
      </c>
      <c r="B917" s="3">
        <v>43955</v>
      </c>
      <c r="C917" s="2" t="s">
        <v>5667</v>
      </c>
      <c r="D917" t="s">
        <v>6185</v>
      </c>
      <c r="E917" s="2">
        <v>3</v>
      </c>
      <c r="F917" s="2" t="str">
        <f>_xlfn.XLOOKUP(Orders[[#This Row],[Customer ID]],customers!A:A,customers!B:B)</f>
        <v>Isis Hessel</v>
      </c>
      <c r="G917" s="2" t="str" cm="1">
        <f t="array" ref="G917">IF(_xlfn.XLOOKUP(C917,customers!A916:$A$1001,customers!C916:$C$1001,,0)=0,"",_xlfn.XLOOKUP(C917,customers!A916:$A$1001,customers!C916:$C$1001,,0))</f>
        <v>ihesselpf@ox.ac.uk</v>
      </c>
      <c r="H917" s="2" t="str" cm="1">
        <f t="array" ref="H917">_xlfn.XLOOKUP(C917,customers!A916:$A$1001,customers!G916:$G$1001,"Ireland",0)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14"/>
        <v>83.835000000000008</v>
      </c>
      <c r="N917" t="str" cm="1">
        <f t="array" ref="N917">_xlfn.IFS(I917="Rob","Robusta",I917="Exc","Excelsa",I917="Ara","Arabica",I917="Lib","Liberica")</f>
        <v>Excelsa</v>
      </c>
      <c r="O917" t="str" cm="1">
        <f t="array" ref="O917">_xlfn.IFS(J917="M","Midium",J917="L","Light",J917="D","Dark")</f>
        <v>Dark</v>
      </c>
      <c r="P917" t="str">
        <f>_xlfn.XLOOKUP(Orders[[#This Row],[Customer ID]],customers!A:A,customers!I:I,,0)</f>
        <v>Yes</v>
      </c>
      <c r="Q917" t="str">
        <f>_xlfn.XLOOKUP(C918,customers!A:A,customers!B:B,"مش موجود")</f>
        <v>Harland Trematick</v>
      </c>
    </row>
    <row r="918" spans="1:17" x14ac:dyDescent="0.25">
      <c r="A918" s="2" t="s">
        <v>5672</v>
      </c>
      <c r="B918" s="3">
        <v>44291</v>
      </c>
      <c r="C918" s="2" t="s">
        <v>5673</v>
      </c>
      <c r="D918" t="s">
        <v>6153</v>
      </c>
      <c r="E918" s="2">
        <v>1</v>
      </c>
      <c r="F918" s="2" t="str">
        <f>_xlfn.XLOOKUP(Orders[[#This Row],[Customer ID]],customers!A:A,customers!B:B)</f>
        <v>Harland Trematick</v>
      </c>
      <c r="G918" s="2" t="str" cm="1">
        <f t="array" ref="G918">IF(_xlfn.XLOOKUP(C918,customers!A917:$A$1001,customers!C917:$C$1001,,0)=0,"",_xlfn.XLOOKUP(C918,customers!A917:$A$1001,customers!C917:$C$1001,,0))</f>
        <v/>
      </c>
      <c r="H918" s="2" t="str" cm="1">
        <f t="array" ref="H918">_xlfn.XLOOKUP(C918,customers!A917:$A$1001,customers!G917:$G$1001,"Ireland",0)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14"/>
        <v>3.645</v>
      </c>
      <c r="N918" t="str" cm="1">
        <f t="array" ref="N918">_xlfn.IFS(I918="Rob","Robusta",I918="Exc","Excelsa",I918="Ara","Arabica",I918="Lib","Liberica")</f>
        <v>Excelsa</v>
      </c>
      <c r="O918" t="str" cm="1">
        <f t="array" ref="O918">_xlfn.IFS(J918="M","Midium",J918="L","Light",J918="D","Dark")</f>
        <v>Dark</v>
      </c>
      <c r="P918" t="str">
        <f>_xlfn.XLOOKUP(Orders[[#This Row],[Customer ID]],customers!A:A,customers!I:I,,0)</f>
        <v>Yes</v>
      </c>
      <c r="Q918" t="str">
        <f>_xlfn.XLOOKUP(C919,customers!A:A,customers!B:B,"مش موجود")</f>
        <v>Chloris Sorrell</v>
      </c>
    </row>
    <row r="919" spans="1:17" x14ac:dyDescent="0.25">
      <c r="A919" s="2" t="s">
        <v>5676</v>
      </c>
      <c r="B919" s="3">
        <v>44573</v>
      </c>
      <c r="C919" s="2" t="s">
        <v>5677</v>
      </c>
      <c r="D919" t="s">
        <v>6157</v>
      </c>
      <c r="E919" s="2">
        <v>1</v>
      </c>
      <c r="F919" s="2" t="str">
        <f>_xlfn.XLOOKUP(Orders[[#This Row],[Customer ID]],customers!A:A,customers!B:B)</f>
        <v>Chloris Sorrell</v>
      </c>
      <c r="G919" s="2" t="str" cm="1">
        <f t="array" ref="G919">IF(_xlfn.XLOOKUP(C919,customers!A918:$A$1001,customers!C918:$C$1001,,0)=0,"",_xlfn.XLOOKUP(C919,customers!A918:$A$1001,customers!C918:$C$1001,,0))</f>
        <v>csorrellph@amazon.com</v>
      </c>
      <c r="H919" s="2" t="str" cm="1">
        <f t="array" ref="H919">_xlfn.XLOOKUP(C919,customers!A918:$A$1001,customers!G918:$G$1001,"Ireland",0)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14"/>
        <v>6.75</v>
      </c>
      <c r="N919" t="str" cm="1">
        <f t="array" ref="N919">_xlfn.IFS(I919="Rob","Robusta",I919="Exc","Excelsa",I919="Ara","Arabica",I919="Lib","Liberica")</f>
        <v>Arabica</v>
      </c>
      <c r="O919" t="str" cm="1">
        <f t="array" ref="O919">_xlfn.IFS(J919="M","Midium",J919="L","Light",J919="D","Dark")</f>
        <v>Midium</v>
      </c>
      <c r="P919" t="str">
        <f>_xlfn.XLOOKUP(Orders[[#This Row],[Customer ID]],customers!A:A,customers!I:I,,0)</f>
        <v>No</v>
      </c>
      <c r="Q919" t="str">
        <f>_xlfn.XLOOKUP(C920,customers!A:A,customers!B:B,"مش موجود")</f>
        <v>Chloris Sorrell</v>
      </c>
    </row>
    <row r="920" spans="1:17" x14ac:dyDescent="0.25">
      <c r="A920" s="2" t="s">
        <v>5676</v>
      </c>
      <c r="B920" s="3">
        <v>44573</v>
      </c>
      <c r="C920" s="2" t="s">
        <v>5677</v>
      </c>
      <c r="D920" t="s">
        <v>6144</v>
      </c>
      <c r="E920" s="2">
        <v>3</v>
      </c>
      <c r="F920" s="2" t="str">
        <f>_xlfn.XLOOKUP(Orders[[#This Row],[Customer ID]],customers!A:A,customers!B:B)</f>
        <v>Chloris Sorrell</v>
      </c>
      <c r="G920" s="2" t="str" cm="1">
        <f t="array" ref="G920">IF(_xlfn.XLOOKUP(C920,customers!A919:$A$1001,customers!C919:$C$1001,,0)=0,"",_xlfn.XLOOKUP(C920,customers!A919:$A$1001,customers!C919:$C$1001,,0))</f>
        <v>csorrellph@amazon.com</v>
      </c>
      <c r="H920" s="2" t="str" cm="1">
        <f t="array" ref="H920">_xlfn.XLOOKUP(C920,customers!A919:$A$1001,customers!G919:$G$1001,"Ireland",0)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14"/>
        <v>21.87</v>
      </c>
      <c r="N920" t="str" cm="1">
        <f t="array" ref="N920">_xlfn.IFS(I920="Rob","Robusta",I920="Exc","Excelsa",I920="Ara","Arabica",I920="Lib","Liberica")</f>
        <v>Excelsa</v>
      </c>
      <c r="O920" t="str" cm="1">
        <f t="array" ref="O920">_xlfn.IFS(J920="M","Midium",J920="L","Light",J920="D","Dark")</f>
        <v>Dark</v>
      </c>
      <c r="P920" t="str">
        <f>_xlfn.XLOOKUP(Orders[[#This Row],[Customer ID]],customers!A:A,customers!I:I,,0)</f>
        <v>No</v>
      </c>
      <c r="Q920" t="str">
        <f>_xlfn.XLOOKUP(C921,customers!A:A,customers!B:B,"مش موجود")</f>
        <v>Quintina Heavyside</v>
      </c>
    </row>
    <row r="921" spans="1:17" x14ac:dyDescent="0.25">
      <c r="A921" s="2" t="s">
        <v>5687</v>
      </c>
      <c r="B921" s="3">
        <v>44181</v>
      </c>
      <c r="C921" s="2" t="s">
        <v>5688</v>
      </c>
      <c r="D921" t="s">
        <v>6163</v>
      </c>
      <c r="E921" s="2">
        <v>5</v>
      </c>
      <c r="F921" s="2" t="str">
        <f>_xlfn.XLOOKUP(Orders[[#This Row],[Customer ID]],customers!A:A,customers!B:B)</f>
        <v>Quintina Heavyside</v>
      </c>
      <c r="G921" s="2" t="str" cm="1">
        <f t="array" ref="G921">IF(_xlfn.XLOOKUP(C921,customers!A920:$A$1001,customers!C920:$C$1001,,0)=0,"",_xlfn.XLOOKUP(C921,customers!A920:$A$1001,customers!C920:$C$1001,,0))</f>
        <v>qheavysidepj@unc.edu</v>
      </c>
      <c r="H921" s="2" t="str" cm="1">
        <f t="array" ref="H921">_xlfn.XLOOKUP(C921,customers!A920:$A$1001,customers!G920:$G$1001,"Ireland",0)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14"/>
        <v>13.424999999999997</v>
      </c>
      <c r="N921" t="str" cm="1">
        <f t="array" ref="N921">_xlfn.IFS(I921="Rob","Robusta",I921="Exc","Excelsa",I921="Ara","Arabica",I921="Lib","Liberica")</f>
        <v>Robusta</v>
      </c>
      <c r="O921" t="str" cm="1">
        <f t="array" ref="O921">_xlfn.IFS(J921="M","Midium",J921="L","Light",J921="D","Dark")</f>
        <v>Dark</v>
      </c>
      <c r="P921" t="str">
        <f>_xlfn.XLOOKUP(Orders[[#This Row],[Customer ID]],customers!A:A,customers!I:I,,0)</f>
        <v>Yes</v>
      </c>
      <c r="Q921" t="str">
        <f>_xlfn.XLOOKUP(C922,customers!A:A,customers!B:B,"مش موجود")</f>
        <v>Hadley Reuven</v>
      </c>
    </row>
    <row r="922" spans="1:17" x14ac:dyDescent="0.25">
      <c r="A922" s="2" t="s">
        <v>5693</v>
      </c>
      <c r="B922" s="3">
        <v>44711</v>
      </c>
      <c r="C922" s="2" t="s">
        <v>5694</v>
      </c>
      <c r="D922" t="s">
        <v>6149</v>
      </c>
      <c r="E922" s="2">
        <v>6</v>
      </c>
      <c r="F922" s="2" t="str">
        <f>_xlfn.XLOOKUP(Orders[[#This Row],[Customer ID]],customers!A:A,customers!B:B)</f>
        <v>Hadley Reuven</v>
      </c>
      <c r="G922" s="2" t="str" cm="1">
        <f t="array" ref="G922">IF(_xlfn.XLOOKUP(C922,customers!A921:$A$1001,customers!C921:$C$1001,,0)=0,"",_xlfn.XLOOKUP(C922,customers!A921:$A$1001,customers!C921:$C$1001,,0))</f>
        <v>hreuvenpk@whitehouse.gov</v>
      </c>
      <c r="H922" s="2" t="str" cm="1">
        <f t="array" ref="H922">_xlfn.XLOOKUP(C922,customers!A921:$A$1001,customers!G921:$G$1001,"Ireland",0)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14"/>
        <v>123.50999999999999</v>
      </c>
      <c r="N922" t="str" cm="1">
        <f t="array" ref="N922">_xlfn.IFS(I922="Rob","Robusta",I922="Exc","Excelsa",I922="Ara","Arabica",I922="Lib","Liberica")</f>
        <v>Robusta</v>
      </c>
      <c r="O922" t="str" cm="1">
        <f t="array" ref="O922">_xlfn.IFS(J922="M","Midium",J922="L","Light",J922="D","Dark")</f>
        <v>Dark</v>
      </c>
      <c r="P922" t="str">
        <f>_xlfn.XLOOKUP(Orders[[#This Row],[Customer ID]],customers!A:A,customers!I:I,,0)</f>
        <v>No</v>
      </c>
      <c r="Q922" t="str">
        <f>_xlfn.XLOOKUP(C923,customers!A:A,customers!B:B,"مش موجود")</f>
        <v>Mitch Attwool</v>
      </c>
    </row>
    <row r="923" spans="1:17" x14ac:dyDescent="0.25">
      <c r="A923" s="2" t="s">
        <v>5699</v>
      </c>
      <c r="B923" s="3">
        <v>44509</v>
      </c>
      <c r="C923" s="2" t="s">
        <v>5700</v>
      </c>
      <c r="D923" t="s">
        <v>6150</v>
      </c>
      <c r="E923" s="2">
        <v>2</v>
      </c>
      <c r="F923" s="2" t="str">
        <f>_xlfn.XLOOKUP(Orders[[#This Row],[Customer ID]],customers!A:A,customers!B:B)</f>
        <v>Mitch Attwool</v>
      </c>
      <c r="G923" s="2" t="str" cm="1">
        <f t="array" ref="G923">IF(_xlfn.XLOOKUP(C923,customers!A922:$A$1001,customers!C922:$C$1001,,0)=0,"",_xlfn.XLOOKUP(C923,customers!A922:$A$1001,customers!C922:$C$1001,,0))</f>
        <v>mattwoolpl@nba.com</v>
      </c>
      <c r="H923" s="2" t="str" cm="1">
        <f t="array" ref="H923">_xlfn.XLOOKUP(C923,customers!A922:$A$1001,customers!G922:$G$1001,"Ireland",0)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14"/>
        <v>7.77</v>
      </c>
      <c r="N923" t="str" cm="1">
        <f t="array" ref="N923">_xlfn.IFS(I923="Rob","Robusta",I923="Exc","Excelsa",I923="Ara","Arabica",I923="Lib","Liberica")</f>
        <v>Liberica</v>
      </c>
      <c r="O923" t="str" cm="1">
        <f t="array" ref="O923">_xlfn.IFS(J923="M","Midium",J923="L","Light",J923="D","Dark")</f>
        <v>Dark</v>
      </c>
      <c r="P923" t="str">
        <f>_xlfn.XLOOKUP(Orders[[#This Row],[Customer ID]],customers!A:A,customers!I:I,,0)</f>
        <v>No</v>
      </c>
      <c r="Q923" t="str">
        <f>_xlfn.XLOOKUP(C924,customers!A:A,customers!B:B,"مش موجود")</f>
        <v>Charin Maplethorp</v>
      </c>
    </row>
    <row r="924" spans="1:17" x14ac:dyDescent="0.25">
      <c r="A924" s="2" t="s">
        <v>5705</v>
      </c>
      <c r="B924" s="3">
        <v>44659</v>
      </c>
      <c r="C924" s="2" t="s">
        <v>5706</v>
      </c>
      <c r="D924" t="s">
        <v>6155</v>
      </c>
      <c r="E924" s="2">
        <v>6</v>
      </c>
      <c r="F924" s="2" t="str">
        <f>_xlfn.XLOOKUP(Orders[[#This Row],[Customer ID]],customers!A:A,customers!B:B)</f>
        <v>Charin Maplethorp</v>
      </c>
      <c r="G924" s="2" t="str" cm="1">
        <f t="array" ref="G924">IF(_xlfn.XLOOKUP(C924,customers!A923:$A$1001,customers!C923:$C$1001,,0)=0,"",_xlfn.XLOOKUP(C924,customers!A923:$A$1001,customers!C923:$C$1001,,0))</f>
        <v/>
      </c>
      <c r="H924" s="2" t="str" cm="1">
        <f t="array" ref="H924">_xlfn.XLOOKUP(C924,customers!A923:$A$1001,customers!G923:$G$1001,"Ireland",0)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14"/>
        <v>67.5</v>
      </c>
      <c r="N924" t="str" cm="1">
        <f t="array" ref="N924">_xlfn.IFS(I924="Rob","Robusta",I924="Exc","Excelsa",I924="Ara","Arabica",I924="Lib","Liberica")</f>
        <v>Arabica</v>
      </c>
      <c r="O924" t="str" cm="1">
        <f t="array" ref="O924">_xlfn.IFS(J924="M","Midium",J924="L","Light",J924="D","Dark")</f>
        <v>Midium</v>
      </c>
      <c r="P924" t="str">
        <f>_xlfn.XLOOKUP(Orders[[#This Row],[Customer ID]],customers!A:A,customers!I:I,,0)</f>
        <v>Yes</v>
      </c>
      <c r="Q924" t="str">
        <f>_xlfn.XLOOKUP(C925,customers!A:A,customers!B:B,"مش موجود")</f>
        <v>Goldie Wynes</v>
      </c>
    </row>
    <row r="925" spans="1:17" x14ac:dyDescent="0.25">
      <c r="A925" s="2" t="s">
        <v>5709</v>
      </c>
      <c r="B925" s="3">
        <v>43746</v>
      </c>
      <c r="C925" s="2" t="s">
        <v>5710</v>
      </c>
      <c r="D925" t="s">
        <v>6185</v>
      </c>
      <c r="E925" s="2">
        <v>1</v>
      </c>
      <c r="F925" s="2" t="str">
        <f>_xlfn.XLOOKUP(Orders[[#This Row],[Customer ID]],customers!A:A,customers!B:B)</f>
        <v>Goldie Wynes</v>
      </c>
      <c r="G925" s="2" t="str" cm="1">
        <f t="array" ref="G925">IF(_xlfn.XLOOKUP(C925,customers!A924:$A$1001,customers!C924:$C$1001,,0)=0,"",_xlfn.XLOOKUP(C925,customers!A924:$A$1001,customers!C924:$C$1001,,0))</f>
        <v>gwynespn@dagondesign.com</v>
      </c>
      <c r="H925" s="2" t="str" cm="1">
        <f t="array" ref="H925">_xlfn.XLOOKUP(C925,customers!A924:$A$1001,customers!G924:$G$1001,"Ireland",0)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14"/>
        <v>27.945</v>
      </c>
      <c r="N925" t="str" cm="1">
        <f t="array" ref="N925">_xlfn.IFS(I925="Rob","Robusta",I925="Exc","Excelsa",I925="Ara","Arabica",I925="Lib","Liberica")</f>
        <v>Excelsa</v>
      </c>
      <c r="O925" t="str" cm="1">
        <f t="array" ref="O925">_xlfn.IFS(J925="M","Midium",J925="L","Light",J925="D","Dark")</f>
        <v>Dark</v>
      </c>
      <c r="P925" t="str">
        <f>_xlfn.XLOOKUP(Orders[[#This Row],[Customer ID]],customers!A:A,customers!I:I,,0)</f>
        <v>No</v>
      </c>
      <c r="Q925" t="str">
        <f>_xlfn.XLOOKUP(C926,customers!A:A,customers!B:B,"مش موجود")</f>
        <v>Celie MacCourt</v>
      </c>
    </row>
    <row r="926" spans="1:17" x14ac:dyDescent="0.25">
      <c r="A926" s="2" t="s">
        <v>5715</v>
      </c>
      <c r="B926" s="3">
        <v>44451</v>
      </c>
      <c r="C926" s="2" t="s">
        <v>5716</v>
      </c>
      <c r="D926" t="s">
        <v>6182</v>
      </c>
      <c r="E926" s="2">
        <v>3</v>
      </c>
      <c r="F926" s="2" t="str">
        <f>_xlfn.XLOOKUP(Orders[[#This Row],[Customer ID]],customers!A:A,customers!B:B)</f>
        <v>Celie MacCourt</v>
      </c>
      <c r="G926" s="2" t="str" cm="1">
        <f t="array" ref="G926">IF(_xlfn.XLOOKUP(C926,customers!A925:$A$1001,customers!C925:$C$1001,,0)=0,"",_xlfn.XLOOKUP(C926,customers!A925:$A$1001,customers!C925:$C$1001,,0))</f>
        <v>cmaccourtpo@amazon.com</v>
      </c>
      <c r="H926" s="2" t="str" cm="1">
        <f t="array" ref="H926">_xlfn.XLOOKUP(C926,customers!A925:$A$1001,customers!G925:$G$1001,"Ireland",0)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14"/>
        <v>89.35499999999999</v>
      </c>
      <c r="N926" t="str" cm="1">
        <f t="array" ref="N926">_xlfn.IFS(I926="Rob","Robusta",I926="Exc","Excelsa",I926="Ara","Arabica",I926="Lib","Liberica")</f>
        <v>Arabica</v>
      </c>
      <c r="O926" t="str" cm="1">
        <f t="array" ref="O926">_xlfn.IFS(J926="M","Midium",J926="L","Light",J926="D","Dark")</f>
        <v>Light</v>
      </c>
      <c r="P926" t="str">
        <f>_xlfn.XLOOKUP(Orders[[#This Row],[Customer ID]],customers!A:A,customers!I:I,,0)</f>
        <v>No</v>
      </c>
      <c r="Q926" t="str">
        <f>_xlfn.XLOOKUP(C927,customers!A:A,customers!B:B,"مش موجود")</f>
        <v>Derick Snow</v>
      </c>
    </row>
    <row r="927" spans="1:17" x14ac:dyDescent="0.25">
      <c r="A927" s="2" t="s">
        <v>5720</v>
      </c>
      <c r="B927" s="3">
        <v>44770</v>
      </c>
      <c r="C927" s="2" t="s">
        <v>5554</v>
      </c>
      <c r="D927" t="s">
        <v>6157</v>
      </c>
      <c r="E927" s="2">
        <v>3</v>
      </c>
      <c r="F927" s="2" t="str">
        <f>_xlfn.XLOOKUP(Orders[[#This Row],[Customer ID]],customers!A:A,customers!B:B)</f>
        <v>Derick Snow</v>
      </c>
      <c r="G927" s="2" t="e" cm="1">
        <f t="array" ref="G927">IF(_xlfn.XLOOKUP(C927,customers!A926:$A$1001,customers!C926:$C$1001,,0)=0,"",_xlfn.XLOOKUP(C927,customers!A926:$A$1001,customers!C926:$C$1001,,0))</f>
        <v>#N/A</v>
      </c>
      <c r="H927" s="2" t="str" cm="1">
        <f t="array" ref="H927">_xlfn.XLOOKUP(C927,customers!A926:$A$1001,customers!G926:$G$1001,"Ireland",0)</f>
        <v>Ireland</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14"/>
        <v>20.25</v>
      </c>
      <c r="N927" t="str" cm="1">
        <f t="array" ref="N927">_xlfn.IFS(I927="Rob","Robusta",I927="Exc","Excelsa",I927="Ara","Arabica",I927="Lib","Liberica")</f>
        <v>Arabica</v>
      </c>
      <c r="O927" t="str" cm="1">
        <f t="array" ref="O927">_xlfn.IFS(J927="M","Midium",J927="L","Light",J927="D","Dark")</f>
        <v>Midium</v>
      </c>
      <c r="P927" t="str">
        <f>_xlfn.XLOOKUP(Orders[[#This Row],[Customer ID]],customers!A:A,customers!I:I,,0)</f>
        <v>No</v>
      </c>
      <c r="Q927" t="str">
        <f>_xlfn.XLOOKUP(C928,customers!A:A,customers!B:B,"مش موجود")</f>
        <v>Evy Wilsone</v>
      </c>
    </row>
    <row r="928" spans="1:17" x14ac:dyDescent="0.25">
      <c r="A928" s="2" t="s">
        <v>5725</v>
      </c>
      <c r="B928" s="3">
        <v>44012</v>
      </c>
      <c r="C928" s="2" t="s">
        <v>5726</v>
      </c>
      <c r="D928" t="s">
        <v>6157</v>
      </c>
      <c r="E928" s="2">
        <v>5</v>
      </c>
      <c r="F928" s="2" t="str">
        <f>_xlfn.XLOOKUP(Orders[[#This Row],[Customer ID]],customers!A:A,customers!B:B)</f>
        <v>Evy Wilsone</v>
      </c>
      <c r="G928" s="2" t="str" cm="1">
        <f t="array" ref="G928">IF(_xlfn.XLOOKUP(C928,customers!A927:$A$1001,customers!C927:$C$1001,,0)=0,"",_xlfn.XLOOKUP(C928,customers!A927:$A$1001,customers!C927:$C$1001,,0))</f>
        <v>ewilsonepq@eepurl.com</v>
      </c>
      <c r="H928" s="2" t="str" cm="1">
        <f t="array" ref="H928">_xlfn.XLOOKUP(C928,customers!A927:$A$1001,customers!G927:$G$1001,"Ireland",0)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14"/>
        <v>33.75</v>
      </c>
      <c r="N928" t="str" cm="1">
        <f t="array" ref="N928">_xlfn.IFS(I928="Rob","Robusta",I928="Exc","Excelsa",I928="Ara","Arabica",I928="Lib","Liberica")</f>
        <v>Arabica</v>
      </c>
      <c r="O928" t="str" cm="1">
        <f t="array" ref="O928">_xlfn.IFS(J928="M","Midium",J928="L","Light",J928="D","Dark")</f>
        <v>Midium</v>
      </c>
      <c r="P928" t="str">
        <f>_xlfn.XLOOKUP(Orders[[#This Row],[Customer ID]],customers!A:A,customers!I:I,,0)</f>
        <v>Yes</v>
      </c>
      <c r="Q928" t="str">
        <f>_xlfn.XLOOKUP(C929,customers!A:A,customers!B:B,"مش موجود")</f>
        <v>Dolores Duffie</v>
      </c>
    </row>
    <row r="929" spans="1:17" x14ac:dyDescent="0.25">
      <c r="A929" s="2" t="s">
        <v>5731</v>
      </c>
      <c r="B929" s="3">
        <v>43474</v>
      </c>
      <c r="C929" s="2" t="s">
        <v>5732</v>
      </c>
      <c r="D929" t="s">
        <v>6185</v>
      </c>
      <c r="E929" s="2">
        <v>4</v>
      </c>
      <c r="F929" s="2" t="str">
        <f>_xlfn.XLOOKUP(Orders[[#This Row],[Customer ID]],customers!A:A,customers!B:B)</f>
        <v>Dolores Duffie</v>
      </c>
      <c r="G929" s="2" t="str" cm="1">
        <f t="array" ref="G929">IF(_xlfn.XLOOKUP(C929,customers!A928:$A$1001,customers!C928:$C$1001,,0)=0,"",_xlfn.XLOOKUP(C929,customers!A928:$A$1001,customers!C928:$C$1001,,0))</f>
        <v>dduffiepr@time.com</v>
      </c>
      <c r="H929" s="2" t="str" cm="1">
        <f t="array" ref="H929">_xlfn.XLOOKUP(C929,customers!A928:$A$1001,customers!G928:$G$1001,"Ireland",0)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14"/>
        <v>111.78</v>
      </c>
      <c r="N929" t="str" cm="1">
        <f t="array" ref="N929">_xlfn.IFS(I929="Rob","Robusta",I929="Exc","Excelsa",I929="Ara","Arabica",I929="Lib","Liberica")</f>
        <v>Excelsa</v>
      </c>
      <c r="O929" t="str" cm="1">
        <f t="array" ref="O929">_xlfn.IFS(J929="M","Midium",J929="L","Light",J929="D","Dark")</f>
        <v>Dark</v>
      </c>
      <c r="P929" t="str">
        <f>_xlfn.XLOOKUP(Orders[[#This Row],[Customer ID]],customers!A:A,customers!I:I,,0)</f>
        <v>No</v>
      </c>
      <c r="Q929" t="str">
        <f>_xlfn.XLOOKUP(C930,customers!A:A,customers!B:B,"مش موجود")</f>
        <v>Mathilda Matiasek</v>
      </c>
    </row>
    <row r="930" spans="1:17" x14ac:dyDescent="0.25">
      <c r="A930" s="2" t="s">
        <v>5737</v>
      </c>
      <c r="B930" s="3">
        <v>44754</v>
      </c>
      <c r="C930" s="2" t="s">
        <v>5738</v>
      </c>
      <c r="D930" t="s">
        <v>6166</v>
      </c>
      <c r="E930" s="2">
        <v>2</v>
      </c>
      <c r="F930" s="2" t="str">
        <f>_xlfn.XLOOKUP(Orders[[#This Row],[Customer ID]],customers!A:A,customers!B:B)</f>
        <v>Mathilda Matiasek</v>
      </c>
      <c r="G930" s="2" t="str" cm="1">
        <f t="array" ref="G930">IF(_xlfn.XLOOKUP(C930,customers!A929:$A$1001,customers!C929:$C$1001,,0)=0,"",_xlfn.XLOOKUP(C930,customers!A929:$A$1001,customers!C929:$C$1001,,0))</f>
        <v>mmatiasekps@ucoz.ru</v>
      </c>
      <c r="H930" s="2" t="str" cm="1">
        <f t="array" ref="H930">_xlfn.XLOOKUP(C930,customers!A929:$A$1001,customers!G929:$G$1001,"Ireland",0)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14"/>
        <v>63.249999999999993</v>
      </c>
      <c r="N930" t="str" cm="1">
        <f t="array" ref="N930">_xlfn.IFS(I930="Rob","Robusta",I930="Exc","Excelsa",I930="Ara","Arabica",I930="Lib","Liberica")</f>
        <v>Excelsa</v>
      </c>
      <c r="O930" t="str" cm="1">
        <f t="array" ref="O930">_xlfn.IFS(J930="M","Midium",J930="L","Light",J930="D","Dark")</f>
        <v>Midium</v>
      </c>
      <c r="P930" t="str">
        <f>_xlfn.XLOOKUP(Orders[[#This Row],[Customer ID]],customers!A:A,customers!I:I,,0)</f>
        <v>Yes</v>
      </c>
      <c r="Q930" t="str">
        <f>_xlfn.XLOOKUP(C931,customers!A:A,customers!B:B,"مش موجود")</f>
        <v>Jarred Camillo</v>
      </c>
    </row>
    <row r="931" spans="1:17" x14ac:dyDescent="0.25">
      <c r="A931" s="2" t="s">
        <v>5742</v>
      </c>
      <c r="B931" s="3">
        <v>44165</v>
      </c>
      <c r="C931" s="2" t="s">
        <v>5743</v>
      </c>
      <c r="D931" t="s">
        <v>6184</v>
      </c>
      <c r="E931" s="2">
        <v>2</v>
      </c>
      <c r="F931" s="2" t="str">
        <f>_xlfn.XLOOKUP(Orders[[#This Row],[Customer ID]],customers!A:A,customers!B:B)</f>
        <v>Jarred Camillo</v>
      </c>
      <c r="G931" s="2" t="str" cm="1">
        <f t="array" ref="G931">IF(_xlfn.XLOOKUP(C931,customers!A930:$A$1001,customers!C930:$C$1001,,0)=0,"",_xlfn.XLOOKUP(C931,customers!A930:$A$1001,customers!C930:$C$1001,,0))</f>
        <v>jcamillopt@shinystat.com</v>
      </c>
      <c r="H931" s="2" t="str" cm="1">
        <f t="array" ref="H931">_xlfn.XLOOKUP(C931,customers!A930:$A$1001,customers!G930:$G$1001,"Ireland",0)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14"/>
        <v>8.91</v>
      </c>
      <c r="N931" t="str" cm="1">
        <f t="array" ref="N931">_xlfn.IFS(I931="Rob","Robusta",I931="Exc","Excelsa",I931="Ara","Arabica",I931="Lib","Liberica")</f>
        <v>Excelsa</v>
      </c>
      <c r="O931" t="str" cm="1">
        <f t="array" ref="O931">_xlfn.IFS(J931="M","Midium",J931="L","Light",J931="D","Dark")</f>
        <v>Light</v>
      </c>
      <c r="P931" t="str">
        <f>_xlfn.XLOOKUP(Orders[[#This Row],[Customer ID]],customers!A:A,customers!I:I,,0)</f>
        <v>Yes</v>
      </c>
      <c r="Q931" t="str">
        <f>_xlfn.XLOOKUP(C932,customers!A:A,customers!B:B,"مش موجود")</f>
        <v>Kameko Philbrick</v>
      </c>
    </row>
    <row r="932" spans="1:17" x14ac:dyDescent="0.25">
      <c r="A932" s="2" t="s">
        <v>5748</v>
      </c>
      <c r="B932" s="3">
        <v>43546</v>
      </c>
      <c r="C932" s="2" t="s">
        <v>5749</v>
      </c>
      <c r="D932" t="s">
        <v>6183</v>
      </c>
      <c r="E932" s="2">
        <v>1</v>
      </c>
      <c r="F932" s="2" t="str">
        <f>_xlfn.XLOOKUP(Orders[[#This Row],[Customer ID]],customers!A:A,customers!B:B)</f>
        <v>Kameko Philbrick</v>
      </c>
      <c r="G932" s="2" t="str" cm="1">
        <f t="array" ref="G932">IF(_xlfn.XLOOKUP(C932,customers!A931:$A$1001,customers!C931:$C$1001,,0)=0,"",_xlfn.XLOOKUP(C932,customers!A931:$A$1001,customers!C931:$C$1001,,0))</f>
        <v>kphilbrickpu@cdc.gov</v>
      </c>
      <c r="H932" s="2" t="str" cm="1">
        <f t="array" ref="H932">_xlfn.XLOOKUP(C932,customers!A931:$A$1001,customers!G931:$G$1001,"Ireland",0)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14"/>
        <v>12.15</v>
      </c>
      <c r="N932" t="str" cm="1">
        <f t="array" ref="N932">_xlfn.IFS(I932="Rob","Robusta",I932="Exc","Excelsa",I932="Ara","Arabica",I932="Lib","Liberica")</f>
        <v>Excelsa</v>
      </c>
      <c r="O932" t="str" cm="1">
        <f t="array" ref="O932">_xlfn.IFS(J932="M","Midium",J932="L","Light",J932="D","Dark")</f>
        <v>Dark</v>
      </c>
      <c r="P932" t="str">
        <f>_xlfn.XLOOKUP(Orders[[#This Row],[Customer ID]],customers!A:A,customers!I:I,,0)</f>
        <v>Yes</v>
      </c>
      <c r="Q932" t="str">
        <f>_xlfn.XLOOKUP(C933,customers!A:A,customers!B:B,"مش موجود")</f>
        <v>Mallory Shrimpling</v>
      </c>
    </row>
    <row r="933" spans="1:17" x14ac:dyDescent="0.25">
      <c r="A933" s="2" t="s">
        <v>5753</v>
      </c>
      <c r="B933" s="3">
        <v>44607</v>
      </c>
      <c r="C933" s="2" t="s">
        <v>5754</v>
      </c>
      <c r="D933" t="s">
        <v>6158</v>
      </c>
      <c r="E933" s="2">
        <v>4</v>
      </c>
      <c r="F933" s="2" t="str">
        <f>_xlfn.XLOOKUP(Orders[[#This Row],[Customer ID]],customers!A:A,customers!B:B)</f>
        <v>Mallory Shrimpling</v>
      </c>
      <c r="G933" s="2" t="str" cm="1">
        <f t="array" ref="G933">IF(_xlfn.XLOOKUP(C933,customers!A932:$A$1001,customers!C932:$C$1001,,0)=0,"",_xlfn.XLOOKUP(C933,customers!A932:$A$1001,customers!C932:$C$1001,,0))</f>
        <v/>
      </c>
      <c r="H933" s="2" t="str" cm="1">
        <f t="array" ref="H933">_xlfn.XLOOKUP(C933,customers!A932:$A$1001,customers!G932:$G$1001,"Ireland",0)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14"/>
        <v>23.88</v>
      </c>
      <c r="N933" t="str" cm="1">
        <f t="array" ref="N933">_xlfn.IFS(I933="Rob","Robusta",I933="Exc","Excelsa",I933="Ara","Arabica",I933="Lib","Liberica")</f>
        <v>Arabica</v>
      </c>
      <c r="O933" t="str" cm="1">
        <f t="array" ref="O933">_xlfn.IFS(J933="M","Midium",J933="L","Light",J933="D","Dark")</f>
        <v>Dark</v>
      </c>
      <c r="P933" t="str">
        <f>_xlfn.XLOOKUP(Orders[[#This Row],[Customer ID]],customers!A:A,customers!I:I,,0)</f>
        <v>Yes</v>
      </c>
      <c r="Q933" t="str">
        <f>_xlfn.XLOOKUP(C934,customers!A:A,customers!B:B,"مش موجود")</f>
        <v>Barnett Sillis</v>
      </c>
    </row>
    <row r="934" spans="1:17" x14ac:dyDescent="0.25">
      <c r="A934" s="2" t="s">
        <v>5757</v>
      </c>
      <c r="B934" s="3">
        <v>44117</v>
      </c>
      <c r="C934" s="2" t="s">
        <v>5758</v>
      </c>
      <c r="D934" t="s">
        <v>6141</v>
      </c>
      <c r="E934" s="2">
        <v>4</v>
      </c>
      <c r="F934" s="2" t="str">
        <f>_xlfn.XLOOKUP(Orders[[#This Row],[Customer ID]],customers!A:A,customers!B:B)</f>
        <v>Barnett Sillis</v>
      </c>
      <c r="G934" s="2" t="str" cm="1">
        <f t="array" ref="G934">IF(_xlfn.XLOOKUP(C934,customers!A933:$A$1001,customers!C933:$C$1001,,0)=0,"",_xlfn.XLOOKUP(C934,customers!A933:$A$1001,customers!C933:$C$1001,,0))</f>
        <v>bsillispw@istockphoto.com</v>
      </c>
      <c r="H934" s="2" t="str" cm="1">
        <f t="array" ref="H934">_xlfn.XLOOKUP(C934,customers!A933:$A$1001,customers!G933:$G$1001,"Ireland",0)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14"/>
        <v>55</v>
      </c>
      <c r="N934" t="str" cm="1">
        <f t="array" ref="N934">_xlfn.IFS(I934="Rob","Robusta",I934="Exc","Excelsa",I934="Ara","Arabica",I934="Lib","Liberica")</f>
        <v>Excelsa</v>
      </c>
      <c r="O934" t="str" cm="1">
        <f t="array" ref="O934">_xlfn.IFS(J934="M","Midium",J934="L","Light",J934="D","Dark")</f>
        <v>Midium</v>
      </c>
      <c r="P934" t="str">
        <f>_xlfn.XLOOKUP(Orders[[#This Row],[Customer ID]],customers!A:A,customers!I:I,,0)</f>
        <v>No</v>
      </c>
      <c r="Q934" t="str">
        <f>_xlfn.XLOOKUP(C935,customers!A:A,customers!B:B,"مش موجود")</f>
        <v>Brenn Dundredge</v>
      </c>
    </row>
    <row r="935" spans="1:17" x14ac:dyDescent="0.25">
      <c r="A935" s="2" t="s">
        <v>5763</v>
      </c>
      <c r="B935" s="3">
        <v>44557</v>
      </c>
      <c r="C935" s="2" t="s">
        <v>5764</v>
      </c>
      <c r="D935" t="s">
        <v>6177</v>
      </c>
      <c r="E935" s="2">
        <v>3</v>
      </c>
      <c r="F935" s="2" t="str">
        <f>_xlfn.XLOOKUP(Orders[[#This Row],[Customer ID]],customers!A:A,customers!B:B)</f>
        <v>Brenn Dundredge</v>
      </c>
      <c r="G935" s="2" t="str" cm="1">
        <f t="array" ref="G935">IF(_xlfn.XLOOKUP(C935,customers!A934:$A$1001,customers!C934:$C$1001,,0)=0,"",_xlfn.XLOOKUP(C935,customers!A934:$A$1001,customers!C934:$C$1001,,0))</f>
        <v/>
      </c>
      <c r="H935" s="2" t="str" cm="1">
        <f t="array" ref="H935">_xlfn.XLOOKUP(C935,customers!A934:$A$1001,customers!G934:$G$1001,"Ireland",0)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14"/>
        <v>26.849999999999998</v>
      </c>
      <c r="N935" t="str" cm="1">
        <f t="array" ref="N935">_xlfn.IFS(I935="Rob","Robusta",I935="Exc","Excelsa",I935="Ara","Arabica",I935="Lib","Liberica")</f>
        <v>Robusta</v>
      </c>
      <c r="O935" t="str" cm="1">
        <f t="array" ref="O935">_xlfn.IFS(J935="M","Midium",J935="L","Light",J935="D","Dark")</f>
        <v>Dark</v>
      </c>
      <c r="P935" t="str">
        <f>_xlfn.XLOOKUP(Orders[[#This Row],[Customer ID]],customers!A:A,customers!I:I,,0)</f>
        <v>Yes</v>
      </c>
      <c r="Q935" t="str">
        <f>_xlfn.XLOOKUP(C936,customers!A:A,customers!B:B,"مش موجود")</f>
        <v>Read Cutts</v>
      </c>
    </row>
    <row r="936" spans="1:17" x14ac:dyDescent="0.25">
      <c r="A936" s="2" t="s">
        <v>5768</v>
      </c>
      <c r="B936" s="3">
        <v>44409</v>
      </c>
      <c r="C936" s="2" t="s">
        <v>5769</v>
      </c>
      <c r="D936" t="s">
        <v>6151</v>
      </c>
      <c r="E936" s="2">
        <v>5</v>
      </c>
      <c r="F936" s="2" t="str">
        <f>_xlfn.XLOOKUP(Orders[[#This Row],[Customer ID]],customers!A:A,customers!B:B)</f>
        <v>Read Cutts</v>
      </c>
      <c r="G936" s="2" t="str" cm="1">
        <f t="array" ref="G936">IF(_xlfn.XLOOKUP(C936,customers!A935:$A$1001,customers!C935:$C$1001,,0)=0,"",_xlfn.XLOOKUP(C936,customers!A935:$A$1001,customers!C935:$C$1001,,0))</f>
        <v>rcuttspy@techcrunch.com</v>
      </c>
      <c r="H936" s="2" t="str" cm="1">
        <f t="array" ref="H936">_xlfn.XLOOKUP(C936,customers!A935:$A$1001,customers!G935:$G$1001,"Ireland",0)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14"/>
        <v>114.42499999999998</v>
      </c>
      <c r="N936" t="str" cm="1">
        <f t="array" ref="N936">_xlfn.IFS(I936="Rob","Robusta",I936="Exc","Excelsa",I936="Ara","Arabica",I936="Lib","Liberica")</f>
        <v>Robusta</v>
      </c>
      <c r="O936" t="str" cm="1">
        <f t="array" ref="O936">_xlfn.IFS(J936="M","Midium",J936="L","Light",J936="D","Dark")</f>
        <v>Midium</v>
      </c>
      <c r="P936" t="str">
        <f>_xlfn.XLOOKUP(Orders[[#This Row],[Customer ID]],customers!A:A,customers!I:I,,0)</f>
        <v>No</v>
      </c>
      <c r="Q936" t="str">
        <f>_xlfn.XLOOKUP(C937,customers!A:A,customers!B:B,"مش موجود")</f>
        <v>Michale Delves</v>
      </c>
    </row>
    <row r="937" spans="1:17" x14ac:dyDescent="0.25">
      <c r="A937" s="2" t="s">
        <v>5774</v>
      </c>
      <c r="B937" s="3">
        <v>44153</v>
      </c>
      <c r="C937" s="2" t="s">
        <v>5775</v>
      </c>
      <c r="D937" t="s">
        <v>6175</v>
      </c>
      <c r="E937" s="2">
        <v>6</v>
      </c>
      <c r="F937" s="2" t="str">
        <f>_xlfn.XLOOKUP(Orders[[#This Row],[Customer ID]],customers!A:A,customers!B:B)</f>
        <v>Michale Delves</v>
      </c>
      <c r="G937" s="2" t="str" cm="1">
        <f t="array" ref="G937">IF(_xlfn.XLOOKUP(C937,customers!A936:$A$1001,customers!C936:$C$1001,,0)=0,"",_xlfn.XLOOKUP(C937,customers!A936:$A$1001,customers!C936:$C$1001,,0))</f>
        <v>mdelvespz@nature.com</v>
      </c>
      <c r="H937" s="2" t="str" cm="1">
        <f t="array" ref="H937">_xlfn.XLOOKUP(C937,customers!A936:$A$1001,customers!G936:$G$1001,"Ireland",0)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14"/>
        <v>155.24999999999997</v>
      </c>
      <c r="N937" t="str" cm="1">
        <f t="array" ref="N937">_xlfn.IFS(I937="Rob","Robusta",I937="Exc","Excelsa",I937="Ara","Arabica",I937="Lib","Liberica")</f>
        <v>Arabica</v>
      </c>
      <c r="O937" t="str" cm="1">
        <f t="array" ref="O937">_xlfn.IFS(J937="M","Midium",J937="L","Light",J937="D","Dark")</f>
        <v>Midium</v>
      </c>
      <c r="P937" t="str">
        <f>_xlfn.XLOOKUP(Orders[[#This Row],[Customer ID]],customers!A:A,customers!I:I,,0)</f>
        <v>Yes</v>
      </c>
      <c r="Q937" t="str">
        <f>_xlfn.XLOOKUP(C938,customers!A:A,customers!B:B,"مش موجود")</f>
        <v>Devland Gritton</v>
      </c>
    </row>
    <row r="938" spans="1:17" x14ac:dyDescent="0.25">
      <c r="A938" s="2" t="s">
        <v>5780</v>
      </c>
      <c r="B938" s="3">
        <v>44493</v>
      </c>
      <c r="C938" s="2" t="s">
        <v>5781</v>
      </c>
      <c r="D938" t="s">
        <v>6169</v>
      </c>
      <c r="E938" s="2">
        <v>3</v>
      </c>
      <c r="F938" s="2" t="str">
        <f>_xlfn.XLOOKUP(Orders[[#This Row],[Customer ID]],customers!A:A,customers!B:B)</f>
        <v>Devland Gritton</v>
      </c>
      <c r="G938" s="2" t="str" cm="1">
        <f t="array" ref="G938">IF(_xlfn.XLOOKUP(C938,customers!A937:$A$1001,customers!C937:$C$1001,,0)=0,"",_xlfn.XLOOKUP(C938,customers!A937:$A$1001,customers!C937:$C$1001,,0))</f>
        <v>dgrittonq0@nydailynews.com</v>
      </c>
      <c r="H938" s="2" t="str" cm="1">
        <f t="array" ref="H938">_xlfn.XLOOKUP(C938,customers!A937:$A$1001,customers!G937:$G$1001,"Ireland",0)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14"/>
        <v>23.31</v>
      </c>
      <c r="N938" t="str" cm="1">
        <f t="array" ref="N938">_xlfn.IFS(I938="Rob","Robusta",I938="Exc","Excelsa",I938="Ara","Arabica",I938="Lib","Liberica")</f>
        <v>Liberica</v>
      </c>
      <c r="O938" t="str" cm="1">
        <f t="array" ref="O938">_xlfn.IFS(J938="M","Midium",J938="L","Light",J938="D","Dark")</f>
        <v>Dark</v>
      </c>
      <c r="P938" t="str">
        <f>_xlfn.XLOOKUP(Orders[[#This Row],[Customer ID]],customers!A:A,customers!I:I,,0)</f>
        <v>Yes</v>
      </c>
      <c r="Q938" t="str">
        <f>_xlfn.XLOOKUP(C939,customers!A:A,customers!B:B,"مش موجود")</f>
        <v>Devland Gritton</v>
      </c>
    </row>
    <row r="939" spans="1:17" x14ac:dyDescent="0.25">
      <c r="A939" s="2" t="s">
        <v>5780</v>
      </c>
      <c r="B939" s="3">
        <v>44493</v>
      </c>
      <c r="C939" s="2" t="s">
        <v>5781</v>
      </c>
      <c r="D939" t="s">
        <v>6151</v>
      </c>
      <c r="E939" s="2">
        <v>4</v>
      </c>
      <c r="F939" s="2" t="str">
        <f>_xlfn.XLOOKUP(Orders[[#This Row],[Customer ID]],customers!A:A,customers!B:B)</f>
        <v>Devland Gritton</v>
      </c>
      <c r="G939" s="2" t="str" cm="1">
        <f t="array" ref="G939">IF(_xlfn.XLOOKUP(C939,customers!A938:$A$1001,customers!C938:$C$1001,,0)=0,"",_xlfn.XLOOKUP(C939,customers!A938:$A$1001,customers!C938:$C$1001,,0))</f>
        <v>dgrittonq0@nydailynews.com</v>
      </c>
      <c r="H939" s="2" t="str" cm="1">
        <f t="array" ref="H939">_xlfn.XLOOKUP(C939,customers!A938:$A$1001,customers!G938:$G$1001,"Ireland",0)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14"/>
        <v>91.539999999999992</v>
      </c>
      <c r="N939" t="str" cm="1">
        <f t="array" ref="N939">_xlfn.IFS(I939="Rob","Robusta",I939="Exc","Excelsa",I939="Ara","Arabica",I939="Lib","Liberica")</f>
        <v>Robusta</v>
      </c>
      <c r="O939" t="str" cm="1">
        <f t="array" ref="O939">_xlfn.IFS(J939="M","Midium",J939="L","Light",J939="D","Dark")</f>
        <v>Midium</v>
      </c>
      <c r="P939" t="str">
        <f>_xlfn.XLOOKUP(Orders[[#This Row],[Customer ID]],customers!A:A,customers!I:I,,0)</f>
        <v>Yes</v>
      </c>
      <c r="Q939" t="str">
        <f>_xlfn.XLOOKUP(C940,customers!A:A,customers!B:B,"مش موجود")</f>
        <v>Dell Gut</v>
      </c>
    </row>
    <row r="940" spans="1:17" x14ac:dyDescent="0.25">
      <c r="A940" s="2" t="s">
        <v>5791</v>
      </c>
      <c r="B940" s="3">
        <v>43829</v>
      </c>
      <c r="C940" s="2" t="s">
        <v>5792</v>
      </c>
      <c r="D940" t="s">
        <v>6171</v>
      </c>
      <c r="E940" s="2">
        <v>5</v>
      </c>
      <c r="F940" s="2" t="str">
        <f>_xlfn.XLOOKUP(Orders[[#This Row],[Customer ID]],customers!A:A,customers!B:B)</f>
        <v>Dell Gut</v>
      </c>
      <c r="G940" s="2" t="str" cm="1">
        <f t="array" ref="G940">IF(_xlfn.XLOOKUP(C940,customers!A939:$A$1001,customers!C939:$C$1001,,0)=0,"",_xlfn.XLOOKUP(C940,customers!A939:$A$1001,customers!C939:$C$1001,,0))</f>
        <v>dgutq2@umich.edu</v>
      </c>
      <c r="H940" s="2" t="str" cm="1">
        <f t="array" ref="H940">_xlfn.XLOOKUP(C940,customers!A939:$A$1001,customers!G939:$G$1001,"Ireland",0)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14"/>
        <v>74.25</v>
      </c>
      <c r="N940" t="str" cm="1">
        <f t="array" ref="N940">_xlfn.IFS(I940="Rob","Robusta",I940="Exc","Excelsa",I940="Ara","Arabica",I940="Lib","Liberica")</f>
        <v>Excelsa</v>
      </c>
      <c r="O940" t="str" cm="1">
        <f t="array" ref="O940">_xlfn.IFS(J940="M","Midium",J940="L","Light",J940="D","Dark")</f>
        <v>Light</v>
      </c>
      <c r="P940" t="str">
        <f>_xlfn.XLOOKUP(Orders[[#This Row],[Customer ID]],customers!A:A,customers!I:I,,0)</f>
        <v>Yes</v>
      </c>
      <c r="Q940" t="str">
        <f>_xlfn.XLOOKUP(C941,customers!A:A,customers!B:B,"مش موجود")</f>
        <v>Willy Pummery</v>
      </c>
    </row>
    <row r="941" spans="1:17" x14ac:dyDescent="0.25">
      <c r="A941" s="2" t="s">
        <v>5797</v>
      </c>
      <c r="B941" s="3">
        <v>44229</v>
      </c>
      <c r="C941" s="2" t="s">
        <v>5798</v>
      </c>
      <c r="D941" t="s">
        <v>6145</v>
      </c>
      <c r="E941" s="2">
        <v>6</v>
      </c>
      <c r="F941" s="2" t="str">
        <f>_xlfn.XLOOKUP(Orders[[#This Row],[Customer ID]],customers!A:A,customers!B:B)</f>
        <v>Willy Pummery</v>
      </c>
      <c r="G941" s="2" t="str" cm="1">
        <f t="array" ref="G941">IF(_xlfn.XLOOKUP(C941,customers!A940:$A$1001,customers!C940:$C$1001,,0)=0,"",_xlfn.XLOOKUP(C941,customers!A940:$A$1001,customers!C940:$C$1001,,0))</f>
        <v>wpummeryq3@topsy.com</v>
      </c>
      <c r="H941" s="2" t="str" cm="1">
        <f t="array" ref="H941">_xlfn.XLOOKUP(C941,customers!A940:$A$1001,customers!G940:$G$1001,"Ireland",0)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14"/>
        <v>28.53</v>
      </c>
      <c r="N941" t="str" cm="1">
        <f t="array" ref="N941">_xlfn.IFS(I941="Rob","Robusta",I941="Exc","Excelsa",I941="Ara","Arabica",I941="Lib","Liberica")</f>
        <v>Liberica</v>
      </c>
      <c r="O941" t="str" cm="1">
        <f t="array" ref="O941">_xlfn.IFS(J941="M","Midium",J941="L","Light",J941="D","Dark")</f>
        <v>Light</v>
      </c>
      <c r="P941" t="str">
        <f>_xlfn.XLOOKUP(Orders[[#This Row],[Customer ID]],customers!A:A,customers!I:I,,0)</f>
        <v>No</v>
      </c>
      <c r="Q941" t="str">
        <f>_xlfn.XLOOKUP(C942,customers!A:A,customers!B:B,"مش موجود")</f>
        <v>Geoffrey Siuda</v>
      </c>
    </row>
    <row r="942" spans="1:17" x14ac:dyDescent="0.25">
      <c r="A942" s="2" t="s">
        <v>5803</v>
      </c>
      <c r="B942" s="3">
        <v>44332</v>
      </c>
      <c r="C942" s="2" t="s">
        <v>5804</v>
      </c>
      <c r="D942" t="s">
        <v>6173</v>
      </c>
      <c r="E942" s="2">
        <v>2</v>
      </c>
      <c r="F942" s="2" t="str">
        <f>_xlfn.XLOOKUP(Orders[[#This Row],[Customer ID]],customers!A:A,customers!B:B)</f>
        <v>Geoffrey Siuda</v>
      </c>
      <c r="G942" s="2" t="str" cm="1">
        <f t="array" ref="G942">IF(_xlfn.XLOOKUP(C942,customers!A941:$A$1001,customers!C941:$C$1001,,0)=0,"",_xlfn.XLOOKUP(C942,customers!A941:$A$1001,customers!C941:$C$1001,,0))</f>
        <v>gsiudaq4@nytimes.com</v>
      </c>
      <c r="H942" s="2" t="str" cm="1">
        <f t="array" ref="H942">_xlfn.XLOOKUP(C942,customers!A941:$A$1001,customers!G941:$G$1001,"Ireland",0)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14"/>
        <v>14.339999999999998</v>
      </c>
      <c r="N942" t="str" cm="1">
        <f t="array" ref="N942">_xlfn.IFS(I942="Rob","Robusta",I942="Exc","Excelsa",I942="Ara","Arabica",I942="Lib","Liberica")</f>
        <v>Robusta</v>
      </c>
      <c r="O942" t="str" cm="1">
        <f t="array" ref="O942">_xlfn.IFS(J942="M","Midium",J942="L","Light",J942="D","Dark")</f>
        <v>Light</v>
      </c>
      <c r="P942" t="str">
        <f>_xlfn.XLOOKUP(Orders[[#This Row],[Customer ID]],customers!A:A,customers!I:I,,0)</f>
        <v>Yes</v>
      </c>
      <c r="Q942" t="str">
        <f>_xlfn.XLOOKUP(C943,customers!A:A,customers!B:B,"مش موجود")</f>
        <v>Henderson Crowne</v>
      </c>
    </row>
    <row r="943" spans="1:17" x14ac:dyDescent="0.25">
      <c r="A943" s="2" t="s">
        <v>5809</v>
      </c>
      <c r="B943" s="3">
        <v>44674</v>
      </c>
      <c r="C943" s="2" t="s">
        <v>5810</v>
      </c>
      <c r="D943" t="s">
        <v>6180</v>
      </c>
      <c r="E943" s="2">
        <v>2</v>
      </c>
      <c r="F943" s="2" t="str">
        <f>_xlfn.XLOOKUP(Orders[[#This Row],[Customer ID]],customers!A:A,customers!B:B)</f>
        <v>Henderson Crowne</v>
      </c>
      <c r="G943" s="2" t="str" cm="1">
        <f t="array" ref="G943">IF(_xlfn.XLOOKUP(C943,customers!A942:$A$1001,customers!C942:$C$1001,,0)=0,"",_xlfn.XLOOKUP(C943,customers!A942:$A$1001,customers!C942:$C$1001,,0))</f>
        <v>hcrowneq5@wufoo.com</v>
      </c>
      <c r="H943" s="2" t="str" cm="1">
        <f t="array" ref="H943">_xlfn.XLOOKUP(C943,customers!A942:$A$1001,customers!G942:$G$1001,"Ireland",0)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14"/>
        <v>15.54</v>
      </c>
      <c r="N943" t="str" cm="1">
        <f t="array" ref="N943">_xlfn.IFS(I943="Rob","Robusta",I943="Exc","Excelsa",I943="Ara","Arabica",I943="Lib","Liberica")</f>
        <v>Arabica</v>
      </c>
      <c r="O943" t="str" cm="1">
        <f t="array" ref="O943">_xlfn.IFS(J943="M","Midium",J943="L","Light",J943="D","Dark")</f>
        <v>Light</v>
      </c>
      <c r="P943" t="str">
        <f>_xlfn.XLOOKUP(Orders[[#This Row],[Customer ID]],customers!A:A,customers!I:I,,0)</f>
        <v>Yes</v>
      </c>
      <c r="Q943" t="str">
        <f>_xlfn.XLOOKUP(C944,customers!A:A,customers!B:B,"مش موجود")</f>
        <v>Vernor Pawsey</v>
      </c>
    </row>
    <row r="944" spans="1:17" x14ac:dyDescent="0.25">
      <c r="A944" s="2" t="s">
        <v>5816</v>
      </c>
      <c r="B944" s="3">
        <v>44464</v>
      </c>
      <c r="C944" s="2" t="s">
        <v>5817</v>
      </c>
      <c r="D944" t="s">
        <v>6179</v>
      </c>
      <c r="E944" s="2">
        <v>3</v>
      </c>
      <c r="F944" s="2" t="str">
        <f>_xlfn.XLOOKUP(Orders[[#This Row],[Customer ID]],customers!A:A,customers!B:B)</f>
        <v>Vernor Pawsey</v>
      </c>
      <c r="G944" s="2" t="str" cm="1">
        <f t="array" ref="G944">IF(_xlfn.XLOOKUP(C944,customers!A943:$A$1001,customers!C943:$C$1001,,0)=0,"",_xlfn.XLOOKUP(C944,customers!A943:$A$1001,customers!C943:$C$1001,,0))</f>
        <v>vpawseyq6@tiny.cc</v>
      </c>
      <c r="H944" s="2" t="str" cm="1">
        <f t="array" ref="H944">_xlfn.XLOOKUP(C944,customers!A943:$A$1001,customers!G943:$G$1001,"Ireland",0)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14"/>
        <v>35.849999999999994</v>
      </c>
      <c r="N944" t="str" cm="1">
        <f t="array" ref="N944">_xlfn.IFS(I944="Rob","Robusta",I944="Exc","Excelsa",I944="Ara","Arabica",I944="Lib","Liberica")</f>
        <v>Robusta</v>
      </c>
      <c r="O944" t="str" cm="1">
        <f t="array" ref="O944">_xlfn.IFS(J944="M","Midium",J944="L","Light",J944="D","Dark")</f>
        <v>Light</v>
      </c>
      <c r="P944" t="str">
        <f>_xlfn.XLOOKUP(Orders[[#This Row],[Customer ID]],customers!A:A,customers!I:I,,0)</f>
        <v>No</v>
      </c>
      <c r="Q944" t="str">
        <f>_xlfn.XLOOKUP(C945,customers!A:A,customers!B:B,"مش موجود")</f>
        <v>Augustin Waterhouse</v>
      </c>
    </row>
    <row r="945" spans="1:17" x14ac:dyDescent="0.25">
      <c r="A945" s="2" t="s">
        <v>5822</v>
      </c>
      <c r="B945" s="3">
        <v>44719</v>
      </c>
      <c r="C945" s="2" t="s">
        <v>5823</v>
      </c>
      <c r="D945" t="s">
        <v>6180</v>
      </c>
      <c r="E945" s="2">
        <v>6</v>
      </c>
      <c r="F945" s="2" t="str">
        <f>_xlfn.XLOOKUP(Orders[[#This Row],[Customer ID]],customers!A:A,customers!B:B)</f>
        <v>Augustin Waterhouse</v>
      </c>
      <c r="G945" s="2" t="str" cm="1">
        <f t="array" ref="G945">IF(_xlfn.XLOOKUP(C945,customers!A944:$A$1001,customers!C944:$C$1001,,0)=0,"",_xlfn.XLOOKUP(C945,customers!A944:$A$1001,customers!C944:$C$1001,,0))</f>
        <v>awaterhouseq7@istockphoto.com</v>
      </c>
      <c r="H945" s="2" t="str" cm="1">
        <f t="array" ref="H945">_xlfn.XLOOKUP(C945,customers!A944:$A$1001,customers!G944:$G$1001,"Ireland",0)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14"/>
        <v>46.62</v>
      </c>
      <c r="N945" t="str" cm="1">
        <f t="array" ref="N945">_xlfn.IFS(I945="Rob","Robusta",I945="Exc","Excelsa",I945="Ara","Arabica",I945="Lib","Liberica")</f>
        <v>Arabica</v>
      </c>
      <c r="O945" t="str" cm="1">
        <f t="array" ref="O945">_xlfn.IFS(J945="M","Midium",J945="L","Light",J945="D","Dark")</f>
        <v>Light</v>
      </c>
      <c r="P945" t="str">
        <f>_xlfn.XLOOKUP(Orders[[#This Row],[Customer ID]],customers!A:A,customers!I:I,,0)</f>
        <v>No</v>
      </c>
      <c r="Q945" t="str">
        <f>_xlfn.XLOOKUP(C946,customers!A:A,customers!B:B,"مش موجود")</f>
        <v>Fanchon Haughian</v>
      </c>
    </row>
    <row r="946" spans="1:17" x14ac:dyDescent="0.25">
      <c r="A946" s="2" t="s">
        <v>5828</v>
      </c>
      <c r="B946" s="3">
        <v>44054</v>
      </c>
      <c r="C946" s="2" t="s">
        <v>5829</v>
      </c>
      <c r="D946" t="s">
        <v>6173</v>
      </c>
      <c r="E946" s="2">
        <v>5</v>
      </c>
      <c r="F946" s="2" t="str">
        <f>_xlfn.XLOOKUP(Orders[[#This Row],[Customer ID]],customers!A:A,customers!B:B)</f>
        <v>Fanchon Haughian</v>
      </c>
      <c r="G946" s="2" t="str" cm="1">
        <f t="array" ref="G946">IF(_xlfn.XLOOKUP(C946,customers!A945:$A$1001,customers!C945:$C$1001,,0)=0,"",_xlfn.XLOOKUP(C946,customers!A945:$A$1001,customers!C945:$C$1001,,0))</f>
        <v>fhaughianq8@1688.com</v>
      </c>
      <c r="H946" s="2" t="str" cm="1">
        <f t="array" ref="H946">_xlfn.XLOOKUP(C946,customers!A945:$A$1001,customers!G945:$G$1001,"Ireland",0)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14"/>
        <v>35.849999999999994</v>
      </c>
      <c r="N946" t="str" cm="1">
        <f t="array" ref="N946">_xlfn.IFS(I946="Rob","Robusta",I946="Exc","Excelsa",I946="Ara","Arabica",I946="Lib","Liberica")</f>
        <v>Robusta</v>
      </c>
      <c r="O946" t="str" cm="1">
        <f t="array" ref="O946">_xlfn.IFS(J946="M","Midium",J946="L","Light",J946="D","Dark")</f>
        <v>Light</v>
      </c>
      <c r="P946" t="str">
        <f>_xlfn.XLOOKUP(Orders[[#This Row],[Customer ID]],customers!A:A,customers!I:I,,0)</f>
        <v>No</v>
      </c>
      <c r="Q946" t="str">
        <f>_xlfn.XLOOKUP(C947,customers!A:A,customers!B:B,"مش موجود")</f>
        <v>Jaimie Hatz</v>
      </c>
    </row>
    <row r="947" spans="1:17" x14ac:dyDescent="0.25">
      <c r="A947" s="2" t="s">
        <v>5834</v>
      </c>
      <c r="B947" s="3">
        <v>43524</v>
      </c>
      <c r="C947" s="2" t="s">
        <v>5835</v>
      </c>
      <c r="D947" t="s">
        <v>6165</v>
      </c>
      <c r="E947" s="2">
        <v>4</v>
      </c>
      <c r="F947" s="2" t="str">
        <f>_xlfn.XLOOKUP(Orders[[#This Row],[Customer ID]],customers!A:A,customers!B:B)</f>
        <v>Jaimie Hatz</v>
      </c>
      <c r="G947" s="2" t="str" cm="1">
        <f t="array" ref="G947">IF(_xlfn.XLOOKUP(C947,customers!A946:$A$1001,customers!C946:$C$1001,,0)=0,"",_xlfn.XLOOKUP(C947,customers!A946:$A$1001,customers!C946:$C$1001,,0))</f>
        <v/>
      </c>
      <c r="H947" s="2" t="str" cm="1">
        <f t="array" ref="H947">_xlfn.XLOOKUP(C947,customers!A946:$A$1001,customers!G946:$G$1001,"Ireland",0)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14"/>
        <v>119.13999999999999</v>
      </c>
      <c r="N947" t="str" cm="1">
        <f t="array" ref="N947">_xlfn.IFS(I947="Rob","Robusta",I947="Exc","Excelsa",I947="Ara","Arabica",I947="Lib","Liberica")</f>
        <v>Liberica</v>
      </c>
      <c r="O947" t="str" cm="1">
        <f t="array" ref="O947">_xlfn.IFS(J947="M","Midium",J947="L","Light",J947="D","Dark")</f>
        <v>Dark</v>
      </c>
      <c r="P947" t="str">
        <f>_xlfn.XLOOKUP(Orders[[#This Row],[Customer ID]],customers!A:A,customers!I:I,,0)</f>
        <v>No</v>
      </c>
      <c r="Q947" t="str">
        <f>_xlfn.XLOOKUP(C948,customers!A:A,customers!B:B,"مش موجود")</f>
        <v>Edeline Edney</v>
      </c>
    </row>
    <row r="948" spans="1:17" x14ac:dyDescent="0.25">
      <c r="A948" s="2" t="s">
        <v>5839</v>
      </c>
      <c r="B948" s="3">
        <v>43719</v>
      </c>
      <c r="C948" s="2" t="s">
        <v>5840</v>
      </c>
      <c r="D948" t="s">
        <v>6169</v>
      </c>
      <c r="E948" s="2">
        <v>3</v>
      </c>
      <c r="F948" s="2" t="str">
        <f>_xlfn.XLOOKUP(Orders[[#This Row],[Customer ID]],customers!A:A,customers!B:B)</f>
        <v>Edeline Edney</v>
      </c>
      <c r="G948" s="2" t="str" cm="1">
        <f t="array" ref="G948">IF(_xlfn.XLOOKUP(C948,customers!A947:$A$1001,customers!C947:$C$1001,,0)=0,"",_xlfn.XLOOKUP(C948,customers!A947:$A$1001,customers!C947:$C$1001,,0))</f>
        <v/>
      </c>
      <c r="H948" s="2" t="str" cm="1">
        <f t="array" ref="H948">_xlfn.XLOOKUP(C948,customers!A947:$A$1001,customers!G947:$G$1001,"Ireland",0)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14"/>
        <v>23.31</v>
      </c>
      <c r="N948" t="str" cm="1">
        <f t="array" ref="N948">_xlfn.IFS(I948="Rob","Robusta",I948="Exc","Excelsa",I948="Ara","Arabica",I948="Lib","Liberica")</f>
        <v>Liberica</v>
      </c>
      <c r="O948" t="str" cm="1">
        <f t="array" ref="O948">_xlfn.IFS(J948="M","Midium",J948="L","Light",J948="D","Dark")</f>
        <v>Dark</v>
      </c>
      <c r="P948" t="str">
        <f>_xlfn.XLOOKUP(Orders[[#This Row],[Customer ID]],customers!A:A,customers!I:I,,0)</f>
        <v>No</v>
      </c>
      <c r="Q948" t="str">
        <f>_xlfn.XLOOKUP(C949,customers!A:A,customers!B:B,"مش موجود")</f>
        <v>Rickie Faltin</v>
      </c>
    </row>
    <row r="949" spans="1:17" x14ac:dyDescent="0.25">
      <c r="A949" s="2" t="s">
        <v>5844</v>
      </c>
      <c r="B949" s="3">
        <v>44294</v>
      </c>
      <c r="C949" s="2" t="s">
        <v>5845</v>
      </c>
      <c r="D949" t="s">
        <v>6155</v>
      </c>
      <c r="E949" s="2">
        <v>1</v>
      </c>
      <c r="F949" s="2" t="str">
        <f>_xlfn.XLOOKUP(Orders[[#This Row],[Customer ID]],customers!A:A,customers!B:B)</f>
        <v>Rickie Faltin</v>
      </c>
      <c r="G949" s="2" t="str" cm="1">
        <f t="array" ref="G949">IF(_xlfn.XLOOKUP(C949,customers!A948:$A$1001,customers!C948:$C$1001,,0)=0,"",_xlfn.XLOOKUP(C949,customers!A948:$A$1001,customers!C948:$C$1001,,0))</f>
        <v>rfaltinqb@topsy.com</v>
      </c>
      <c r="H949" s="2" t="str" cm="1">
        <f t="array" ref="H949">_xlfn.XLOOKUP(C949,customers!A948:$A$1001,customers!G948:$G$1001,"Ireland",0)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14"/>
        <v>11.25</v>
      </c>
      <c r="N949" t="str" cm="1">
        <f t="array" ref="N949">_xlfn.IFS(I949="Rob","Robusta",I949="Exc","Excelsa",I949="Ara","Arabica",I949="Lib","Liberica")</f>
        <v>Arabica</v>
      </c>
      <c r="O949" t="str" cm="1">
        <f t="array" ref="O949">_xlfn.IFS(J949="M","Midium",J949="L","Light",J949="D","Dark")</f>
        <v>Midium</v>
      </c>
      <c r="P949" t="str">
        <f>_xlfn.XLOOKUP(Orders[[#This Row],[Customer ID]],customers!A:A,customers!I:I,,0)</f>
        <v>No</v>
      </c>
      <c r="Q949" t="str">
        <f>_xlfn.XLOOKUP(C950,customers!A:A,customers!B:B,"مش موجود")</f>
        <v>Gnni Cheeke</v>
      </c>
    </row>
    <row r="950" spans="1:17" x14ac:dyDescent="0.25">
      <c r="A950" s="2" t="s">
        <v>5849</v>
      </c>
      <c r="B950" s="3">
        <v>44445</v>
      </c>
      <c r="C950" s="2" t="s">
        <v>5850</v>
      </c>
      <c r="D950" t="s">
        <v>6185</v>
      </c>
      <c r="E950" s="2">
        <v>3</v>
      </c>
      <c r="F950" s="2" t="str">
        <f>_xlfn.XLOOKUP(Orders[[#This Row],[Customer ID]],customers!A:A,customers!B:B)</f>
        <v>Gnni Cheeke</v>
      </c>
      <c r="G950" s="2" t="str" cm="1">
        <f t="array" ref="G950">IF(_xlfn.XLOOKUP(C950,customers!A949:$A$1001,customers!C949:$C$1001,,0)=0,"",_xlfn.XLOOKUP(C950,customers!A949:$A$1001,customers!C949:$C$1001,,0))</f>
        <v>gcheekeqc@sitemeter.com</v>
      </c>
      <c r="H950" s="2" t="str" cm="1">
        <f t="array" ref="H950">_xlfn.XLOOKUP(C950,customers!A949:$A$1001,customers!G949:$G$1001,"Ireland",0)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14"/>
        <v>83.835000000000008</v>
      </c>
      <c r="N950" t="str" cm="1">
        <f t="array" ref="N950">_xlfn.IFS(I950="Rob","Robusta",I950="Exc","Excelsa",I950="Ara","Arabica",I950="Lib","Liberica")</f>
        <v>Excelsa</v>
      </c>
      <c r="O950" t="str" cm="1">
        <f t="array" ref="O950">_xlfn.IFS(J950="M","Midium",J950="L","Light",J950="D","Dark")</f>
        <v>Dark</v>
      </c>
      <c r="P950" t="str">
        <f>_xlfn.XLOOKUP(Orders[[#This Row],[Customer ID]],customers!A:A,customers!I:I,,0)</f>
        <v>Yes</v>
      </c>
      <c r="Q950" t="str">
        <f>_xlfn.XLOOKUP(C951,customers!A:A,customers!B:B,"مش موجود")</f>
        <v>Gwenni Ratt</v>
      </c>
    </row>
    <row r="951" spans="1:17" x14ac:dyDescent="0.25">
      <c r="A951" s="2" t="s">
        <v>5855</v>
      </c>
      <c r="B951" s="3">
        <v>44449</v>
      </c>
      <c r="C951" s="2" t="s">
        <v>5856</v>
      </c>
      <c r="D951" t="s">
        <v>6142</v>
      </c>
      <c r="E951" s="2">
        <v>4</v>
      </c>
      <c r="F951" s="2" t="str">
        <f>_xlfn.XLOOKUP(Orders[[#This Row],[Customer ID]],customers!A:A,customers!B:B)</f>
        <v>Gwenni Ratt</v>
      </c>
      <c r="G951" s="2" t="str" cm="1">
        <f t="array" ref="G951">IF(_xlfn.XLOOKUP(C951,customers!A950:$A$1001,customers!C950:$C$1001,,0)=0,"",_xlfn.XLOOKUP(C951,customers!A950:$A$1001,customers!C950:$C$1001,,0))</f>
        <v>grattqd@phpbb.com</v>
      </c>
      <c r="H951" s="2" t="str" cm="1">
        <f t="array" ref="H951">_xlfn.XLOOKUP(C951,customers!A950:$A$1001,customers!G950:$G$1001,"Ireland",0)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14"/>
        <v>109.93999999999998</v>
      </c>
      <c r="N951" t="str" cm="1">
        <f t="array" ref="N951">_xlfn.IFS(I951="Rob","Robusta",I951="Exc","Excelsa",I951="Ara","Arabica",I951="Lib","Liberica")</f>
        <v>Robusta</v>
      </c>
      <c r="O951" t="str" cm="1">
        <f t="array" ref="O951">_xlfn.IFS(J951="M","Midium",J951="L","Light",J951="D","Dark")</f>
        <v>Light</v>
      </c>
      <c r="P951" t="str">
        <f>_xlfn.XLOOKUP(Orders[[#This Row],[Customer ID]],customers!A:A,customers!I:I,,0)</f>
        <v>No</v>
      </c>
      <c r="Q951" t="str">
        <f>_xlfn.XLOOKUP(C952,customers!A:A,customers!B:B,"مش موجود")</f>
        <v>Johnath Fairebrother</v>
      </c>
    </row>
    <row r="952" spans="1:17" x14ac:dyDescent="0.25">
      <c r="A952" s="2" t="s">
        <v>5861</v>
      </c>
      <c r="B952" s="3">
        <v>44703</v>
      </c>
      <c r="C952" s="2" t="s">
        <v>5862</v>
      </c>
      <c r="D952" t="s">
        <v>6178</v>
      </c>
      <c r="E952" s="2">
        <v>4</v>
      </c>
      <c r="F952" s="2" t="str">
        <f>_xlfn.XLOOKUP(Orders[[#This Row],[Customer ID]],customers!A:A,customers!B:B)</f>
        <v>Johnath Fairebrother</v>
      </c>
      <c r="G952" s="2" t="str" cm="1">
        <f t="array" ref="G952">IF(_xlfn.XLOOKUP(C952,customers!A951:$A$1001,customers!C951:$C$1001,,0)=0,"",_xlfn.XLOOKUP(C952,customers!A951:$A$1001,customers!C951:$C$1001,,0))</f>
        <v/>
      </c>
      <c r="H952" s="2" t="str" cm="1">
        <f t="array" ref="H952">_xlfn.XLOOKUP(C952,customers!A951:$A$1001,customers!G951:$G$1001,"Ireland",0)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14"/>
        <v>14.339999999999998</v>
      </c>
      <c r="N952" t="str" cm="1">
        <f t="array" ref="N952">_xlfn.IFS(I952="Rob","Robusta",I952="Exc","Excelsa",I952="Ara","Arabica",I952="Lib","Liberica")</f>
        <v>Robusta</v>
      </c>
      <c r="O952" t="str" cm="1">
        <f t="array" ref="O952">_xlfn.IFS(J952="M","Midium",J952="L","Light",J952="D","Dark")</f>
        <v>Light</v>
      </c>
      <c r="P952" t="str">
        <f>_xlfn.XLOOKUP(Orders[[#This Row],[Customer ID]],customers!A:A,customers!I:I,,0)</f>
        <v>Yes</v>
      </c>
      <c r="Q952" t="str">
        <f>_xlfn.XLOOKUP(C953,customers!A:A,customers!B:B,"مش موجود")</f>
        <v>Ingamar Eberlein</v>
      </c>
    </row>
    <row r="953" spans="1:17" x14ac:dyDescent="0.25">
      <c r="A953" s="2" t="s">
        <v>5866</v>
      </c>
      <c r="B953" s="3">
        <v>44092</v>
      </c>
      <c r="C953" s="2" t="s">
        <v>5867</v>
      </c>
      <c r="D953" t="s">
        <v>6178</v>
      </c>
      <c r="E953" s="2">
        <v>6</v>
      </c>
      <c r="F953" s="2" t="str">
        <f>_xlfn.XLOOKUP(Orders[[#This Row],[Customer ID]],customers!A:A,customers!B:B)</f>
        <v>Ingamar Eberlein</v>
      </c>
      <c r="G953" s="2" t="str" cm="1">
        <f t="array" ref="G953">IF(_xlfn.XLOOKUP(C953,customers!A952:$A$1001,customers!C952:$C$1001,,0)=0,"",_xlfn.XLOOKUP(C953,customers!A952:$A$1001,customers!C952:$C$1001,,0))</f>
        <v>ieberleinqf@hc360.com</v>
      </c>
      <c r="H953" s="2" t="str" cm="1">
        <f t="array" ref="H953">_xlfn.XLOOKUP(C953,customers!A952:$A$1001,customers!G952:$G$1001,"Ireland",0)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14"/>
        <v>21.509999999999998</v>
      </c>
      <c r="N953" t="str" cm="1">
        <f t="array" ref="N953">_xlfn.IFS(I953="Rob","Robusta",I953="Exc","Excelsa",I953="Ara","Arabica",I953="Lib","Liberica")</f>
        <v>Robusta</v>
      </c>
      <c r="O953" t="str" cm="1">
        <f t="array" ref="O953">_xlfn.IFS(J953="M","Midium",J953="L","Light",J953="D","Dark")</f>
        <v>Light</v>
      </c>
      <c r="P953" t="str">
        <f>_xlfn.XLOOKUP(Orders[[#This Row],[Customer ID]],customers!A:A,customers!I:I,,0)</f>
        <v>No</v>
      </c>
      <c r="Q953" t="str">
        <f>_xlfn.XLOOKUP(C954,customers!A:A,customers!B:B,"مش موجود")</f>
        <v>Jilly Dreng</v>
      </c>
    </row>
    <row r="954" spans="1:17" x14ac:dyDescent="0.25">
      <c r="A954" s="2" t="s">
        <v>5872</v>
      </c>
      <c r="B954" s="3">
        <v>44439</v>
      </c>
      <c r="C954" s="2" t="s">
        <v>5873</v>
      </c>
      <c r="D954" t="s">
        <v>6155</v>
      </c>
      <c r="E954" s="2">
        <v>2</v>
      </c>
      <c r="F954" s="2" t="str">
        <f>_xlfn.XLOOKUP(Orders[[#This Row],[Customer ID]],customers!A:A,customers!B:B)</f>
        <v>Jilly Dreng</v>
      </c>
      <c r="G954" s="2" t="str" cm="1">
        <f t="array" ref="G954">IF(_xlfn.XLOOKUP(C954,customers!A953:$A$1001,customers!C953:$C$1001,,0)=0,"",_xlfn.XLOOKUP(C954,customers!A953:$A$1001,customers!C953:$C$1001,,0))</f>
        <v>jdrengqg@uiuc.edu</v>
      </c>
      <c r="H954" s="2" t="str" cm="1">
        <f t="array" ref="H954">_xlfn.XLOOKUP(C954,customers!A953:$A$1001,customers!G953:$G$1001,"Ireland",0)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14"/>
        <v>22.5</v>
      </c>
      <c r="N954" t="str" cm="1">
        <f t="array" ref="N954">_xlfn.IFS(I954="Rob","Robusta",I954="Exc","Excelsa",I954="Ara","Arabica",I954="Lib","Liberica")</f>
        <v>Arabica</v>
      </c>
      <c r="O954" t="str" cm="1">
        <f t="array" ref="O954">_xlfn.IFS(J954="M","Midium",J954="L","Light",J954="D","Dark")</f>
        <v>Midium</v>
      </c>
      <c r="P954" t="str">
        <f>_xlfn.XLOOKUP(Orders[[#This Row],[Customer ID]],customers!A:A,customers!I:I,,0)</f>
        <v>Yes</v>
      </c>
      <c r="Q954" t="str">
        <f>_xlfn.XLOOKUP(C955,customers!A:A,customers!B:B,"مش موجود")</f>
        <v>Brenn Dundredge</v>
      </c>
    </row>
    <row r="955" spans="1:17" x14ac:dyDescent="0.25">
      <c r="A955" s="2" t="s">
        <v>5878</v>
      </c>
      <c r="B955" s="3">
        <v>44582</v>
      </c>
      <c r="C955" s="2" t="s">
        <v>5764</v>
      </c>
      <c r="D955" t="s">
        <v>6167</v>
      </c>
      <c r="E955" s="2">
        <v>1</v>
      </c>
      <c r="F955" s="2" t="str">
        <f>_xlfn.XLOOKUP(Orders[[#This Row],[Customer ID]],customers!A:A,customers!B:B)</f>
        <v>Brenn Dundredge</v>
      </c>
      <c r="G955" s="2" t="e" cm="1">
        <f t="array" ref="G955">IF(_xlfn.XLOOKUP(C955,customers!A954:$A$1001,customers!C954:$C$1001,,0)=0,"",_xlfn.XLOOKUP(C955,customers!A954:$A$1001,customers!C954:$C$1001,,0))</f>
        <v>#N/A</v>
      </c>
      <c r="H955" s="2" t="str" cm="1">
        <f t="array" ref="H955">_xlfn.XLOOKUP(C955,customers!A954:$A$1001,customers!G954:$G$1001,"Ireland",0)</f>
        <v>Ireland</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14"/>
        <v>3.8849999999999998</v>
      </c>
      <c r="N955" t="str" cm="1">
        <f t="array" ref="N955">_xlfn.IFS(I955="Rob","Robusta",I955="Exc","Excelsa",I955="Ara","Arabica",I955="Lib","Liberica")</f>
        <v>Arabica</v>
      </c>
      <c r="O955" t="str" cm="1">
        <f t="array" ref="O955">_xlfn.IFS(J955="M","Midium",J955="L","Light",J955="D","Dark")</f>
        <v>Light</v>
      </c>
      <c r="P955" t="str">
        <f>_xlfn.XLOOKUP(Orders[[#This Row],[Customer ID]],customers!A:A,customers!I:I,,0)</f>
        <v>Yes</v>
      </c>
      <c r="Q955" t="str">
        <f>_xlfn.XLOOKUP(C956,customers!A:A,customers!B:B,"مش موجود")</f>
        <v>Brenn Dundredge</v>
      </c>
    </row>
    <row r="956" spans="1:17" x14ac:dyDescent="0.25">
      <c r="A956" s="2" t="s">
        <v>5884</v>
      </c>
      <c r="B956" s="3">
        <v>44722</v>
      </c>
      <c r="C956" s="2" t="s">
        <v>5764</v>
      </c>
      <c r="D956" t="s">
        <v>6185</v>
      </c>
      <c r="E956" s="2">
        <v>1</v>
      </c>
      <c r="F956" s="2" t="str">
        <f>_xlfn.XLOOKUP(Orders[[#This Row],[Customer ID]],customers!A:A,customers!B:B)</f>
        <v>Brenn Dundredge</v>
      </c>
      <c r="G956" s="2" t="e" cm="1">
        <f t="array" ref="G956">IF(_xlfn.XLOOKUP(C956,customers!A955:$A$1001,customers!C955:$C$1001,,0)=0,"",_xlfn.XLOOKUP(C956,customers!A955:$A$1001,customers!C955:$C$1001,,0))</f>
        <v>#N/A</v>
      </c>
      <c r="H956" s="2" t="str" cm="1">
        <f t="array" ref="H956">_xlfn.XLOOKUP(C956,customers!A955:$A$1001,customers!G955:$G$1001,"Ireland",0)</f>
        <v>Ireland</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14"/>
        <v>27.945</v>
      </c>
      <c r="N956" t="str" cm="1">
        <f t="array" ref="N956">_xlfn.IFS(I956="Rob","Robusta",I956="Exc","Excelsa",I956="Ara","Arabica",I956="Lib","Liberica")</f>
        <v>Excelsa</v>
      </c>
      <c r="O956" t="str" cm="1">
        <f t="array" ref="O956">_xlfn.IFS(J956="M","Midium",J956="L","Light",J956="D","Dark")</f>
        <v>Dark</v>
      </c>
      <c r="P956" t="str">
        <f>_xlfn.XLOOKUP(Orders[[#This Row],[Customer ID]],customers!A:A,customers!I:I,,0)</f>
        <v>Yes</v>
      </c>
      <c r="Q956" t="str">
        <f>_xlfn.XLOOKUP(C957,customers!A:A,customers!B:B,"مش موجود")</f>
        <v>Brenn Dundredge</v>
      </c>
    </row>
    <row r="957" spans="1:17" x14ac:dyDescent="0.25">
      <c r="A957" s="2" t="s">
        <v>5890</v>
      </c>
      <c r="B957" s="3">
        <v>43582</v>
      </c>
      <c r="C957" s="2" t="s">
        <v>5764</v>
      </c>
      <c r="D957" t="s">
        <v>6148</v>
      </c>
      <c r="E957" s="2">
        <v>5</v>
      </c>
      <c r="F957" s="2" t="str">
        <f>_xlfn.XLOOKUP(Orders[[#This Row],[Customer ID]],customers!A:A,customers!B:B)</f>
        <v>Brenn Dundredge</v>
      </c>
      <c r="G957" s="2" t="e" cm="1">
        <f t="array" ref="G957">IF(_xlfn.XLOOKUP(C957,customers!A956:$A$1001,customers!C956:$C$1001,,0)=0,"",_xlfn.XLOOKUP(C957,customers!A956:$A$1001,customers!C956:$C$1001,,0))</f>
        <v>#N/A</v>
      </c>
      <c r="H957" s="2" t="str" cm="1">
        <f t="array" ref="H957">_xlfn.XLOOKUP(C957,customers!A956:$A$1001,customers!G956:$G$1001,"Ireland",0)</f>
        <v>Ireland</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14"/>
        <v>170.77499999999998</v>
      </c>
      <c r="N957" t="str" cm="1">
        <f t="array" ref="N957">_xlfn.IFS(I957="Rob","Robusta",I957="Exc","Excelsa",I957="Ara","Arabica",I957="Lib","Liberica")</f>
        <v>Excelsa</v>
      </c>
      <c r="O957" t="str" cm="1">
        <f t="array" ref="O957">_xlfn.IFS(J957="M","Midium",J957="L","Light",J957="D","Dark")</f>
        <v>Light</v>
      </c>
      <c r="P957" t="str">
        <f>_xlfn.XLOOKUP(Orders[[#This Row],[Customer ID]],customers!A:A,customers!I:I,,0)</f>
        <v>Yes</v>
      </c>
      <c r="Q957" t="str">
        <f>_xlfn.XLOOKUP(C958,customers!A:A,customers!B:B,"مش موجود")</f>
        <v>Brenn Dundredge</v>
      </c>
    </row>
    <row r="958" spans="1:17" x14ac:dyDescent="0.25">
      <c r="A958" s="2" t="s">
        <v>5890</v>
      </c>
      <c r="B958" s="3">
        <v>43582</v>
      </c>
      <c r="C958" s="2" t="s">
        <v>5764</v>
      </c>
      <c r="D958" t="s">
        <v>6142</v>
      </c>
      <c r="E958" s="2">
        <v>2</v>
      </c>
      <c r="F958" s="2" t="str">
        <f>_xlfn.XLOOKUP(Orders[[#This Row],[Customer ID]],customers!A:A,customers!B:B)</f>
        <v>Brenn Dundredge</v>
      </c>
      <c r="G958" s="2" t="e" cm="1">
        <f t="array" ref="G958">IF(_xlfn.XLOOKUP(C958,customers!A957:$A$1001,customers!C957:$C$1001,,0)=0,"",_xlfn.XLOOKUP(C958,customers!A957:$A$1001,customers!C957:$C$1001,,0))</f>
        <v>#N/A</v>
      </c>
      <c r="H958" s="2" t="str" cm="1">
        <f t="array" ref="H958">_xlfn.XLOOKUP(C958,customers!A957:$A$1001,customers!G957:$G$1001,"Ireland",0)</f>
        <v>Ireland</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14"/>
        <v>54.969999999999992</v>
      </c>
      <c r="N958" t="str" cm="1">
        <f t="array" ref="N958">_xlfn.IFS(I958="Rob","Robusta",I958="Exc","Excelsa",I958="Ara","Arabica",I958="Lib","Liberica")</f>
        <v>Robusta</v>
      </c>
      <c r="O958" t="str" cm="1">
        <f t="array" ref="O958">_xlfn.IFS(J958="M","Midium",J958="L","Light",J958="D","Dark")</f>
        <v>Light</v>
      </c>
      <c r="P958" t="str">
        <f>_xlfn.XLOOKUP(Orders[[#This Row],[Customer ID]],customers!A:A,customers!I:I,,0)</f>
        <v>Yes</v>
      </c>
      <c r="Q958" t="str">
        <f>_xlfn.XLOOKUP(C959,customers!A:A,customers!B:B,"مش موجود")</f>
        <v>Brenn Dundredge</v>
      </c>
    </row>
    <row r="959" spans="1:17" x14ac:dyDescent="0.25">
      <c r="A959" s="2" t="s">
        <v>5890</v>
      </c>
      <c r="B959" s="3">
        <v>43582</v>
      </c>
      <c r="C959" s="2" t="s">
        <v>5764</v>
      </c>
      <c r="D959" t="s">
        <v>6171</v>
      </c>
      <c r="E959" s="2">
        <v>1</v>
      </c>
      <c r="F959" s="2" t="str">
        <f>_xlfn.XLOOKUP(Orders[[#This Row],[Customer ID]],customers!A:A,customers!B:B)</f>
        <v>Brenn Dundredge</v>
      </c>
      <c r="G959" s="2" t="e" cm="1">
        <f t="array" ref="G959">IF(_xlfn.XLOOKUP(C959,customers!A958:$A$1001,customers!C958:$C$1001,,0)=0,"",_xlfn.XLOOKUP(C959,customers!A958:$A$1001,customers!C958:$C$1001,,0))</f>
        <v>#N/A</v>
      </c>
      <c r="H959" s="2" t="str" cm="1">
        <f t="array" ref="H959">_xlfn.XLOOKUP(C959,customers!A958:$A$1001,customers!G958:$G$1001,"Ireland",0)</f>
        <v>Ireland</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14"/>
        <v>14.85</v>
      </c>
      <c r="N959" t="str" cm="1">
        <f t="array" ref="N959">_xlfn.IFS(I959="Rob","Robusta",I959="Exc","Excelsa",I959="Ara","Arabica",I959="Lib","Liberica")</f>
        <v>Excelsa</v>
      </c>
      <c r="O959" t="str" cm="1">
        <f t="array" ref="O959">_xlfn.IFS(J959="M","Midium",J959="L","Light",J959="D","Dark")</f>
        <v>Light</v>
      </c>
      <c r="P959" t="str">
        <f>_xlfn.XLOOKUP(Orders[[#This Row],[Customer ID]],customers!A:A,customers!I:I,,0)</f>
        <v>Yes</v>
      </c>
      <c r="Q959" t="str">
        <f>_xlfn.XLOOKUP(C960,customers!A:A,customers!B:B,"مش موجود")</f>
        <v>Brenn Dundredge</v>
      </c>
    </row>
    <row r="960" spans="1:17" x14ac:dyDescent="0.25">
      <c r="A960" s="2" t="s">
        <v>5890</v>
      </c>
      <c r="B960" s="3">
        <v>43582</v>
      </c>
      <c r="C960" s="2" t="s">
        <v>5764</v>
      </c>
      <c r="D960" t="s">
        <v>6167</v>
      </c>
      <c r="E960" s="2">
        <v>2</v>
      </c>
      <c r="F960" s="2" t="str">
        <f>_xlfn.XLOOKUP(Orders[[#This Row],[Customer ID]],customers!A:A,customers!B:B)</f>
        <v>Brenn Dundredge</v>
      </c>
      <c r="G960" s="2" t="e" cm="1">
        <f t="array" ref="G960">IF(_xlfn.XLOOKUP(C960,customers!A959:$A$1001,customers!C959:$C$1001,,0)=0,"",_xlfn.XLOOKUP(C960,customers!A959:$A$1001,customers!C959:$C$1001,,0))</f>
        <v>#N/A</v>
      </c>
      <c r="H960" s="2" t="str" cm="1">
        <f t="array" ref="H960">_xlfn.XLOOKUP(C960,customers!A959:$A$1001,customers!G959:$G$1001,"Ireland",0)</f>
        <v>Ireland</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14"/>
        <v>7.77</v>
      </c>
      <c r="N960" t="str" cm="1">
        <f t="array" ref="N960">_xlfn.IFS(I960="Rob","Robusta",I960="Exc","Excelsa",I960="Ara","Arabica",I960="Lib","Liberica")</f>
        <v>Arabica</v>
      </c>
      <c r="O960" t="str" cm="1">
        <f t="array" ref="O960">_xlfn.IFS(J960="M","Midium",J960="L","Light",J960="D","Dark")</f>
        <v>Light</v>
      </c>
      <c r="P960" t="str">
        <f>_xlfn.XLOOKUP(Orders[[#This Row],[Customer ID]],customers!A:A,customers!I:I,,0)</f>
        <v>Yes</v>
      </c>
      <c r="Q960" t="str">
        <f>_xlfn.XLOOKUP(C961,customers!A:A,customers!B:B,"مش موجود")</f>
        <v>Rhodie Strathern</v>
      </c>
    </row>
    <row r="961" spans="1:17" x14ac:dyDescent="0.25">
      <c r="A961" s="2" t="s">
        <v>5910</v>
      </c>
      <c r="B961" s="3">
        <v>44598</v>
      </c>
      <c r="C961" s="2" t="s">
        <v>5911</v>
      </c>
      <c r="D961" t="s">
        <v>6145</v>
      </c>
      <c r="E961" s="2">
        <v>5</v>
      </c>
      <c r="F961" s="2" t="str">
        <f>_xlfn.XLOOKUP(Orders[[#This Row],[Customer ID]],customers!A:A,customers!B:B)</f>
        <v>Rhodie Strathern</v>
      </c>
      <c r="G961" s="2" t="str" cm="1">
        <f t="array" ref="G961">IF(_xlfn.XLOOKUP(C961,customers!A960:$A$1001,customers!C960:$C$1001,,0)=0,"",_xlfn.XLOOKUP(C961,customers!A960:$A$1001,customers!C960:$C$1001,,0))</f>
        <v>rstrathernqn@devhub.com</v>
      </c>
      <c r="H961" s="2" t="str" cm="1">
        <f t="array" ref="H961">_xlfn.XLOOKUP(C961,customers!A960:$A$1001,customers!G960:$G$1001,"Ireland",0)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14"/>
        <v>23.774999999999999</v>
      </c>
      <c r="N961" t="str" cm="1">
        <f t="array" ref="N961">_xlfn.IFS(I961="Rob","Robusta",I961="Exc","Excelsa",I961="Ara","Arabica",I961="Lib","Liberica")</f>
        <v>Liberica</v>
      </c>
      <c r="O961" t="str" cm="1">
        <f t="array" ref="O961">_xlfn.IFS(J961="M","Midium",J961="L","Light",J961="D","Dark")</f>
        <v>Light</v>
      </c>
      <c r="P961" t="str">
        <f>_xlfn.XLOOKUP(Orders[[#This Row],[Customer ID]],customers!A:A,customers!I:I,,0)</f>
        <v>Yes</v>
      </c>
      <c r="Q961" t="str">
        <f>_xlfn.XLOOKUP(C962,customers!A:A,customers!B:B,"مش موجود")</f>
        <v>Chad Miguel</v>
      </c>
    </row>
    <row r="962" spans="1:17" x14ac:dyDescent="0.25">
      <c r="A962" s="2" t="s">
        <v>5915</v>
      </c>
      <c r="B962" s="3">
        <v>44591</v>
      </c>
      <c r="C962" s="2" t="s">
        <v>5916</v>
      </c>
      <c r="D962" t="s">
        <v>6170</v>
      </c>
      <c r="E962" s="2">
        <v>5</v>
      </c>
      <c r="F962" s="2" t="str">
        <f>_xlfn.XLOOKUP(Orders[[#This Row],[Customer ID]],customers!A:A,customers!B:B)</f>
        <v>Chad Miguel</v>
      </c>
      <c r="G962" s="2" t="str" cm="1">
        <f t="array" ref="G962">IF(_xlfn.XLOOKUP(C962,customers!A961:$A$1001,customers!C961:$C$1001,,0)=0,"",_xlfn.XLOOKUP(C962,customers!A961:$A$1001,customers!C961:$C$1001,,0))</f>
        <v>cmiguelqo@exblog.jp</v>
      </c>
      <c r="H962" s="2" t="str" cm="1">
        <f t="array" ref="H962">_xlfn.XLOOKUP(C962,customers!A961:$A$1001,customers!G961:$G$1001,"Ireland",0)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14"/>
        <v>79.25</v>
      </c>
      <c r="N962" t="str" cm="1">
        <f t="array" ref="N962">_xlfn.IFS(I962="Rob","Robusta",I962="Exc","Excelsa",I962="Ara","Arabica",I962="Lib","Liberica")</f>
        <v>Liberica</v>
      </c>
      <c r="O962" t="str" cm="1">
        <f t="array" ref="O962">_xlfn.IFS(J962="M","Midium",J962="L","Light",J962="D","Dark")</f>
        <v>Light</v>
      </c>
      <c r="P962" t="str">
        <f>_xlfn.XLOOKUP(Orders[[#This Row],[Customer ID]],customers!A:A,customers!I:I,,0)</f>
        <v>Yes</v>
      </c>
      <c r="Q962" t="str">
        <f>_xlfn.XLOOKUP(C963,customers!A:A,customers!B:B,"مش موجود")</f>
        <v>Florinda Matusovsky</v>
      </c>
    </row>
    <row r="963" spans="1:17" x14ac:dyDescent="0.25">
      <c r="A963" s="2" t="s">
        <v>5921</v>
      </c>
      <c r="B963" s="3">
        <v>44158</v>
      </c>
      <c r="C963" s="2" t="s">
        <v>5922</v>
      </c>
      <c r="D963" t="s">
        <v>6168</v>
      </c>
      <c r="E963" s="2">
        <v>2</v>
      </c>
      <c r="F963" s="2" t="str">
        <f>_xlfn.XLOOKUP(Orders[[#This Row],[Customer ID]],customers!A:A,customers!B:B)</f>
        <v>Florinda Matusovsky</v>
      </c>
      <c r="G963" s="2" t="str" cm="1">
        <f t="array" ref="G963">IF(_xlfn.XLOOKUP(C963,customers!A962:$A$1001,customers!C962:$C$1001,,0)=0,"",_xlfn.XLOOKUP(C963,customers!A962:$A$1001,customers!C962:$C$1001,,0))</f>
        <v/>
      </c>
      <c r="H963" s="2" t="str" cm="1">
        <f t="array" ref="H963">_xlfn.XLOOKUP(C963,customers!A962:$A$1001,customers!G962:$G$1001,"Ireland",0)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15">L963*E963</f>
        <v>45.769999999999996</v>
      </c>
      <c r="N963" t="str" cm="1">
        <f t="array" ref="N963">_xlfn.IFS(I963="Rob","Robusta",I963="Exc","Excelsa",I963="Ara","Arabica",I963="Lib","Liberica")</f>
        <v>Arabica</v>
      </c>
      <c r="O963" t="str" cm="1">
        <f t="array" ref="O963">_xlfn.IFS(J963="M","Midium",J963="L","Light",J963="D","Dark")</f>
        <v>Dark</v>
      </c>
      <c r="P963" t="str">
        <f>_xlfn.XLOOKUP(Orders[[#This Row],[Customer ID]],customers!A:A,customers!I:I,,0)</f>
        <v>Yes</v>
      </c>
      <c r="Q963" t="str">
        <f>_xlfn.XLOOKUP(C964,customers!A:A,customers!B:B,"مش موجود")</f>
        <v>Morly Rocks</v>
      </c>
    </row>
    <row r="964" spans="1:17" x14ac:dyDescent="0.25">
      <c r="A964" s="2" t="s">
        <v>5926</v>
      </c>
      <c r="B964" s="3">
        <v>44664</v>
      </c>
      <c r="C964" s="2" t="s">
        <v>5927</v>
      </c>
      <c r="D964" t="s">
        <v>6177</v>
      </c>
      <c r="E964" s="2">
        <v>1</v>
      </c>
      <c r="F964" s="2" t="str">
        <f>_xlfn.XLOOKUP(Orders[[#This Row],[Customer ID]],customers!A:A,customers!B:B)</f>
        <v>Morly Rocks</v>
      </c>
      <c r="G964" s="2" t="str" cm="1">
        <f t="array" ref="G964">IF(_xlfn.XLOOKUP(C964,customers!A963:$A$1001,customers!C963:$C$1001,,0)=0,"",_xlfn.XLOOKUP(C964,customers!A963:$A$1001,customers!C963:$C$1001,,0))</f>
        <v>mrocksqq@exblog.jp</v>
      </c>
      <c r="H964" s="2" t="str" cm="1">
        <f t="array" ref="H964">_xlfn.XLOOKUP(C964,customers!A963:$A$1001,customers!G963:$G$1001,"Ireland",0)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15"/>
        <v>8.9499999999999993</v>
      </c>
      <c r="N964" t="str" cm="1">
        <f t="array" ref="N964">_xlfn.IFS(I964="Rob","Robusta",I964="Exc","Excelsa",I964="Ara","Arabica",I964="Lib","Liberica")</f>
        <v>Robusta</v>
      </c>
      <c r="O964" t="str" cm="1">
        <f t="array" ref="O964">_xlfn.IFS(J964="M","Midium",J964="L","Light",J964="D","Dark")</f>
        <v>Dark</v>
      </c>
      <c r="P964" t="str">
        <f>_xlfn.XLOOKUP(Orders[[#This Row],[Customer ID]],customers!A:A,customers!I:I,,0)</f>
        <v>Yes</v>
      </c>
      <c r="Q964" t="str">
        <f>_xlfn.XLOOKUP(C965,customers!A:A,customers!B:B,"مش موجود")</f>
        <v>Yuri Burrells</v>
      </c>
    </row>
    <row r="965" spans="1:17" x14ac:dyDescent="0.25">
      <c r="A965" s="2" t="s">
        <v>5932</v>
      </c>
      <c r="B965" s="3">
        <v>44203</v>
      </c>
      <c r="C965" s="2" t="s">
        <v>5933</v>
      </c>
      <c r="D965" t="s">
        <v>6146</v>
      </c>
      <c r="E965" s="2">
        <v>4</v>
      </c>
      <c r="F965" s="2" t="str">
        <f>_xlfn.XLOOKUP(Orders[[#This Row],[Customer ID]],customers!A:A,customers!B:B)</f>
        <v>Yuri Burrells</v>
      </c>
      <c r="G965" s="2" t="str" cm="1">
        <f t="array" ref="G965">IF(_xlfn.XLOOKUP(C965,customers!A964:$A$1001,customers!C964:$C$1001,,0)=0,"",_xlfn.XLOOKUP(C965,customers!A964:$A$1001,customers!C964:$C$1001,,0))</f>
        <v>yburrellsqr@vinaora.com</v>
      </c>
      <c r="H965" s="2" t="str" cm="1">
        <f t="array" ref="H965">_xlfn.XLOOKUP(C965,customers!A964:$A$1001,customers!G964:$G$1001,"Ireland",0)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15"/>
        <v>23.88</v>
      </c>
      <c r="N965" t="str" cm="1">
        <f t="array" ref="N965">_xlfn.IFS(I965="Rob","Robusta",I965="Exc","Excelsa",I965="Ara","Arabica",I965="Lib","Liberica")</f>
        <v>Robusta</v>
      </c>
      <c r="O965" t="str" cm="1">
        <f t="array" ref="O965">_xlfn.IFS(J965="M","Midium",J965="L","Light",J965="D","Dark")</f>
        <v>Midium</v>
      </c>
      <c r="P965" t="str">
        <f>_xlfn.XLOOKUP(Orders[[#This Row],[Customer ID]],customers!A:A,customers!I:I,,0)</f>
        <v>Yes</v>
      </c>
      <c r="Q965" t="str">
        <f>_xlfn.XLOOKUP(C966,customers!A:A,customers!B:B,"مش موجود")</f>
        <v>Cleopatra Goodrum</v>
      </c>
    </row>
    <row r="966" spans="1:17" x14ac:dyDescent="0.25">
      <c r="A966" s="2" t="s">
        <v>5938</v>
      </c>
      <c r="B966" s="3">
        <v>43865</v>
      </c>
      <c r="C966" s="2" t="s">
        <v>5939</v>
      </c>
      <c r="D966" t="s">
        <v>6184</v>
      </c>
      <c r="E966" s="2">
        <v>5</v>
      </c>
      <c r="F966" s="2" t="str">
        <f>_xlfn.XLOOKUP(Orders[[#This Row],[Customer ID]],customers!A:A,customers!B:B)</f>
        <v>Cleopatra Goodrum</v>
      </c>
      <c r="G966" s="2" t="str" cm="1">
        <f t="array" ref="G966">IF(_xlfn.XLOOKUP(C966,customers!A965:$A$1001,customers!C965:$C$1001,,0)=0,"",_xlfn.XLOOKUP(C966,customers!A965:$A$1001,customers!C965:$C$1001,,0))</f>
        <v>cgoodrumqs@goodreads.com</v>
      </c>
      <c r="H966" s="2" t="str" cm="1">
        <f t="array" ref="H966">_xlfn.XLOOKUP(C966,customers!A965:$A$1001,customers!G965:$G$1001,"Ireland",0)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15"/>
        <v>22.274999999999999</v>
      </c>
      <c r="N966" t="str" cm="1">
        <f t="array" ref="N966">_xlfn.IFS(I966="Rob","Robusta",I966="Exc","Excelsa",I966="Ara","Arabica",I966="Lib","Liberica")</f>
        <v>Excelsa</v>
      </c>
      <c r="O966" t="str" cm="1">
        <f t="array" ref="O966">_xlfn.IFS(J966="M","Midium",J966="L","Light",J966="D","Dark")</f>
        <v>Light</v>
      </c>
      <c r="P966" t="str">
        <f>_xlfn.XLOOKUP(Orders[[#This Row],[Customer ID]],customers!A:A,customers!I:I,,0)</f>
        <v>No</v>
      </c>
      <c r="Q966" t="str">
        <f>_xlfn.XLOOKUP(C967,customers!A:A,customers!B:B,"مش موجود")</f>
        <v>Joey Jefferys</v>
      </c>
    </row>
    <row r="967" spans="1:17" x14ac:dyDescent="0.25">
      <c r="A967" s="2" t="s">
        <v>5944</v>
      </c>
      <c r="B967" s="3">
        <v>43724</v>
      </c>
      <c r="C967" s="2" t="s">
        <v>5945</v>
      </c>
      <c r="D967" t="s">
        <v>6138</v>
      </c>
      <c r="E967" s="2">
        <v>3</v>
      </c>
      <c r="F967" s="2" t="str">
        <f>_xlfn.XLOOKUP(Orders[[#This Row],[Customer ID]],customers!A:A,customers!B:B)</f>
        <v>Joey Jefferys</v>
      </c>
      <c r="G967" s="2" t="str" cm="1">
        <f t="array" ref="G967">IF(_xlfn.XLOOKUP(C967,customers!A966:$A$1001,customers!C966:$C$1001,,0)=0,"",_xlfn.XLOOKUP(C967,customers!A966:$A$1001,customers!C966:$C$1001,,0))</f>
        <v>jjefferysqt@blog.com</v>
      </c>
      <c r="H967" s="2" t="str" cm="1">
        <f t="array" ref="H967">_xlfn.XLOOKUP(C967,customers!A966:$A$1001,customers!G966:$G$1001,"Ireland",0)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15"/>
        <v>29.849999999999998</v>
      </c>
      <c r="N967" t="str" cm="1">
        <f t="array" ref="N967">_xlfn.IFS(I967="Rob","Robusta",I967="Exc","Excelsa",I967="Ara","Arabica",I967="Lib","Liberica")</f>
        <v>Robusta</v>
      </c>
      <c r="O967" t="str" cm="1">
        <f t="array" ref="O967">_xlfn.IFS(J967="M","Midium",J967="L","Light",J967="D","Dark")</f>
        <v>Midium</v>
      </c>
      <c r="P967" t="str">
        <f>_xlfn.XLOOKUP(Orders[[#This Row],[Customer ID]],customers!A:A,customers!I:I,,0)</f>
        <v>Yes</v>
      </c>
      <c r="Q967" t="str">
        <f>_xlfn.XLOOKUP(C968,customers!A:A,customers!B:B,"مش موجود")</f>
        <v>Bearnard Wardell</v>
      </c>
    </row>
    <row r="968" spans="1:17" x14ac:dyDescent="0.25">
      <c r="A968" s="2" t="s">
        <v>5949</v>
      </c>
      <c r="B968" s="3">
        <v>43491</v>
      </c>
      <c r="C968" s="2" t="s">
        <v>5950</v>
      </c>
      <c r="D968" t="s">
        <v>6176</v>
      </c>
      <c r="E968" s="2">
        <v>6</v>
      </c>
      <c r="F968" s="2" t="str">
        <f>_xlfn.XLOOKUP(Orders[[#This Row],[Customer ID]],customers!A:A,customers!B:B)</f>
        <v>Bearnard Wardell</v>
      </c>
      <c r="G968" s="2" t="str" cm="1">
        <f t="array" ref="G968">IF(_xlfn.XLOOKUP(C968,customers!A967:$A$1001,customers!C967:$C$1001,,0)=0,"",_xlfn.XLOOKUP(C968,customers!A967:$A$1001,customers!C967:$C$1001,,0))</f>
        <v>bwardellqu@adobe.com</v>
      </c>
      <c r="H968" s="2" t="str" cm="1">
        <f t="array" ref="H968">_xlfn.XLOOKUP(C968,customers!A967:$A$1001,customers!G967:$G$1001,"Ireland",0)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15"/>
        <v>53.46</v>
      </c>
      <c r="N968" t="str" cm="1">
        <f t="array" ref="N968">_xlfn.IFS(I968="Rob","Robusta",I968="Exc","Excelsa",I968="Ara","Arabica",I968="Lib","Liberica")</f>
        <v>Excelsa</v>
      </c>
      <c r="O968" t="str" cm="1">
        <f t="array" ref="O968">_xlfn.IFS(J968="M","Midium",J968="L","Light",J968="D","Dark")</f>
        <v>Light</v>
      </c>
      <c r="P968" t="str">
        <f>_xlfn.XLOOKUP(Orders[[#This Row],[Customer ID]],customers!A:A,customers!I:I,,0)</f>
        <v>Yes</v>
      </c>
      <c r="Q968" t="str">
        <f>_xlfn.XLOOKUP(C969,customers!A:A,customers!B:B,"مش موجود")</f>
        <v>Zeke Walisiak</v>
      </c>
    </row>
    <row r="969" spans="1:17" x14ac:dyDescent="0.25">
      <c r="A969" s="2" t="s">
        <v>5955</v>
      </c>
      <c r="B969" s="3">
        <v>44246</v>
      </c>
      <c r="C969" s="2" t="s">
        <v>5956</v>
      </c>
      <c r="D969" t="s">
        <v>6163</v>
      </c>
      <c r="E969" s="2">
        <v>1</v>
      </c>
      <c r="F969" s="2" t="str">
        <f>_xlfn.XLOOKUP(Orders[[#This Row],[Customer ID]],customers!A:A,customers!B:B)</f>
        <v>Zeke Walisiak</v>
      </c>
      <c r="G969" s="2" t="str" cm="1">
        <f t="array" ref="G969">IF(_xlfn.XLOOKUP(C969,customers!A968:$A$1001,customers!C968:$C$1001,,0)=0,"",_xlfn.XLOOKUP(C969,customers!A968:$A$1001,customers!C968:$C$1001,,0))</f>
        <v>zwalisiakqv@ucsd.edu</v>
      </c>
      <c r="H969" s="2" t="str" cm="1">
        <f t="array" ref="H969">_xlfn.XLOOKUP(C969,customers!A968:$A$1001,customers!G968:$G$1001,"Ireland",0)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15"/>
        <v>2.6849999999999996</v>
      </c>
      <c r="N969" t="str" cm="1">
        <f t="array" ref="N969">_xlfn.IFS(I969="Rob","Robusta",I969="Exc","Excelsa",I969="Ara","Arabica",I969="Lib","Liberica")</f>
        <v>Robusta</v>
      </c>
      <c r="O969" t="str" cm="1">
        <f t="array" ref="O969">_xlfn.IFS(J969="M","Midium",J969="L","Light",J969="D","Dark")</f>
        <v>Dark</v>
      </c>
      <c r="P969" t="str">
        <f>_xlfn.XLOOKUP(Orders[[#This Row],[Customer ID]],customers!A:A,customers!I:I,,0)</f>
        <v>Yes</v>
      </c>
      <c r="Q969" t="str">
        <f>_xlfn.XLOOKUP(C970,customers!A:A,customers!B:B,"مش موجود")</f>
        <v>Wiley Leopold</v>
      </c>
    </row>
    <row r="970" spans="1:17" x14ac:dyDescent="0.25">
      <c r="A970" s="2" t="s">
        <v>5961</v>
      </c>
      <c r="B970" s="3">
        <v>44642</v>
      </c>
      <c r="C970" s="2" t="s">
        <v>5962</v>
      </c>
      <c r="D970" t="s">
        <v>6174</v>
      </c>
      <c r="E970" s="2">
        <v>2</v>
      </c>
      <c r="F970" s="2" t="str">
        <f>_xlfn.XLOOKUP(Orders[[#This Row],[Customer ID]],customers!A:A,customers!B:B)</f>
        <v>Wiley Leopold</v>
      </c>
      <c r="G970" s="2" t="str" cm="1">
        <f t="array" ref="G970">IF(_xlfn.XLOOKUP(C970,customers!A969:$A$1001,customers!C969:$C$1001,,0)=0,"",_xlfn.XLOOKUP(C970,customers!A969:$A$1001,customers!C969:$C$1001,,0))</f>
        <v>wleopoldqw@blogspot.com</v>
      </c>
      <c r="H970" s="2" t="str" cm="1">
        <f t="array" ref="H970">_xlfn.XLOOKUP(C970,customers!A969:$A$1001,customers!G969:$G$1001,"Ireland",0)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15"/>
        <v>5.97</v>
      </c>
      <c r="N970" t="str" cm="1">
        <f t="array" ref="N970">_xlfn.IFS(I970="Rob","Robusta",I970="Exc","Excelsa",I970="Ara","Arabica",I970="Lib","Liberica")</f>
        <v>Robusta</v>
      </c>
      <c r="O970" t="str" cm="1">
        <f t="array" ref="O970">_xlfn.IFS(J970="M","Midium",J970="L","Light",J970="D","Dark")</f>
        <v>Midium</v>
      </c>
      <c r="P970" t="str">
        <f>_xlfn.XLOOKUP(Orders[[#This Row],[Customer ID]],customers!A:A,customers!I:I,,0)</f>
        <v>No</v>
      </c>
      <c r="Q970" t="str">
        <f>_xlfn.XLOOKUP(C971,customers!A:A,customers!B:B,"مش موجود")</f>
        <v>Chiarra Shalders</v>
      </c>
    </row>
    <row r="971" spans="1:17" x14ac:dyDescent="0.25">
      <c r="A971" s="2" t="s">
        <v>5967</v>
      </c>
      <c r="B971" s="3">
        <v>43649</v>
      </c>
      <c r="C971" s="2" t="s">
        <v>5968</v>
      </c>
      <c r="D971" t="s">
        <v>6143</v>
      </c>
      <c r="E971" s="2">
        <v>1</v>
      </c>
      <c r="F971" s="2" t="str">
        <f>_xlfn.XLOOKUP(Orders[[#This Row],[Customer ID]],customers!A:A,customers!B:B)</f>
        <v>Chiarra Shalders</v>
      </c>
      <c r="G971" s="2" t="str" cm="1">
        <f t="array" ref="G971">IF(_xlfn.XLOOKUP(C971,customers!A970:$A$1001,customers!C970:$C$1001,,0)=0,"",_xlfn.XLOOKUP(C971,customers!A970:$A$1001,customers!C970:$C$1001,,0))</f>
        <v>cshaldersqx@cisco.com</v>
      </c>
      <c r="H971" s="2" t="str" cm="1">
        <f t="array" ref="H971">_xlfn.XLOOKUP(C971,customers!A970:$A$1001,customers!G970:$G$1001,"Ireland",0)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15"/>
        <v>12.95</v>
      </c>
      <c r="N971" t="str" cm="1">
        <f t="array" ref="N971">_xlfn.IFS(I971="Rob","Robusta",I971="Exc","Excelsa",I971="Ara","Arabica",I971="Lib","Liberica")</f>
        <v>Liberica</v>
      </c>
      <c r="O971" t="str" cm="1">
        <f t="array" ref="O971">_xlfn.IFS(J971="M","Midium",J971="L","Light",J971="D","Dark")</f>
        <v>Dark</v>
      </c>
      <c r="P971" t="str">
        <f>_xlfn.XLOOKUP(Orders[[#This Row],[Customer ID]],customers!A:A,customers!I:I,,0)</f>
        <v>Yes</v>
      </c>
      <c r="Q971" t="str">
        <f>_xlfn.XLOOKUP(C972,customers!A:A,customers!B:B,"مش موجود")</f>
        <v>Sharl Southerill</v>
      </c>
    </row>
    <row r="972" spans="1:17" x14ac:dyDescent="0.25">
      <c r="A972" s="2" t="s">
        <v>5973</v>
      </c>
      <c r="B972" s="3">
        <v>43729</v>
      </c>
      <c r="C972" s="2" t="s">
        <v>5974</v>
      </c>
      <c r="D972" t="s">
        <v>6139</v>
      </c>
      <c r="E972" s="2">
        <v>1</v>
      </c>
      <c r="F972" s="2" t="str">
        <f>_xlfn.XLOOKUP(Orders[[#This Row],[Customer ID]],customers!A:A,customers!B:B)</f>
        <v>Sharl Southerill</v>
      </c>
      <c r="G972" s="2" t="str" cm="1">
        <f t="array" ref="G972">IF(_xlfn.XLOOKUP(C972,customers!A971:$A$1001,customers!C971:$C$1001,,0)=0,"",_xlfn.XLOOKUP(C972,customers!A971:$A$1001,customers!C971:$C$1001,,0))</f>
        <v/>
      </c>
      <c r="H972" s="2" t="str" cm="1">
        <f t="array" ref="H972">_xlfn.XLOOKUP(C972,customers!A971:$A$1001,customers!G971:$G$1001,"Ireland",0)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15"/>
        <v>8.25</v>
      </c>
      <c r="N972" t="str" cm="1">
        <f t="array" ref="N972">_xlfn.IFS(I972="Rob","Robusta",I972="Exc","Excelsa",I972="Ara","Arabica",I972="Lib","Liberica")</f>
        <v>Excelsa</v>
      </c>
      <c r="O972" t="str" cm="1">
        <f t="array" ref="O972">_xlfn.IFS(J972="M","Midium",J972="L","Light",J972="D","Dark")</f>
        <v>Midium</v>
      </c>
      <c r="P972" t="str">
        <f>_xlfn.XLOOKUP(Orders[[#This Row],[Customer ID]],customers!A:A,customers!I:I,,0)</f>
        <v>No</v>
      </c>
      <c r="Q972" t="str">
        <f>_xlfn.XLOOKUP(C973,customers!A:A,customers!B:B,"مش موجود")</f>
        <v>Noni Furber</v>
      </c>
    </row>
    <row r="973" spans="1:17" x14ac:dyDescent="0.25">
      <c r="A973" s="2" t="s">
        <v>5978</v>
      </c>
      <c r="B973" s="3">
        <v>43703</v>
      </c>
      <c r="C973" s="2" t="s">
        <v>5979</v>
      </c>
      <c r="D973" t="s">
        <v>6182</v>
      </c>
      <c r="E973" s="2">
        <v>5</v>
      </c>
      <c r="F973" s="2" t="str">
        <f>_xlfn.XLOOKUP(Orders[[#This Row],[Customer ID]],customers!A:A,customers!B:B)</f>
        <v>Noni Furber</v>
      </c>
      <c r="G973" s="2" t="str" cm="1">
        <f t="array" ref="G973">IF(_xlfn.XLOOKUP(C973,customers!A972:$A$1001,customers!C972:$C$1001,,0)=0,"",_xlfn.XLOOKUP(C973,customers!A972:$A$1001,customers!C972:$C$1001,,0))</f>
        <v>nfurberqz@jugem.jp</v>
      </c>
      <c r="H973" s="2" t="str" cm="1">
        <f t="array" ref="H973">_xlfn.XLOOKUP(C973,customers!A972:$A$1001,customers!G972:$G$1001,"Ireland",0)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15"/>
        <v>148.92499999999998</v>
      </c>
      <c r="N973" t="str" cm="1">
        <f t="array" ref="N973">_xlfn.IFS(I973="Rob","Robusta",I973="Exc","Excelsa",I973="Ara","Arabica",I973="Lib","Liberica")</f>
        <v>Arabica</v>
      </c>
      <c r="O973" t="str" cm="1">
        <f t="array" ref="O973">_xlfn.IFS(J973="M","Midium",J973="L","Light",J973="D","Dark")</f>
        <v>Light</v>
      </c>
      <c r="P973" t="str">
        <f>_xlfn.XLOOKUP(Orders[[#This Row],[Customer ID]],customers!A:A,customers!I:I,,0)</f>
        <v>No</v>
      </c>
      <c r="Q973" t="str">
        <f>_xlfn.XLOOKUP(C974,customers!A:A,customers!B:B,"مش موجود")</f>
        <v>Dinah Crutcher</v>
      </c>
    </row>
    <row r="974" spans="1:17" x14ac:dyDescent="0.25">
      <c r="A974" s="2" t="s">
        <v>5984</v>
      </c>
      <c r="B974" s="3">
        <v>44411</v>
      </c>
      <c r="C974" s="2" t="s">
        <v>5985</v>
      </c>
      <c r="D974" t="s">
        <v>6182</v>
      </c>
      <c r="E974" s="2">
        <v>3</v>
      </c>
      <c r="F974" s="2" t="str">
        <f>_xlfn.XLOOKUP(Orders[[#This Row],[Customer ID]],customers!A:A,customers!B:B)</f>
        <v>Dinah Crutcher</v>
      </c>
      <c r="G974" s="2" t="str" cm="1">
        <f t="array" ref="G974">IF(_xlfn.XLOOKUP(C974,customers!A973:$A$1001,customers!C973:$C$1001,,0)=0,"",_xlfn.XLOOKUP(C974,customers!A973:$A$1001,customers!C973:$C$1001,,0))</f>
        <v/>
      </c>
      <c r="H974" s="2" t="str" cm="1">
        <f t="array" ref="H974">_xlfn.XLOOKUP(C974,customers!A973:$A$1001,customers!G973:$G$1001,"Ireland",0)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15"/>
        <v>89.35499999999999</v>
      </c>
      <c r="N974" t="str" cm="1">
        <f t="array" ref="N974">_xlfn.IFS(I974="Rob","Robusta",I974="Exc","Excelsa",I974="Ara","Arabica",I974="Lib","Liberica")</f>
        <v>Arabica</v>
      </c>
      <c r="O974" t="str" cm="1">
        <f t="array" ref="O974">_xlfn.IFS(J974="M","Midium",J974="L","Light",J974="D","Dark")</f>
        <v>Light</v>
      </c>
      <c r="P974" t="str">
        <f>_xlfn.XLOOKUP(Orders[[#This Row],[Customer ID]],customers!A:A,customers!I:I,,0)</f>
        <v>Yes</v>
      </c>
      <c r="Q974" t="str">
        <f>_xlfn.XLOOKUP(C975,customers!A:A,customers!B:B,"مش موجود")</f>
        <v>Charlean Keave</v>
      </c>
    </row>
    <row r="975" spans="1:17" x14ac:dyDescent="0.25">
      <c r="A975" s="2" t="s">
        <v>5989</v>
      </c>
      <c r="B975" s="3">
        <v>44493</v>
      </c>
      <c r="C975" s="2" t="s">
        <v>5990</v>
      </c>
      <c r="D975" t="s">
        <v>6162</v>
      </c>
      <c r="E975" s="2">
        <v>6</v>
      </c>
      <c r="F975" s="2" t="str">
        <f>_xlfn.XLOOKUP(Orders[[#This Row],[Customer ID]],customers!A:A,customers!B:B)</f>
        <v>Charlean Keave</v>
      </c>
      <c r="G975" s="2" t="str" cm="1">
        <f t="array" ref="G975">IF(_xlfn.XLOOKUP(C975,customers!A974:$A$1001,customers!C974:$C$1001,,0)=0,"",_xlfn.XLOOKUP(C975,customers!A974:$A$1001,customers!C974:$C$1001,,0))</f>
        <v>ckeaver1@ucoz.com</v>
      </c>
      <c r="H975" s="2" t="str" cm="1">
        <f t="array" ref="H975">_xlfn.XLOOKUP(C975,customers!A974:$A$1001,customers!G974:$G$1001,"Ireland",0)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15"/>
        <v>87.300000000000011</v>
      </c>
      <c r="N975" t="str" cm="1">
        <f t="array" ref="N975">_xlfn.IFS(I975="Rob","Robusta",I975="Exc","Excelsa",I975="Ara","Arabica",I975="Lib","Liberica")</f>
        <v>Liberica</v>
      </c>
      <c r="O975" t="str" cm="1">
        <f t="array" ref="O975">_xlfn.IFS(J975="M","Midium",J975="L","Light",J975="D","Dark")</f>
        <v>Midium</v>
      </c>
      <c r="P975" t="str">
        <f>_xlfn.XLOOKUP(Orders[[#This Row],[Customer ID]],customers!A:A,customers!I:I,,0)</f>
        <v>No</v>
      </c>
      <c r="Q975" t="str">
        <f>_xlfn.XLOOKUP(C976,customers!A:A,customers!B:B,"مش موجود")</f>
        <v>Sada Roseborough</v>
      </c>
    </row>
    <row r="976" spans="1:17" x14ac:dyDescent="0.25">
      <c r="A976" s="2" t="s">
        <v>5995</v>
      </c>
      <c r="B976" s="3">
        <v>43556</v>
      </c>
      <c r="C976" s="2" t="s">
        <v>5996</v>
      </c>
      <c r="D976" t="s">
        <v>6172</v>
      </c>
      <c r="E976" s="2">
        <v>1</v>
      </c>
      <c r="F976" s="2" t="str">
        <f>_xlfn.XLOOKUP(Orders[[#This Row],[Customer ID]],customers!A:A,customers!B:B)</f>
        <v>Sada Roseborough</v>
      </c>
      <c r="G976" s="2" t="str" cm="1">
        <f t="array" ref="G976">IF(_xlfn.XLOOKUP(C976,customers!A975:$A$1001,customers!C975:$C$1001,,0)=0,"",_xlfn.XLOOKUP(C976,customers!A975:$A$1001,customers!C975:$C$1001,,0))</f>
        <v>sroseboroughr2@virginia.edu</v>
      </c>
      <c r="H976" s="2" t="str" cm="1">
        <f t="array" ref="H976">_xlfn.XLOOKUP(C976,customers!A975:$A$1001,customers!G975:$G$1001,"Ireland",0)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15"/>
        <v>5.3699999999999992</v>
      </c>
      <c r="N976" t="str" cm="1">
        <f t="array" ref="N976">_xlfn.IFS(I976="Rob","Robusta",I976="Exc","Excelsa",I976="Ara","Arabica",I976="Lib","Liberica")</f>
        <v>Robusta</v>
      </c>
      <c r="O976" t="str" cm="1">
        <f t="array" ref="O976">_xlfn.IFS(J976="M","Midium",J976="L","Light",J976="D","Dark")</f>
        <v>Dark</v>
      </c>
      <c r="P976" t="str">
        <f>_xlfn.XLOOKUP(Orders[[#This Row],[Customer ID]],customers!A:A,customers!I:I,,0)</f>
        <v>Yes</v>
      </c>
      <c r="Q976" t="str">
        <f>_xlfn.XLOOKUP(C977,customers!A:A,customers!B:B,"مش موجود")</f>
        <v>Clayton Kingwell</v>
      </c>
    </row>
    <row r="977" spans="1:17" x14ac:dyDescent="0.25">
      <c r="A977" s="2" t="s">
        <v>6001</v>
      </c>
      <c r="B977" s="3">
        <v>44538</v>
      </c>
      <c r="C977" s="2" t="s">
        <v>6002</v>
      </c>
      <c r="D977" t="s">
        <v>6154</v>
      </c>
      <c r="E977" s="2">
        <v>3</v>
      </c>
      <c r="F977" s="2" t="str">
        <f>_xlfn.XLOOKUP(Orders[[#This Row],[Customer ID]],customers!A:A,customers!B:B)</f>
        <v>Clayton Kingwell</v>
      </c>
      <c r="G977" s="2" t="str" cm="1">
        <f t="array" ref="G977">IF(_xlfn.XLOOKUP(C977,customers!A976:$A$1001,customers!C976:$C$1001,,0)=0,"",_xlfn.XLOOKUP(C977,customers!A976:$A$1001,customers!C976:$C$1001,,0))</f>
        <v>ckingwellr3@squarespace.com</v>
      </c>
      <c r="H977" s="2" t="str" cm="1">
        <f t="array" ref="H977">_xlfn.XLOOKUP(C977,customers!A976:$A$1001,customers!G976:$G$1001,"Ireland",0)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15"/>
        <v>8.9550000000000001</v>
      </c>
      <c r="N977" t="str" cm="1">
        <f t="array" ref="N977">_xlfn.IFS(I977="Rob","Robusta",I977="Exc","Excelsa",I977="Ara","Arabica",I977="Lib","Liberica")</f>
        <v>Arabica</v>
      </c>
      <c r="O977" t="str" cm="1">
        <f t="array" ref="O977">_xlfn.IFS(J977="M","Midium",J977="L","Light",J977="D","Dark")</f>
        <v>Dark</v>
      </c>
      <c r="P977" t="str">
        <f>_xlfn.XLOOKUP(Orders[[#This Row],[Customer ID]],customers!A:A,customers!I:I,,0)</f>
        <v>Yes</v>
      </c>
      <c r="Q977" t="str">
        <f>_xlfn.XLOOKUP(C978,customers!A:A,customers!B:B,"مش موجود")</f>
        <v>Kacy Canto</v>
      </c>
    </row>
    <row r="978" spans="1:17" x14ac:dyDescent="0.25">
      <c r="A978" s="2" t="s">
        <v>6007</v>
      </c>
      <c r="B978" s="3">
        <v>43643</v>
      </c>
      <c r="C978" s="2" t="s">
        <v>6008</v>
      </c>
      <c r="D978" t="s">
        <v>6142</v>
      </c>
      <c r="E978" s="2">
        <v>5</v>
      </c>
      <c r="F978" s="2" t="str">
        <f>_xlfn.XLOOKUP(Orders[[#This Row],[Customer ID]],customers!A:A,customers!B:B)</f>
        <v>Kacy Canto</v>
      </c>
      <c r="G978" s="2" t="str" cm="1">
        <f t="array" ref="G978">IF(_xlfn.XLOOKUP(C978,customers!A977:$A$1001,customers!C977:$C$1001,,0)=0,"",_xlfn.XLOOKUP(C978,customers!A977:$A$1001,customers!C977:$C$1001,,0))</f>
        <v>kcantor4@gmpg.org</v>
      </c>
      <c r="H978" s="2" t="str" cm="1">
        <f t="array" ref="H978">_xlfn.XLOOKUP(C978,customers!A977:$A$1001,customers!G977:$G$1001,"Ireland",0)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15"/>
        <v>137.42499999999998</v>
      </c>
      <c r="N978" t="str" cm="1">
        <f t="array" ref="N978">_xlfn.IFS(I978="Rob","Robusta",I978="Exc","Excelsa",I978="Ara","Arabica",I978="Lib","Liberica")</f>
        <v>Robusta</v>
      </c>
      <c r="O978" t="str" cm="1">
        <f t="array" ref="O978">_xlfn.IFS(J978="M","Midium",J978="L","Light",J978="D","Dark")</f>
        <v>Light</v>
      </c>
      <c r="P978" t="str">
        <f>_xlfn.XLOOKUP(Orders[[#This Row],[Customer ID]],customers!A:A,customers!I:I,,0)</f>
        <v>Yes</v>
      </c>
      <c r="Q978" t="str">
        <f>_xlfn.XLOOKUP(C979,customers!A:A,customers!B:B,"مش موجود")</f>
        <v>Mab Blakemore</v>
      </c>
    </row>
    <row r="979" spans="1:17" x14ac:dyDescent="0.25">
      <c r="A979" s="2" t="s">
        <v>6013</v>
      </c>
      <c r="B979" s="3">
        <v>44026</v>
      </c>
      <c r="C979" s="2" t="s">
        <v>6014</v>
      </c>
      <c r="D979" t="s">
        <v>6179</v>
      </c>
      <c r="E979" s="2">
        <v>5</v>
      </c>
      <c r="F979" s="2" t="str">
        <f>_xlfn.XLOOKUP(Orders[[#This Row],[Customer ID]],customers!A:A,customers!B:B)</f>
        <v>Mab Blakemore</v>
      </c>
      <c r="G979" s="2" t="str" cm="1">
        <f t="array" ref="G979">IF(_xlfn.XLOOKUP(C979,customers!A978:$A$1001,customers!C978:$C$1001,,0)=0,"",_xlfn.XLOOKUP(C979,customers!A978:$A$1001,customers!C978:$C$1001,,0))</f>
        <v>mblakemorer5@nsw.gov.au</v>
      </c>
      <c r="H979" s="2" t="str" cm="1">
        <f t="array" ref="H979">_xlfn.XLOOKUP(C979,customers!A978:$A$1001,customers!G978:$G$1001,"Ireland",0)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15"/>
        <v>59.75</v>
      </c>
      <c r="N979" t="str" cm="1">
        <f t="array" ref="N979">_xlfn.IFS(I979="Rob","Robusta",I979="Exc","Excelsa",I979="Ara","Arabica",I979="Lib","Liberica")</f>
        <v>Robusta</v>
      </c>
      <c r="O979" t="str" cm="1">
        <f t="array" ref="O979">_xlfn.IFS(J979="M","Midium",J979="L","Light",J979="D","Dark")</f>
        <v>Light</v>
      </c>
      <c r="P979" t="str">
        <f>_xlfn.XLOOKUP(Orders[[#This Row],[Customer ID]],customers!A:A,customers!I:I,,0)</f>
        <v>No</v>
      </c>
      <c r="Q979" t="str">
        <f>_xlfn.XLOOKUP(C980,customers!A:A,customers!B:B,"مش موجود")</f>
        <v>Charlean Keave</v>
      </c>
    </row>
    <row r="980" spans="1:17" x14ac:dyDescent="0.25">
      <c r="A980" s="2" t="s">
        <v>6019</v>
      </c>
      <c r="B980" s="3">
        <v>43913</v>
      </c>
      <c r="C980" s="2" t="s">
        <v>5990</v>
      </c>
      <c r="D980" t="s">
        <v>6180</v>
      </c>
      <c r="E980" s="2">
        <v>3</v>
      </c>
      <c r="F980" s="2" t="str">
        <f>_xlfn.XLOOKUP(Orders[[#This Row],[Customer ID]],customers!A:A,customers!B:B)</f>
        <v>Charlean Keave</v>
      </c>
      <c r="G980" s="2" t="e" cm="1">
        <f t="array" ref="G980">IF(_xlfn.XLOOKUP(C980,customers!A979:$A$1001,customers!C979:$C$1001,,0)=0,"",_xlfn.XLOOKUP(C980,customers!A979:$A$1001,customers!C979:$C$1001,,0))</f>
        <v>#N/A</v>
      </c>
      <c r="H980" s="2" t="str" cm="1">
        <f t="array" ref="H980">_xlfn.XLOOKUP(C980,customers!A979:$A$1001,customers!G979:$G$1001,"Ireland",0)</f>
        <v>Ireland</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15"/>
        <v>23.31</v>
      </c>
      <c r="N980" t="str" cm="1">
        <f t="array" ref="N980">_xlfn.IFS(I980="Rob","Robusta",I980="Exc","Excelsa",I980="Ara","Arabica",I980="Lib","Liberica")</f>
        <v>Arabica</v>
      </c>
      <c r="O980" t="str" cm="1">
        <f t="array" ref="O980">_xlfn.IFS(J980="M","Midium",J980="L","Light",J980="D","Dark")</f>
        <v>Light</v>
      </c>
      <c r="P980" t="str">
        <f>_xlfn.XLOOKUP(Orders[[#This Row],[Customer ID]],customers!A:A,customers!I:I,,0)</f>
        <v>No</v>
      </c>
      <c r="Q980" t="str">
        <f>_xlfn.XLOOKUP(C981,customers!A:A,customers!B:B,"مش موجود")</f>
        <v>Javier Causnett</v>
      </c>
    </row>
    <row r="981" spans="1:17" x14ac:dyDescent="0.25">
      <c r="A981" s="2" t="s">
        <v>6025</v>
      </c>
      <c r="B981" s="3">
        <v>43856</v>
      </c>
      <c r="C981" s="2" t="s">
        <v>6026</v>
      </c>
      <c r="D981" t="s">
        <v>6172</v>
      </c>
      <c r="E981" s="2">
        <v>2</v>
      </c>
      <c r="F981" s="2" t="str">
        <f>_xlfn.XLOOKUP(Orders[[#This Row],[Customer ID]],customers!A:A,customers!B:B)</f>
        <v>Javier Causnett</v>
      </c>
      <c r="G981" s="2" t="str" cm="1">
        <f t="array" ref="G981">IF(_xlfn.XLOOKUP(C981,customers!A980:$A$1001,customers!C980:$C$1001,,0)=0,"",_xlfn.XLOOKUP(C981,customers!A980:$A$1001,customers!C980:$C$1001,,0))</f>
        <v/>
      </c>
      <c r="H981" s="2" t="str" cm="1">
        <f t="array" ref="H981">_xlfn.XLOOKUP(C981,customers!A980:$A$1001,customers!G980:$G$1001,"Ireland",0)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15"/>
        <v>10.739999999999998</v>
      </c>
      <c r="N981" t="str" cm="1">
        <f t="array" ref="N981">_xlfn.IFS(I981="Rob","Robusta",I981="Exc","Excelsa",I981="Ara","Arabica",I981="Lib","Liberica")</f>
        <v>Robusta</v>
      </c>
      <c r="O981" t="str" cm="1">
        <f t="array" ref="O981">_xlfn.IFS(J981="M","Midium",J981="L","Light",J981="D","Dark")</f>
        <v>Dark</v>
      </c>
      <c r="P981" t="str">
        <f>_xlfn.XLOOKUP(Orders[[#This Row],[Customer ID]],customers!A:A,customers!I:I,,0)</f>
        <v>No</v>
      </c>
      <c r="Q981" t="str">
        <f>_xlfn.XLOOKUP(C982,customers!A:A,customers!B:B,"مش موجود")</f>
        <v>Demetris Micheli</v>
      </c>
    </row>
    <row r="982" spans="1:17" x14ac:dyDescent="0.25">
      <c r="A982" s="2" t="s">
        <v>6030</v>
      </c>
      <c r="B982" s="3">
        <v>43982</v>
      </c>
      <c r="C982" s="2" t="s">
        <v>6031</v>
      </c>
      <c r="D982" t="s">
        <v>6185</v>
      </c>
      <c r="E982" s="2">
        <v>6</v>
      </c>
      <c r="F982" s="2" t="str">
        <f>_xlfn.XLOOKUP(Orders[[#This Row],[Customer ID]],customers!A:A,customers!B:B)</f>
        <v>Demetris Micheli</v>
      </c>
      <c r="G982" s="2" t="str" cm="1">
        <f t="array" ref="G982">IF(_xlfn.XLOOKUP(C982,customers!A981:$A$1001,customers!C981:$C$1001,,0)=0,"",_xlfn.XLOOKUP(C982,customers!A981:$A$1001,customers!C981:$C$1001,,0))</f>
        <v/>
      </c>
      <c r="H982" s="2" t="str" cm="1">
        <f t="array" ref="H982">_xlfn.XLOOKUP(C982,customers!A981:$A$1001,customers!G981:$G$1001,"Ireland",0)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15"/>
        <v>167.67000000000002</v>
      </c>
      <c r="N982" t="str" cm="1">
        <f t="array" ref="N982">_xlfn.IFS(I982="Rob","Robusta",I982="Exc","Excelsa",I982="Ara","Arabica",I982="Lib","Liberica")</f>
        <v>Excelsa</v>
      </c>
      <c r="O982" t="str" cm="1">
        <f t="array" ref="O982">_xlfn.IFS(J982="M","Midium",J982="L","Light",J982="D","Dark")</f>
        <v>Dark</v>
      </c>
      <c r="P982" t="str">
        <f>_xlfn.XLOOKUP(Orders[[#This Row],[Customer ID]],customers!A:A,customers!I:I,,0)</f>
        <v>Yes</v>
      </c>
      <c r="Q982" t="str">
        <f>_xlfn.XLOOKUP(C983,customers!A:A,customers!B:B,"مش موجود")</f>
        <v>Chloette Bernardot</v>
      </c>
    </row>
    <row r="983" spans="1:17" x14ac:dyDescent="0.25">
      <c r="A983" s="2" t="s">
        <v>6035</v>
      </c>
      <c r="B983" s="3">
        <v>44397</v>
      </c>
      <c r="C983" s="2" t="s">
        <v>6036</v>
      </c>
      <c r="D983" t="s">
        <v>6153</v>
      </c>
      <c r="E983" s="2">
        <v>6</v>
      </c>
      <c r="F983" s="2" t="str">
        <f>_xlfn.XLOOKUP(Orders[[#This Row],[Customer ID]],customers!A:A,customers!B:B)</f>
        <v>Chloette Bernardot</v>
      </c>
      <c r="G983" s="2" t="str" cm="1">
        <f t="array" ref="G983">IF(_xlfn.XLOOKUP(C983,customers!A982:$A$1001,customers!C982:$C$1001,,0)=0,"",_xlfn.XLOOKUP(C983,customers!A982:$A$1001,customers!C982:$C$1001,,0))</f>
        <v>cbernardotr9@wix.com</v>
      </c>
      <c r="H983" s="2" t="str" cm="1">
        <f t="array" ref="H983">_xlfn.XLOOKUP(C983,customers!A982:$A$1001,customers!G982:$G$1001,"Ireland",0)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15"/>
        <v>21.87</v>
      </c>
      <c r="N983" t="str" cm="1">
        <f t="array" ref="N983">_xlfn.IFS(I983="Rob","Robusta",I983="Exc","Excelsa",I983="Ara","Arabica",I983="Lib","Liberica")</f>
        <v>Excelsa</v>
      </c>
      <c r="O983" t="str" cm="1">
        <f t="array" ref="O983">_xlfn.IFS(J983="M","Midium",J983="L","Light",J983="D","Dark")</f>
        <v>Dark</v>
      </c>
      <c r="P983" t="str">
        <f>_xlfn.XLOOKUP(Orders[[#This Row],[Customer ID]],customers!A:A,customers!I:I,,0)</f>
        <v>Yes</v>
      </c>
      <c r="Q983" t="str">
        <f>_xlfn.XLOOKUP(C984,customers!A:A,customers!B:B,"مش موجود")</f>
        <v>Kim Kemery</v>
      </c>
    </row>
    <row r="984" spans="1:17" x14ac:dyDescent="0.25">
      <c r="A984" s="2" t="s">
        <v>6041</v>
      </c>
      <c r="B984" s="3">
        <v>44785</v>
      </c>
      <c r="C984" s="2" t="s">
        <v>6042</v>
      </c>
      <c r="D984" t="s">
        <v>6179</v>
      </c>
      <c r="E984" s="2">
        <v>2</v>
      </c>
      <c r="F984" s="2" t="str">
        <f>_xlfn.XLOOKUP(Orders[[#This Row],[Customer ID]],customers!A:A,customers!B:B)</f>
        <v>Kim Kemery</v>
      </c>
      <c r="G984" s="2" t="str" cm="1">
        <f t="array" ref="G984">IF(_xlfn.XLOOKUP(C984,customers!A983:$A$1001,customers!C983:$C$1001,,0)=0,"",_xlfn.XLOOKUP(C984,customers!A983:$A$1001,customers!C983:$C$1001,,0))</f>
        <v>kkemeryra@t.co</v>
      </c>
      <c r="H984" s="2" t="str" cm="1">
        <f t="array" ref="H984">_xlfn.XLOOKUP(C984,customers!A983:$A$1001,customers!G983:$G$1001,"Ireland",0)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15"/>
        <v>23.9</v>
      </c>
      <c r="N984" t="str" cm="1">
        <f t="array" ref="N984">_xlfn.IFS(I984="Rob","Robusta",I984="Exc","Excelsa",I984="Ara","Arabica",I984="Lib","Liberica")</f>
        <v>Robusta</v>
      </c>
      <c r="O984" t="str" cm="1">
        <f t="array" ref="O984">_xlfn.IFS(J984="M","Midium",J984="L","Light",J984="D","Dark")</f>
        <v>Light</v>
      </c>
      <c r="P984" t="str">
        <f>_xlfn.XLOOKUP(Orders[[#This Row],[Customer ID]],customers!A:A,customers!I:I,,0)</f>
        <v>Yes</v>
      </c>
      <c r="Q984" t="str">
        <f>_xlfn.XLOOKUP(C985,customers!A:A,customers!B:B,"مش موجود")</f>
        <v>Fanchette Parlot</v>
      </c>
    </row>
    <row r="985" spans="1:17" x14ac:dyDescent="0.25">
      <c r="A985" s="2" t="s">
        <v>6047</v>
      </c>
      <c r="B985" s="3">
        <v>43831</v>
      </c>
      <c r="C985" s="2" t="s">
        <v>6048</v>
      </c>
      <c r="D985" t="s">
        <v>6152</v>
      </c>
      <c r="E985" s="2">
        <v>2</v>
      </c>
      <c r="F985" s="2" t="str">
        <f>_xlfn.XLOOKUP(Orders[[#This Row],[Customer ID]],customers!A:A,customers!B:B)</f>
        <v>Fanchette Parlot</v>
      </c>
      <c r="G985" s="2" t="str" cm="1">
        <f t="array" ref="G985">IF(_xlfn.XLOOKUP(C985,customers!A984:$A$1001,customers!C984:$C$1001,,0)=0,"",_xlfn.XLOOKUP(C985,customers!A984:$A$1001,customers!C984:$C$1001,,0))</f>
        <v>fparlotrb@forbes.com</v>
      </c>
      <c r="H985" s="2" t="str" cm="1">
        <f t="array" ref="H985">_xlfn.XLOOKUP(C985,customers!A984:$A$1001,customers!G984:$G$1001,"Ireland",0)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15"/>
        <v>6.75</v>
      </c>
      <c r="N985" t="str" cm="1">
        <f t="array" ref="N985">_xlfn.IFS(I985="Rob","Robusta",I985="Exc","Excelsa",I985="Ara","Arabica",I985="Lib","Liberica")</f>
        <v>Arabica</v>
      </c>
      <c r="O985" t="str" cm="1">
        <f t="array" ref="O985">_xlfn.IFS(J985="M","Midium",J985="L","Light",J985="D","Dark")</f>
        <v>Midium</v>
      </c>
      <c r="P985" t="str">
        <f>_xlfn.XLOOKUP(Orders[[#This Row],[Customer ID]],customers!A:A,customers!I:I,,0)</f>
        <v>Yes</v>
      </c>
      <c r="Q985" t="str">
        <f>_xlfn.XLOOKUP(C986,customers!A:A,customers!B:B,"مش موجود")</f>
        <v>Ramon Cheak</v>
      </c>
    </row>
    <row r="986" spans="1:17" x14ac:dyDescent="0.25">
      <c r="A986" s="2" t="s">
        <v>6053</v>
      </c>
      <c r="B986" s="3">
        <v>44214</v>
      </c>
      <c r="C986" s="2" t="s">
        <v>6054</v>
      </c>
      <c r="D986" t="s">
        <v>6166</v>
      </c>
      <c r="E986" s="2">
        <v>1</v>
      </c>
      <c r="F986" s="2" t="str">
        <f>_xlfn.XLOOKUP(Orders[[#This Row],[Customer ID]],customers!A:A,customers!B:B)</f>
        <v>Ramon Cheak</v>
      </c>
      <c r="G986" s="2" t="str" cm="1">
        <f t="array" ref="G986">IF(_xlfn.XLOOKUP(C986,customers!A985:$A$1001,customers!C985:$C$1001,,0)=0,"",_xlfn.XLOOKUP(C986,customers!A985:$A$1001,customers!C985:$C$1001,,0))</f>
        <v>rcheakrc@tripadvisor.com</v>
      </c>
      <c r="H986" s="2" t="str" cm="1">
        <f t="array" ref="H986">_xlfn.XLOOKUP(C986,customers!A985:$A$1001,customers!G985:$G$1001,"Ireland",0)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15"/>
        <v>31.624999999999996</v>
      </c>
      <c r="N986" t="str" cm="1">
        <f t="array" ref="N986">_xlfn.IFS(I986="Rob","Robusta",I986="Exc","Excelsa",I986="Ara","Arabica",I986="Lib","Liberica")</f>
        <v>Excelsa</v>
      </c>
      <c r="O986" t="str" cm="1">
        <f t="array" ref="O986">_xlfn.IFS(J986="M","Midium",J986="L","Light",J986="D","Dark")</f>
        <v>Midium</v>
      </c>
      <c r="P986" t="str">
        <f>_xlfn.XLOOKUP(Orders[[#This Row],[Customer ID]],customers!A:A,customers!I:I,,0)</f>
        <v>Yes</v>
      </c>
      <c r="Q986" t="str">
        <f>_xlfn.XLOOKUP(C987,customers!A:A,customers!B:B,"مش موجود")</f>
        <v>Koressa O'Geneay</v>
      </c>
    </row>
    <row r="987" spans="1:17" x14ac:dyDescent="0.25">
      <c r="A987" s="2" t="s">
        <v>6058</v>
      </c>
      <c r="B987" s="3">
        <v>44561</v>
      </c>
      <c r="C987" s="2" t="s">
        <v>6059</v>
      </c>
      <c r="D987" t="s">
        <v>6179</v>
      </c>
      <c r="E987" s="2">
        <v>4</v>
      </c>
      <c r="F987" s="2" t="str">
        <f>_xlfn.XLOOKUP(Orders[[#This Row],[Customer ID]],customers!A:A,customers!B:B)</f>
        <v>Koressa O'Geneay</v>
      </c>
      <c r="G987" s="2" t="str" cm="1">
        <f t="array" ref="G987">IF(_xlfn.XLOOKUP(C987,customers!A986:$A$1001,customers!C986:$C$1001,,0)=0,"",_xlfn.XLOOKUP(C987,customers!A986:$A$1001,customers!C986:$C$1001,,0))</f>
        <v>kogeneayrd@utexas.edu</v>
      </c>
      <c r="H987" s="2" t="str" cm="1">
        <f t="array" ref="H987">_xlfn.XLOOKUP(C987,customers!A986:$A$1001,customers!G986:$G$1001,"Ireland",0)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15"/>
        <v>47.8</v>
      </c>
      <c r="N987" t="str" cm="1">
        <f t="array" ref="N987">_xlfn.IFS(I987="Rob","Robusta",I987="Exc","Excelsa",I987="Ara","Arabica",I987="Lib","Liberica")</f>
        <v>Robusta</v>
      </c>
      <c r="O987" t="str" cm="1">
        <f t="array" ref="O987">_xlfn.IFS(J987="M","Midium",J987="L","Light",J987="D","Dark")</f>
        <v>Light</v>
      </c>
      <c r="P987" t="str">
        <f>_xlfn.XLOOKUP(Orders[[#This Row],[Customer ID]],customers!A:A,customers!I:I,,0)</f>
        <v>No</v>
      </c>
      <c r="Q987" t="str">
        <f>_xlfn.XLOOKUP(C988,customers!A:A,customers!B:B,"مش موجود")</f>
        <v>Claudell Ayre</v>
      </c>
    </row>
    <row r="988" spans="1:17" x14ac:dyDescent="0.25">
      <c r="A988" s="2" t="s">
        <v>6064</v>
      </c>
      <c r="B988" s="3">
        <v>43955</v>
      </c>
      <c r="C988" s="2" t="s">
        <v>6065</v>
      </c>
      <c r="D988" t="s">
        <v>6181</v>
      </c>
      <c r="E988" s="2">
        <v>1</v>
      </c>
      <c r="F988" s="2" t="str">
        <f>_xlfn.XLOOKUP(Orders[[#This Row],[Customer ID]],customers!A:A,customers!B:B)</f>
        <v>Claudell Ayre</v>
      </c>
      <c r="G988" s="2" t="str" cm="1">
        <f t="array" ref="G988">IF(_xlfn.XLOOKUP(C988,customers!A987:$A$1001,customers!C987:$C$1001,,0)=0,"",_xlfn.XLOOKUP(C988,customers!A987:$A$1001,customers!C987:$C$1001,,0))</f>
        <v>cayrere@symantec.com</v>
      </c>
      <c r="H988" s="2" t="str" cm="1">
        <f t="array" ref="H988">_xlfn.XLOOKUP(C988,customers!A987:$A$1001,customers!G987:$G$1001,"Ireland",0)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15"/>
        <v>33.464999999999996</v>
      </c>
      <c r="N988" t="str" cm="1">
        <f t="array" ref="N988">_xlfn.IFS(I988="Rob","Robusta",I988="Exc","Excelsa",I988="Ara","Arabica",I988="Lib","Liberica")</f>
        <v>Liberica</v>
      </c>
      <c r="O988" t="str" cm="1">
        <f t="array" ref="O988">_xlfn.IFS(J988="M","Midium",J988="L","Light",J988="D","Dark")</f>
        <v>Midium</v>
      </c>
      <c r="P988" t="str">
        <f>_xlfn.XLOOKUP(Orders[[#This Row],[Customer ID]],customers!A:A,customers!I:I,,0)</f>
        <v>No</v>
      </c>
      <c r="Q988" t="str">
        <f>_xlfn.XLOOKUP(C989,customers!A:A,customers!B:B,"مش موجود")</f>
        <v>Lorianne Kyneton</v>
      </c>
    </row>
    <row r="989" spans="1:17" x14ac:dyDescent="0.25">
      <c r="A989" s="2" t="s">
        <v>6070</v>
      </c>
      <c r="B989" s="3">
        <v>44247</v>
      </c>
      <c r="C989" s="2" t="s">
        <v>6071</v>
      </c>
      <c r="D989" t="s">
        <v>6158</v>
      </c>
      <c r="E989" s="2">
        <v>5</v>
      </c>
      <c r="F989" s="2" t="str">
        <f>_xlfn.XLOOKUP(Orders[[#This Row],[Customer ID]],customers!A:A,customers!B:B)</f>
        <v>Lorianne Kyneton</v>
      </c>
      <c r="G989" s="2" t="str" cm="1">
        <f t="array" ref="G989">IF(_xlfn.XLOOKUP(C989,customers!A988:$A$1001,customers!C988:$C$1001,,0)=0,"",_xlfn.XLOOKUP(C989,customers!A988:$A$1001,customers!C988:$C$1001,,0))</f>
        <v>lkynetonrf@macromedia.com</v>
      </c>
      <c r="H989" s="2" t="str" cm="1">
        <f t="array" ref="H989">_xlfn.XLOOKUP(C989,customers!A988:$A$1001,customers!G988:$G$1001,"Ireland",0)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15"/>
        <v>29.849999999999998</v>
      </c>
      <c r="N989" t="str" cm="1">
        <f t="array" ref="N989">_xlfn.IFS(I989="Rob","Robusta",I989="Exc","Excelsa",I989="Ara","Arabica",I989="Lib","Liberica")</f>
        <v>Arabica</v>
      </c>
      <c r="O989" t="str" cm="1">
        <f t="array" ref="O989">_xlfn.IFS(J989="M","Midium",J989="L","Light",J989="D","Dark")</f>
        <v>Dark</v>
      </c>
      <c r="P989" t="str">
        <f>_xlfn.XLOOKUP(Orders[[#This Row],[Customer ID]],customers!A:A,customers!I:I,,0)</f>
        <v>Yes</v>
      </c>
      <c r="Q989" t="str">
        <f>_xlfn.XLOOKUP(C990,customers!A:A,customers!B:B,"مش موجود")</f>
        <v>Adele McFayden</v>
      </c>
    </row>
    <row r="990" spans="1:17" x14ac:dyDescent="0.25">
      <c r="A990" s="2" t="s">
        <v>6076</v>
      </c>
      <c r="B990" s="3">
        <v>43897</v>
      </c>
      <c r="C990" s="2" t="s">
        <v>6077</v>
      </c>
      <c r="D990" t="s">
        <v>6138</v>
      </c>
      <c r="E990" s="2">
        <v>3</v>
      </c>
      <c r="F990" s="2" t="str">
        <f>_xlfn.XLOOKUP(Orders[[#This Row],[Customer ID]],customers!A:A,customers!B:B)</f>
        <v>Adele McFayden</v>
      </c>
      <c r="G990" s="2" t="str" cm="1">
        <f t="array" ref="G990">IF(_xlfn.XLOOKUP(C990,customers!A989:$A$1001,customers!C989:$C$1001,,0)=0,"",_xlfn.XLOOKUP(C990,customers!A989:$A$1001,customers!C989:$C$1001,,0))</f>
        <v/>
      </c>
      <c r="H990" s="2" t="str" cm="1">
        <f t="array" ref="H990">_xlfn.XLOOKUP(C990,customers!A989:$A$1001,customers!G989:$G$1001,"Ireland",0)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15"/>
        <v>29.849999999999998</v>
      </c>
      <c r="N990" t="str" cm="1">
        <f t="array" ref="N990">_xlfn.IFS(I990="Rob","Robusta",I990="Exc","Excelsa",I990="Ara","Arabica",I990="Lib","Liberica")</f>
        <v>Robusta</v>
      </c>
      <c r="O990" t="str" cm="1">
        <f t="array" ref="O990">_xlfn.IFS(J990="M","Midium",J990="L","Light",J990="D","Dark")</f>
        <v>Midium</v>
      </c>
      <c r="P990" t="str">
        <f>_xlfn.XLOOKUP(Orders[[#This Row],[Customer ID]],customers!A:A,customers!I:I,,0)</f>
        <v>Yes</v>
      </c>
      <c r="Q990" t="str">
        <f>_xlfn.XLOOKUP(C991,customers!A:A,customers!B:B,"مش موجود")</f>
        <v>Herta Layne</v>
      </c>
    </row>
    <row r="991" spans="1:17" x14ac:dyDescent="0.25">
      <c r="A991" s="2" t="s">
        <v>6081</v>
      </c>
      <c r="B991" s="3">
        <v>43560</v>
      </c>
      <c r="C991" s="2" t="s">
        <v>6082</v>
      </c>
      <c r="D991" t="s">
        <v>6175</v>
      </c>
      <c r="E991" s="2">
        <v>6</v>
      </c>
      <c r="F991" s="2" t="str">
        <f>_xlfn.XLOOKUP(Orders[[#This Row],[Customer ID]],customers!A:A,customers!B:B)</f>
        <v>Herta Layne</v>
      </c>
      <c r="G991" s="2" t="str" cm="1">
        <f t="array" ref="G991">IF(_xlfn.XLOOKUP(C991,customers!A990:$A$1001,customers!C990:$C$1001,,0)=0,"",_xlfn.XLOOKUP(C991,customers!A990:$A$1001,customers!C990:$C$1001,,0))</f>
        <v/>
      </c>
      <c r="H991" s="2" t="str" cm="1">
        <f t="array" ref="H991">_xlfn.XLOOKUP(C991,customers!A990:$A$1001,customers!G990:$G$1001,"Ireland",0)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15"/>
        <v>155.24999999999997</v>
      </c>
      <c r="N991" t="str" cm="1">
        <f t="array" ref="N991">_xlfn.IFS(I991="Rob","Robusta",I991="Exc","Excelsa",I991="Ara","Arabica",I991="Lib","Liberica")</f>
        <v>Arabica</v>
      </c>
      <c r="O991" t="str" cm="1">
        <f t="array" ref="O991">_xlfn.IFS(J991="M","Midium",J991="L","Light",J991="D","Dark")</f>
        <v>Midium</v>
      </c>
      <c r="P991" t="str">
        <f>_xlfn.XLOOKUP(Orders[[#This Row],[Customer ID]],customers!A:A,customers!I:I,,0)</f>
        <v>Yes</v>
      </c>
      <c r="Q991" t="str">
        <f>_xlfn.XLOOKUP(C992,customers!A:A,customers!B:B,"مش موجود")</f>
        <v>Marguerite Graves</v>
      </c>
    </row>
    <row r="992" spans="1:17" x14ac:dyDescent="0.25">
      <c r="A992" s="2" t="s">
        <v>6086</v>
      </c>
      <c r="B992" s="3">
        <v>44718</v>
      </c>
      <c r="C992" s="2" t="s">
        <v>6118</v>
      </c>
      <c r="D992" t="s">
        <v>6153</v>
      </c>
      <c r="E992" s="2">
        <v>5</v>
      </c>
      <c r="F992" s="2" t="str">
        <f>_xlfn.XLOOKUP(Orders[[#This Row],[Customer ID]],customers!A:A,customers!B:B)</f>
        <v>Marguerite Graves</v>
      </c>
      <c r="G992" s="2" t="str" cm="1">
        <f t="array" ref="G992">IF(_xlfn.XLOOKUP(C992,customers!A991:$A$1001,customers!C991:$C$1001,,0)=0,"",_xlfn.XLOOKUP(C992,customers!A991:$A$1001,customers!C991:$C$1001,,0))</f>
        <v/>
      </c>
      <c r="H992" s="2" t="str" cm="1">
        <f t="array" ref="H992">_xlfn.XLOOKUP(C992,customers!A991:$A$1001,customers!G991:$G$1001,"Ireland",0)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15"/>
        <v>18.225000000000001</v>
      </c>
      <c r="N992" t="str" cm="1">
        <f t="array" ref="N992">_xlfn.IFS(I992="Rob","Robusta",I992="Exc","Excelsa",I992="Ara","Arabica",I992="Lib","Liberica")</f>
        <v>Excelsa</v>
      </c>
      <c r="O992" t="str" cm="1">
        <f t="array" ref="O992">_xlfn.IFS(J992="M","Midium",J992="L","Light",J992="D","Dark")</f>
        <v>Dark</v>
      </c>
      <c r="P992" t="str">
        <f>_xlfn.XLOOKUP(Orders[[#This Row],[Customer ID]],customers!A:A,customers!I:I,,0)</f>
        <v>No</v>
      </c>
      <c r="Q992" t="str">
        <f>_xlfn.XLOOKUP(C993,customers!A:A,customers!B:B,"مش موجود")</f>
        <v>Marguerite Graves</v>
      </c>
    </row>
    <row r="993" spans="1:17" x14ac:dyDescent="0.25">
      <c r="A993" s="2" t="s">
        <v>6086</v>
      </c>
      <c r="B993" s="3">
        <v>44718</v>
      </c>
      <c r="C993" s="2" t="s">
        <v>6118</v>
      </c>
      <c r="D993" t="s">
        <v>6169</v>
      </c>
      <c r="E993" s="2">
        <v>2</v>
      </c>
      <c r="F993" s="2" t="str">
        <f>_xlfn.XLOOKUP(Orders[[#This Row],[Customer ID]],customers!A:A,customers!B:B)</f>
        <v>Marguerite Graves</v>
      </c>
      <c r="G993" s="2" t="str" cm="1">
        <f t="array" ref="G993">IF(_xlfn.XLOOKUP(C993,customers!A992:$A$1001,customers!C992:$C$1001,,0)=0,"",_xlfn.XLOOKUP(C993,customers!A992:$A$1001,customers!C992:$C$1001,,0))</f>
        <v/>
      </c>
      <c r="H993" s="2" t="str" cm="1">
        <f t="array" ref="H993">_xlfn.XLOOKUP(C993,customers!A992:$A$1001,customers!G992:$G$1001,"Ireland",0)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15"/>
        <v>15.54</v>
      </c>
      <c r="N993" t="str" cm="1">
        <f t="array" ref="N993">_xlfn.IFS(I993="Rob","Robusta",I993="Exc","Excelsa",I993="Ara","Arabica",I993="Lib","Liberica")</f>
        <v>Liberica</v>
      </c>
      <c r="O993" t="str" cm="1">
        <f t="array" ref="O993">_xlfn.IFS(J993="M","Midium",J993="L","Light",J993="D","Dark")</f>
        <v>Dark</v>
      </c>
      <c r="P993" t="str">
        <f>_xlfn.XLOOKUP(Orders[[#This Row],[Customer ID]],customers!A:A,customers!I:I,,0)</f>
        <v>No</v>
      </c>
      <c r="Q993" t="str">
        <f>_xlfn.XLOOKUP(C994,customers!A:A,customers!B:B,"مش موجود")</f>
        <v>Desdemona Eye</v>
      </c>
    </row>
    <row r="994" spans="1:17" x14ac:dyDescent="0.25">
      <c r="A994" s="2" t="s">
        <v>6096</v>
      </c>
      <c r="B994" s="3">
        <v>44276</v>
      </c>
      <c r="C994" s="2" t="s">
        <v>6097</v>
      </c>
      <c r="D994" t="s">
        <v>6164</v>
      </c>
      <c r="E994" s="2">
        <v>3</v>
      </c>
      <c r="F994" s="2" t="str">
        <f>_xlfn.XLOOKUP(Orders[[#This Row],[Customer ID]],customers!A:A,customers!B:B)</f>
        <v>Desdemona Eye</v>
      </c>
      <c r="G994" s="2" t="str" cm="1">
        <f t="array" ref="G994">IF(_xlfn.XLOOKUP(C994,customers!A993:$A$1001,customers!C993:$C$1001,,0)=0,"",_xlfn.XLOOKUP(C994,customers!A993:$A$1001,customers!C993:$C$1001,,0))</f>
        <v/>
      </c>
      <c r="H994" s="2" t="str" cm="1">
        <f t="array" ref="H994">_xlfn.XLOOKUP(C994,customers!A993:$A$1001,customers!G993:$G$1001,"Ireland",0)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15"/>
        <v>109.36499999999999</v>
      </c>
      <c r="N994" t="str" cm="1">
        <f t="array" ref="N994">_xlfn.IFS(I994="Rob","Robusta",I994="Exc","Excelsa",I994="Ara","Arabica",I994="Lib","Liberica")</f>
        <v>Liberica</v>
      </c>
      <c r="O994" t="str" cm="1">
        <f t="array" ref="O994">_xlfn.IFS(J994="M","Midium",J994="L","Light",J994="D","Dark")</f>
        <v>Light</v>
      </c>
      <c r="P994" t="str">
        <f>_xlfn.XLOOKUP(Orders[[#This Row],[Customer ID]],customers!A:A,customers!I:I,,0)</f>
        <v>No</v>
      </c>
      <c r="Q994" t="str">
        <f>_xlfn.XLOOKUP(C995,customers!A:A,customers!B:B,"مش موجود")</f>
        <v>Margarette Sterland</v>
      </c>
    </row>
    <row r="995" spans="1:17" x14ac:dyDescent="0.25">
      <c r="A995" s="2" t="s">
        <v>6101</v>
      </c>
      <c r="B995" s="3">
        <v>44549</v>
      </c>
      <c r="C995" s="2" t="s">
        <v>6102</v>
      </c>
      <c r="D995" t="s">
        <v>6140</v>
      </c>
      <c r="E995" s="2">
        <v>6</v>
      </c>
      <c r="F995" s="2" t="str">
        <f>_xlfn.XLOOKUP(Orders[[#This Row],[Customer ID]],customers!A:A,customers!B:B)</f>
        <v>Margarette Sterland</v>
      </c>
      <c r="G995" s="2" t="str" cm="1">
        <f t="array" ref="G995">IF(_xlfn.XLOOKUP(C995,customers!A994:$A$1001,customers!C994:$C$1001,,0)=0,"",_xlfn.XLOOKUP(C995,customers!A994:$A$1001,customers!C994:$C$1001,,0))</f>
        <v/>
      </c>
      <c r="H995" s="2" t="str" cm="1">
        <f t="array" ref="H995">_xlfn.XLOOKUP(C995,customers!A994:$A$1001,customers!G994:$G$1001,"Ireland",0)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15"/>
        <v>77.699999999999989</v>
      </c>
      <c r="N995" t="str" cm="1">
        <f t="array" ref="N995">_xlfn.IFS(I995="Rob","Robusta",I995="Exc","Excelsa",I995="Ara","Arabica",I995="Lib","Liberica")</f>
        <v>Arabica</v>
      </c>
      <c r="O995" t="str" cm="1">
        <f t="array" ref="O995">_xlfn.IFS(J995="M","Midium",J995="L","Light",J995="D","Dark")</f>
        <v>Light</v>
      </c>
      <c r="P995" t="str">
        <f>_xlfn.XLOOKUP(Orders[[#This Row],[Customer ID]],customers!A:A,customers!I:I,,0)</f>
        <v>No</v>
      </c>
      <c r="Q995" t="str">
        <f>_xlfn.XLOOKUP(C996,customers!A:A,customers!B:B,"مش موجود")</f>
        <v>Catharine Scoines</v>
      </c>
    </row>
    <row r="996" spans="1:17" x14ac:dyDescent="0.25">
      <c r="A996" s="2" t="s">
        <v>6106</v>
      </c>
      <c r="B996" s="3">
        <v>44244</v>
      </c>
      <c r="C996" s="2" t="s">
        <v>6107</v>
      </c>
      <c r="D996" t="s">
        <v>6154</v>
      </c>
      <c r="E996" s="2">
        <v>3</v>
      </c>
      <c r="F996" s="2" t="str">
        <f>_xlfn.XLOOKUP(Orders[[#This Row],[Customer ID]],customers!A:A,customers!B:B)</f>
        <v>Catharine Scoines</v>
      </c>
      <c r="G996" s="2" t="str" cm="1">
        <f t="array" ref="G996">IF(_xlfn.XLOOKUP(C996,customers!A995:$A$1001,customers!C995:$C$1001,,0)=0,"",_xlfn.XLOOKUP(C996,customers!A995:$A$1001,customers!C995:$C$1001,,0))</f>
        <v/>
      </c>
      <c r="H996" s="2" t="str" cm="1">
        <f t="array" ref="H996">_xlfn.XLOOKUP(C996,customers!A995:$A$1001,customers!G995:$G$1001,"Ireland",0)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15"/>
        <v>8.9550000000000001</v>
      </c>
      <c r="N996" t="str" cm="1">
        <f t="array" ref="N996">_xlfn.IFS(I996="Rob","Robusta",I996="Exc","Excelsa",I996="Ara","Arabica",I996="Lib","Liberica")</f>
        <v>Arabica</v>
      </c>
      <c r="O996" t="str" cm="1">
        <f t="array" ref="O996">_xlfn.IFS(J996="M","Midium",J996="L","Light",J996="D","Dark")</f>
        <v>Dark</v>
      </c>
      <c r="P996" t="str">
        <f>_xlfn.XLOOKUP(Orders[[#This Row],[Customer ID]],customers!A:A,customers!I:I,,0)</f>
        <v>No</v>
      </c>
      <c r="Q996" t="str">
        <f>_xlfn.XLOOKUP(C997,customers!A:A,customers!B:B,"مش موجود")</f>
        <v>Jennica Tewelson</v>
      </c>
    </row>
    <row r="997" spans="1:17" x14ac:dyDescent="0.25">
      <c r="A997" s="2" t="s">
        <v>6111</v>
      </c>
      <c r="B997" s="3">
        <v>43836</v>
      </c>
      <c r="C997" s="2" t="s">
        <v>6112</v>
      </c>
      <c r="D997" t="s">
        <v>6142</v>
      </c>
      <c r="E997" s="2">
        <v>1</v>
      </c>
      <c r="F997" s="2" t="str">
        <f>_xlfn.XLOOKUP(Orders[[#This Row],[Customer ID]],customers!A:A,customers!B:B)</f>
        <v>Jennica Tewelson</v>
      </c>
      <c r="G997" s="2" t="str" cm="1">
        <f t="array" ref="G997">IF(_xlfn.XLOOKUP(C997,customers!A996:$A$1001,customers!C996:$C$1001,,0)=0,"",_xlfn.XLOOKUP(C997,customers!A996:$A$1001,customers!C996:$C$1001,,0))</f>
        <v>jtewelsonrn@samsung.com</v>
      </c>
      <c r="H997" s="2" t="str" cm="1">
        <f t="array" ref="H997">_xlfn.XLOOKUP(C997,customers!A996:$A$1001,customers!G996:$G$1001,"Ireland",0)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15"/>
        <v>27.484999999999996</v>
      </c>
      <c r="N997" t="str" cm="1">
        <f t="array" ref="N997">_xlfn.IFS(I997="Rob","Robusta",I997="Exc","Excelsa",I997="Ara","Arabica",I997="Lib","Liberica")</f>
        <v>Robusta</v>
      </c>
      <c r="O997" t="str" cm="1">
        <f t="array" ref="O997">_xlfn.IFS(J997="M","Midium",J997="L","Light",J997="D","Dark")</f>
        <v>Light</v>
      </c>
      <c r="P997" t="str">
        <f>_xlfn.XLOOKUP(Orders[[#This Row],[Customer ID]],customers!A:A,customers!I:I,,0)</f>
        <v>No</v>
      </c>
      <c r="Q997" t="str">
        <f>_xlfn.XLOOKUP(C998,customers!A:A,customers!B:B,"مش موجود")</f>
        <v>Marguerite Graves</v>
      </c>
    </row>
    <row r="998" spans="1:17" x14ac:dyDescent="0.25">
      <c r="A998" s="2" t="s">
        <v>6117</v>
      </c>
      <c r="B998" s="3">
        <v>44685</v>
      </c>
      <c r="C998" s="2" t="s">
        <v>6118</v>
      </c>
      <c r="D998" t="s">
        <v>6146</v>
      </c>
      <c r="E998" s="2">
        <v>5</v>
      </c>
      <c r="F998" s="2" t="str">
        <f>_xlfn.XLOOKUP(Orders[[#This Row],[Customer ID]],customers!A:A,customers!B:B)</f>
        <v>Marguerite Graves</v>
      </c>
      <c r="G998" s="2" t="str" cm="1">
        <f t="array" ref="G998">IF(_xlfn.XLOOKUP(C998,customers!A997:$A$1001,customers!C997:$C$1001,,0)=0,"",_xlfn.XLOOKUP(C998,customers!A997:$A$1001,customers!C997:$C$1001,,0))</f>
        <v/>
      </c>
      <c r="H998" s="2" t="str" cm="1">
        <f t="array" ref="H998">_xlfn.XLOOKUP(C998,customers!A997:$A$1001,customers!G997:$G$1001,"Ireland",0)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15"/>
        <v>29.849999999999998</v>
      </c>
      <c r="N998" t="str" cm="1">
        <f t="array" ref="N998">_xlfn.IFS(I998="Rob","Robusta",I998="Exc","Excelsa",I998="Ara","Arabica",I998="Lib","Liberica")</f>
        <v>Robusta</v>
      </c>
      <c r="O998" t="str" cm="1">
        <f t="array" ref="O998">_xlfn.IFS(J998="M","Midium",J998="L","Light",J998="D","Dark")</f>
        <v>Midium</v>
      </c>
      <c r="P998" t="str">
        <f>_xlfn.XLOOKUP(Orders[[#This Row],[Customer ID]],customers!A:A,customers!I:I,,0)</f>
        <v>No</v>
      </c>
      <c r="Q998" t="str">
        <f>_xlfn.XLOOKUP(C999,customers!A:A,customers!B:B,"مش موجود")</f>
        <v>Marguerite Graves</v>
      </c>
    </row>
    <row r="999" spans="1:17" x14ac:dyDescent="0.25">
      <c r="A999" s="2" t="s">
        <v>6122</v>
      </c>
      <c r="B999" s="3">
        <v>43749</v>
      </c>
      <c r="C999" s="2" t="s">
        <v>6118</v>
      </c>
      <c r="D999" t="s">
        <v>6157</v>
      </c>
      <c r="E999" s="2">
        <v>4</v>
      </c>
      <c r="F999" s="2" t="str">
        <f>_xlfn.XLOOKUP(Orders[[#This Row],[Customer ID]],customers!A:A,customers!B:B)</f>
        <v>Marguerite Graves</v>
      </c>
      <c r="G999" s="2" t="str" cm="1">
        <f t="array" ref="G999">IF(_xlfn.XLOOKUP(C999,customers!A998:$A$1001,customers!C998:$C$1001,,0)=0,"",_xlfn.XLOOKUP(C999,customers!A998:$A$1001,customers!C998:$C$1001,,0))</f>
        <v/>
      </c>
      <c r="H999" s="2" t="str" cm="1">
        <f t="array" ref="H999">_xlfn.XLOOKUP(C999,customers!A998:$A$1001,customers!G998:$G$1001,"Ireland",0)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15"/>
        <v>27</v>
      </c>
      <c r="N999" t="str" cm="1">
        <f t="array" ref="N999">_xlfn.IFS(I999="Rob","Robusta",I999="Exc","Excelsa",I999="Ara","Arabica",I999="Lib","Liberica")</f>
        <v>Arabica</v>
      </c>
      <c r="O999" t="str" cm="1">
        <f t="array" ref="O999">_xlfn.IFS(J999="M","Midium",J999="L","Light",J999="D","Dark")</f>
        <v>Midium</v>
      </c>
      <c r="P999" t="str">
        <f>_xlfn.XLOOKUP(Orders[[#This Row],[Customer ID]],customers!A:A,customers!I:I,,0)</f>
        <v>No</v>
      </c>
      <c r="Q999" t="str">
        <f>_xlfn.XLOOKUP(C1000,customers!A:A,customers!B:B,"مش موجود")</f>
        <v>Nicolina Jenny</v>
      </c>
    </row>
    <row r="1000" spans="1:17" x14ac:dyDescent="0.25">
      <c r="A1000" s="2" t="s">
        <v>6127</v>
      </c>
      <c r="B1000" s="3">
        <v>44411</v>
      </c>
      <c r="C1000" s="2" t="s">
        <v>6128</v>
      </c>
      <c r="D1000" t="s">
        <v>6147</v>
      </c>
      <c r="E1000" s="2">
        <v>1</v>
      </c>
      <c r="F1000" s="2" t="str">
        <f>_xlfn.XLOOKUP(Orders[[#This Row],[Customer ID]],customers!A:A,customers!B:B)</f>
        <v>Nicolina Jenny</v>
      </c>
      <c r="G1000" s="2" t="str" cm="1">
        <f t="array" ref="G1000">IF(_xlfn.XLOOKUP(C1000,customers!A999:$A$1001,customers!C999:$C$1001,,0)=0,"",_xlfn.XLOOKUP(C1000,customers!A999:$A$1001,customers!C999:$C$1001,,0))</f>
        <v>njennyrq@bigcartel.com</v>
      </c>
      <c r="H1000" s="2" t="str" cm="1">
        <f t="array" ref="H1000">_xlfn.XLOOKUP(C1000,customers!A999:$A$1001,customers!G999:$G$1001,"Ireland",0)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15"/>
        <v>9.9499999999999993</v>
      </c>
      <c r="N1000" t="str" cm="1">
        <f t="array" ref="N1000">_xlfn.IFS(I1000="Rob","Robusta",I1000="Exc","Excelsa",I1000="Ara","Arabica",I1000="Lib","Liberica")</f>
        <v>Arabica</v>
      </c>
      <c r="O1000" t="str" cm="1">
        <f t="array" ref="O1000">_xlfn.IFS(J1000="M","Midium",J1000="L","Light",J1000="D","Dark")</f>
        <v>Dark</v>
      </c>
      <c r="P1000" t="str">
        <f>_xlfn.XLOOKUP(Orders[[#This Row],[Customer ID]],customers!A:A,customers!I:I,,0)</f>
        <v>No</v>
      </c>
      <c r="Q1000" t="str">
        <f>_xlfn.XLOOKUP(C1001,customers!A:A,customers!B:B,"مش موجود")</f>
        <v>Vidovic Antonelli</v>
      </c>
    </row>
    <row r="1001" spans="1:17" x14ac:dyDescent="0.25">
      <c r="A1001" s="2" t="s">
        <v>6133</v>
      </c>
      <c r="B1001" s="3">
        <v>44119</v>
      </c>
      <c r="C1001" s="2" t="s">
        <v>6134</v>
      </c>
      <c r="D1001" t="s">
        <v>6156</v>
      </c>
      <c r="E1001" s="2">
        <v>3</v>
      </c>
      <c r="F1001" s="2" t="str">
        <f>_xlfn.XLOOKUP(Orders[[#This Row],[Customer ID]],customers!A:A,customers!B:B)</f>
        <v>Vidovic Antonelli</v>
      </c>
      <c r="G1001" s="2" t="str" cm="1">
        <f t="array" ref="G1001">IF(_xlfn.XLOOKUP(C1001,customers!A1000:$A$1001,customers!C1000:$C$1001,,0)=0,"",_xlfn.XLOOKUP(C1001,customers!A1000:$A$1001,customers!C1000:$C$1001,,0))</f>
        <v/>
      </c>
      <c r="H1001" s="2" t="str" cm="1">
        <f t="array" ref="H1001">_xlfn.XLOOKUP(C1001,customers!A1000:$A$1001,customers!G1000:$G$1001,"Ireland",0)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15"/>
        <v>12.375</v>
      </c>
      <c r="N1001" t="str" cm="1">
        <f t="array" ref="N1001">_xlfn.IFS(I1001="Rob","Robusta",I1001="Exc","Excelsa",I1001="Ara","Arabica",I1001="Lib","Liberica")</f>
        <v>Excelsa</v>
      </c>
      <c r="O1001" t="str" cm="1">
        <f t="array" ref="O1001">_xlfn.IFS(J1001="M","Midium",J1001="L","Light",J1001="D","Dark")</f>
        <v>Midium</v>
      </c>
      <c r="P1001" t="str">
        <f>_xlfn.XLOOKUP(Orders[[#This Row],[Customer ID]],customers!A:A,customers!I:I,,0)</f>
        <v>Yes</v>
      </c>
      <c r="Q1001">
        <f>_xlfn.XLOOKUP(C1002,customers!A:A,customers!B:B,"مش موجود")</f>
        <v>0</v>
      </c>
    </row>
  </sheetData>
  <pageMargins left="0.7" right="0.7" top="0.75" bottom="0.75" header="0.3" footer="0.3"/>
  <pageSetup paperSize="0" orientation="portrait" horizontalDpi="0" verticalDpi="0" copies="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zoomScale="64" zoomScaleNormal="64" workbookViewId="0">
      <selection activeCell="J2" sqref="J2"/>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heba</cp:lastModifiedBy>
  <cp:revision/>
  <dcterms:created xsi:type="dcterms:W3CDTF">2022-11-26T09:51:45Z</dcterms:created>
  <dcterms:modified xsi:type="dcterms:W3CDTF">2026-06-26T08:56:08Z</dcterms:modified>
  <cp:category/>
  <cp:contentStatus/>
</cp:coreProperties>
</file>